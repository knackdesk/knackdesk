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mments4.xml" ContentType="application/vnd.openxmlformats-officedocument.spreadsheetml.comments+xml"/>
  <Override PartName="/xl/comments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comments2.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Timekeepers" sheetId="3" state="visible" r:id="rId5"/>
    <sheet name="Flat Fee Pricer" sheetId="4" state="visible" r:id="rId6"/>
    <sheet name="Matter Tracker" sheetId="5" state="visible" r:id="rId7"/>
    <sheet name="Lock-Up &amp; Contingency"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10" authorId="0">
      <text>
        <r>
          <rPr>
            <sz val="10"/>
            <rFont val="Arial"/>
            <family val="2"/>
          </rPr>
          <t xml:space="preserve">Assumption: 20% is a placeholder for employer taxes and benefits; use your payroll figures. For equity partners, use the share of draw you treat as a cost.</t>
        </r>
      </text>
    </comment>
    <comment ref="B11" authorId="0">
      <text>
        <r>
          <rPr>
            <sz val="10"/>
            <rFont val="Arial"/>
            <family val="2"/>
          </rPr>
          <t xml:space="preserve">Assumption: 1,500 billable hours is a placeholder. Use your own recorded and billed hours from last year.</t>
        </r>
      </text>
    </comment>
    <comment ref="B12" authorId="0">
      <text>
        <r>
          <rPr>
            <sz val="10"/>
            <rFont val="Arial"/>
            <family val="2"/>
          </rPr>
          <t xml:space="preserve">Your own placeholder target, not a recommendation and not an industry benchmark. Margin is profit ÷ fee.</t>
        </r>
      </text>
    </comment>
    <comment ref="B13" authorId="0">
      <text>
        <r>
          <rPr>
            <sz val="10"/>
            <rFont val="Arial"/>
            <family val="2"/>
          </rPr>
          <t xml:space="preserve">Assumption: 15% is a placeholder for scope creep on fixed-fee work. Set it from how far your past flat-fee matters ran over.</t>
        </r>
      </text>
    </comment>
    <comment ref="B15" authorId="0">
      <text>
        <r>
          <rPr>
            <sz val="10"/>
            <rFont val="Arial"/>
            <family val="2"/>
          </rPr>
          <t xml:space="preserve">Whether referral fees are allowed, and how much, depends on your jurisdiction and professional body.</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For an equity partner, use the draw you would have to pay someone to do this work, not the full profit share.</t>
        </r>
      </text>
    </comment>
    <comment ref="H6" authorId="0">
      <text>
        <r>
          <rPr>
            <sz val="10"/>
            <rFont val="Arial"/>
            <family val="2"/>
          </rPr>
          <t xml:space="preserve">Example override: a partner who spends more time on management and business development bills fewer hours.</t>
        </r>
      </text>
    </comment>
    <comment ref="L5" authorId="0">
      <text>
        <r>
          <rPr>
            <sz val="10"/>
            <rFont val="Arial"/>
            <family val="2"/>
          </rPr>
          <t xml:space="preserve">Assumption: overhead is shared equally per timekeeper (Settings). A paralegal carries the same overhead as a partner.</t>
        </r>
      </text>
    </comment>
    <comment ref="N25" authorId="0">
      <text>
        <r>
          <rPr>
            <sz val="10"/>
            <rFont val="Arial"/>
            <family val="2"/>
          </rPr>
          <t xml:space="preserve">Blended firm cost rate: total annual cost ÷ total billable hours, not an average of the rows.</t>
        </r>
      </text>
    </comment>
    <comment ref="Q5" authorId="0">
      <text>
        <r>
          <rPr>
            <sz val="10"/>
            <rFont val="Arial"/>
            <family val="2"/>
          </rPr>
          <t xml:space="preserve">Billable hours a year at this bill rate needed to cover this timekeeper's total annual cost.</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B2" authorId="0">
      <text>
        <r>
          <rPr>
            <sz val="10"/>
            <rFont val="Arial"/>
            <family val="2"/>
          </rPr>
          <t xml:space="preserve">Average cost rate of every timekeeper with this role on the Timekeepers sheet (0 if there is none).</t>
        </r>
      </text>
    </comment>
    <comment ref="C5" authorId="0">
      <text>
        <r>
          <rPr>
            <sz val="10"/>
            <rFont val="Arial"/>
            <family val="2"/>
          </rPr>
          <t xml:space="preserve">Estimated hours per role for a typical matter of this type. Use the recorded time on your last few similar matters.</t>
        </r>
      </text>
    </comment>
    <comment ref="F5" authorId="0">
      <text>
        <r>
          <rPr>
            <sz val="10"/>
            <rFont val="Arial"/>
            <family val="2"/>
          </rPr>
          <t xml:space="preserve">Assumption: disbursements are included in the flat fee and carry the margin. Leave them out if you pass them through at cost.</t>
        </r>
      </text>
    </comment>
    <comment ref="H10" authorId="0">
      <text>
        <r>
          <rPr>
            <sz val="10"/>
            <rFont val="Arial"/>
            <family val="2"/>
          </rPr>
          <t xml:space="preserve">Example override: litigation stages run over more often, so this matter carries a larger scope contingency.</t>
        </r>
      </text>
    </comment>
    <comment ref="T5" authorId="0">
      <text>
        <r>
          <rPr>
            <sz val="10"/>
            <rFont val="Arial"/>
            <family val="2"/>
          </rPr>
          <t xml:space="preserve">Negative = you charge less today than the flat fee at your target margin.</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G5" authorId="0">
      <text>
        <r>
          <rPr>
            <sz val="10"/>
            <rFont val="Arial"/>
            <family val="2"/>
          </rPr>
          <t xml:space="preserve">Recorded time on the matter at each timekeeper's standard bill rate, whatever the fee arrangement.</t>
        </r>
      </text>
    </comment>
    <comment ref="H5" authorId="0">
      <text>
        <r>
          <rPr>
            <sz val="10"/>
            <rFont val="Arial"/>
            <family val="2"/>
          </rPr>
          <t xml:space="preserve">The flat, capped or contingency fee agreed with the client. Leave empty for hourly matters: the write-off then compares actual fees with the amount billed.</t>
        </r>
      </text>
    </comment>
    <comment ref="P5" authorId="0">
      <text>
        <r>
          <rPr>
            <sz val="10"/>
            <rFont val="Arial"/>
            <family val="2"/>
          </rPr>
          <t xml:space="preserve">Assumption: write-off = actual fees above the agreed fee (if any), otherwise actual fees above the amount billed. Never negative.</t>
        </r>
      </text>
    </comment>
    <comment ref="Q35" authorId="0">
      <text>
        <r>
          <rPr>
            <sz val="10"/>
            <rFont val="Arial"/>
            <family val="2"/>
          </rPr>
          <t xml:space="preserve">Totals recompute from the column totals, not an average of the matter rows.</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5" authorId="0">
      <text>
        <r>
          <rPr>
            <sz val="10"/>
            <rFont val="Arial"/>
            <family val="2"/>
          </rPr>
          <t xml:space="preserve">Recorded time and disbursements not yet billed at month end, at the value you expect to bill.</t>
        </r>
      </text>
    </comment>
    <comment ref="D5" authorId="0">
      <text>
        <r>
          <rPr>
            <sz val="10"/>
            <rFont val="Arial"/>
            <family val="2"/>
          </rPr>
          <t xml:space="preserve">Fees billed in the 12 months to this month end. Fees per day = this ÷ days in year (Settings).</t>
        </r>
      </text>
    </comment>
    <comment ref="E22" authorId="0">
      <text>
        <r>
          <rPr>
            <sz val="10"/>
            <rFont val="Arial"/>
            <family val="2"/>
          </rPr>
          <t xml:space="preserve">yes = the fee is a percentage of the settlement after case costs are repaid; no = of the gross settlement.</t>
        </r>
      </text>
    </comment>
    <comment ref="G23" authorId="0">
      <text>
        <r>
          <rPr>
            <sz val="10"/>
            <rFont val="Arial"/>
            <family val="2"/>
          </rPr>
          <t xml:space="preserve">Example override: a quarter of the fee goes to the referring lawyer. Check your rules first.</t>
        </r>
      </text>
    </comment>
    <comment ref="J5" authorId="0">
      <text>
        <r>
          <rPr>
            <sz val="10"/>
            <rFont val="Arial"/>
            <family val="2"/>
          </rPr>
          <t xml:space="preserve">Locked-up cash ÷ lock-up days: roughly the cash released for each day you take off lock-up.</t>
        </r>
      </text>
    </comment>
    <comment ref="N22" authorId="0">
      <text>
        <r>
          <rPr>
            <sz val="10"/>
            <rFont val="Arial"/>
            <family val="2"/>
          </rPr>
          <t xml:space="preserve">Assumption: case costs are repaid out of the settlement either way; net to client = settlement − gross fee − case costs.</t>
        </r>
      </text>
    </comment>
    <comment ref="O32" authorId="0">
      <text>
        <r>
          <rPr>
            <sz val="10"/>
            <rFont val="Arial"/>
            <family val="2"/>
          </rPr>
          <t xml:space="preserve">Total net fee ÷ total hours, not an average of the matter rates.</t>
        </r>
      </text>
    </comment>
  </commentList>
</comments>
</file>

<file path=xl/sharedStrings.xml><?xml version="1.0" encoding="utf-8"?>
<sst xmlns="http://schemas.openxmlformats.org/spreadsheetml/2006/main" count="248" uniqueCount="231">
  <si>
    <t xml:space="preserve">Law Firm Pricing Workbook</t>
  </si>
  <si>
    <t xml:space="preserve">by Knackdesk · knackdesk.com</t>
  </si>
  <si>
    <t xml:space="preserve">HOW TO USE</t>
  </si>
  <si>
    <t xml:space="preserve">1. Settings: annual firm overhead line by line, benefits and payroll taxes %, default billable hours per timekeeper, your target margin on flat fees, scope contingency %, days in the year, default referral fee % and working days per month. Overhead per timekeeper follows and every other sheet reads it.</t>
  </si>
  <si>
    <t xml:space="preserve">2. Timekeepers: one row per lawyer or paralegal with role, annual salary or draw, benefits % and billable hours (defaults from Settings, type your own to override) and bill rate. Loaded salary, overhead share, total annual cost, cost rate, margin per hour, margin % and break-even hours are calculated.</t>
  </si>
  <si>
    <t xml:space="preserve">3. Flat Fee Pricer: one row per matter type or quote with partner, associate and paralegal hours and disbursements. Average cost rates per role come from the Timekeepers sheet; labour cost, cost with scope contingency, total cost, the flat fee at your target margin, effective hourly rate and the gap to the fee you charge today are calculated.</t>
  </si>
  <si>
    <t xml:space="preserve">4. Matter Tracker: one row per matter with fee type, budget hours and fees, actual hours and fees (time at standard rates), agreed fee, billed and collected. Hours and fees variance, realized rate, write-off, recovery % and an over / under budget status are calculated, with totals.</t>
  </si>
  <si>
    <t xml:space="preserve">5. Lock-Up &amp; Contingency: one row per month with unbilled work in progress, accounts receivable and fees billed in the trailing 12 months; WIP days, debtor days, lock-up days and locked-up cash follow. Below, contingency matters: settlement, contingency %, case costs, whether costs come off before the fee and any referral fee; gross fee, net fee to the firm, net to the client and effective hourly rate follow.</t>
  </si>
  <si>
    <t xml:space="preserve">6. Summary: timekeepers, average cost and bill rate, timekeepers with negative margin, flat fees priced below the computed fee and the uplift, matters over budget, write-offs, recovery %, lock-up days and locked-up cash, and net contingency fees.</t>
  </si>
  <si>
    <t xml:space="preserve">LEGEND</t>
  </si>
  <si>
    <t xml:space="preserve">Blue text = a cell you type into.   Black text = a formula, leave it alone.   Yellow fill = key inputs.</t>
  </si>
  <si>
    <t xml:space="preserve">DEFINITIONS</t>
  </si>
  <si>
    <t xml:space="preserve">Timekeeper: anyone whose time is recorded and billed to matters (partner, associate, paralegal).</t>
  </si>
  <si>
    <t xml:space="preserve">Cost rate: what one billable hour of a timekeeper costs the firm = (salary or draw × (1 + benefits and payroll taxes %) + overhead per timekeeper) ÷ billable hours per year. Overhead is shared equally per timekeeper.</t>
  </si>
  <si>
    <t xml:space="preserve">Flat fee margin on price: margin % = profit ÷ fee, not markup on cost. Flat fee at target margin = total cost ÷ (1 − target margin %), never cost × (1 + target %). A 35% margin is a 53.85% markup.</t>
  </si>
  <si>
    <t xml:space="preserve">Scope contingency vs contingency fee: scope contingency is a cushion you add to the estimated labour cost of a flat fee for work that runs over. A contingency fee is a fee paid as a percentage of a settlement or award. The two are unrelated.</t>
  </si>
  <si>
    <t xml:space="preserve">Matter variance: actual minus budget, for hours and for fees (time at standard rates). Positive = over budget. Variance % = variance ÷ budget.</t>
  </si>
  <si>
    <t xml:space="preserve">Realization: how much of the value of time worked turns into fees. Write-off = time value above the agreed fee (flat or capped matters) or above the amount billed (hourly). Recovery % = collected ÷ actual fees. Realized rate = collected ÷ actual hours.</t>
  </si>
  <si>
    <t xml:space="preserve">Work in progress (WIP): time and disbursements recorded but not yet billed.</t>
  </si>
  <si>
    <t xml:space="preserve">Lock-up days: WIP days + debtor days = (unbilled WIP + accounts receivable) ÷ (fees billed in the trailing 12 months ÷ days in year). The number of days of fees tied up between doing the work and collecting the cash.</t>
  </si>
  <si>
    <t xml:space="preserve">The targets in Settings are your own; this workbook does not supply industry benchmarks. Set them from your own history and plan.</t>
  </si>
  <si>
    <t xml:space="preserve">The rules on fee arrangements, contingency fees and referral fees are a matter for your jurisdiction and professional body; check them before you use any figure here with a client.</t>
  </si>
  <si>
    <t xml:space="preserve">Support: hello@knackdesk.com</t>
  </si>
  <si>
    <t xml:space="preserve">Arithmetic only; not legal or financial advice.</t>
  </si>
  <si>
    <t xml:space="preserve">Settings</t>
  </si>
  <si>
    <t xml:space="preserve">Rent and facilities (annual)</t>
  </si>
  <si>
    <t xml:space="preserve">Example default 60,000 a year. Rent, service charges, utilities, cleaning and repairs.</t>
  </si>
  <si>
    <t xml:space="preserve">Support staff (annual)</t>
  </si>
  <si>
    <t xml:space="preserve">Example default 90,000 a year. Receptionist, secretaries, bookkeeper and practice manager, loaded with their payroll costs.</t>
  </si>
  <si>
    <t xml:space="preserve">Software and research (annual)</t>
  </si>
  <si>
    <t xml:space="preserve">Example default 12,000 a year. Practice management, document management, legal research subscriptions and IT.</t>
  </si>
  <si>
    <t xml:space="preserve">Insurance (annual)</t>
  </si>
  <si>
    <t xml:space="preserve">Example default 8,000 a year. Professional indemnity, office and cyber cover.</t>
  </si>
  <si>
    <t xml:space="preserve">Marketing (annual)</t>
  </si>
  <si>
    <t xml:space="preserve">Example default 10,000 a year. Website, directories, advertising and business development.</t>
  </si>
  <si>
    <t xml:space="preserve">Other overhead (annual)</t>
  </si>
  <si>
    <t xml:space="preserve">Example default 10,000 a year. Practising certificates, training, bank charges, accounting, anything else.</t>
  </si>
  <si>
    <t xml:space="preserve">Total annual firm overhead</t>
  </si>
  <si>
    <t xml:space="preserve">formula: sum of the six overhead rows above</t>
  </si>
  <si>
    <t xml:space="preserve">Overhead allocation method</t>
  </si>
  <si>
    <t xml:space="preserve">per timekeeper</t>
  </si>
  <si>
    <t xml:space="preserve">Documented, not an input: total overhead is shared equally across every timekeeper listed on the Timekeepers sheet.</t>
  </si>
  <si>
    <t xml:space="preserve">Benefits and payroll taxes %</t>
  </si>
  <si>
    <t xml:space="preserve">Default 20. Employer payroll taxes, pension, health cover and other benefits on top of salary or draw; each timekeeper can override it.</t>
  </si>
  <si>
    <t xml:space="preserve">Default billable hours per year per timekeeper</t>
  </si>
  <si>
    <t xml:space="preserve">Default 1,500. Hours recorded and billed to matters, not hours worked; each timekeeper can override it.</t>
  </si>
  <si>
    <t xml:space="preserve">Target margin % on flat fees</t>
  </si>
  <si>
    <t xml:space="preserve">Default 35. Your own placeholder target margin on price (profit ÷ fee), not a recommendation or an industry benchmark; each matter can override it.</t>
  </si>
  <si>
    <t xml:space="preserve">Scope contingency %</t>
  </si>
  <si>
    <t xml:space="preserve">Default 15. Cushion added to the estimated labour cost of a flat fee for work that runs over; each matter can override it.</t>
  </si>
  <si>
    <t xml:space="preserve">Days in year</t>
  </si>
  <si>
    <t xml:space="preserve">Default 365. Used to turn trailing 12-month fees into fees per day for lock-up days.</t>
  </si>
  <si>
    <t xml:space="preserve">Default referral fee %</t>
  </si>
  <si>
    <t xml:space="preserve">Default 0. Share of a contingency fee paid to a referring lawyer, where your rules allow it; each matter can override it.</t>
  </si>
  <si>
    <t xml:space="preserve">Working days per month</t>
  </si>
  <si>
    <t xml:space="preserve">Default 21. Used to show billable hours per working day on the Timekeepers sheet (12 months a year).</t>
  </si>
  <si>
    <t xml:space="preserve">Number of timekeepers</t>
  </si>
  <si>
    <t xml:space="preserve">formula: count of names on the Timekeepers sheet</t>
  </si>
  <si>
    <t xml:space="preserve">Overhead per timekeeper (annual)</t>
  </si>
  <si>
    <t xml:space="preserve">formula: total annual overhead ÷ number of timekeepers</t>
  </si>
  <si>
    <t xml:space="preserve">Total billable hours per year (all timekeepers)</t>
  </si>
  <si>
    <t xml:space="preserve">formula: billable hours used, summed on the Timekeepers sheet</t>
  </si>
  <si>
    <t xml:space="preserve">Overhead per billable hour (firm)</t>
  </si>
  <si>
    <t xml:space="preserve">formula: total annual overhead ÷ total billable hours; what overhead adds to each hour billed</t>
  </si>
  <si>
    <t xml:space="preserve">Timekeepers</t>
  </si>
  <si>
    <t xml:space="preserve">One row per timekeeper. Benefits % and billable hours default from Settings; type your own in the 'or type your own' columns to override them.</t>
  </si>
  <si>
    <t xml:space="preserve">Name</t>
  </si>
  <si>
    <t xml:space="preserve">Role</t>
  </si>
  <si>
    <t xml:space="preserve">Annual salary or draw</t>
  </si>
  <si>
    <t xml:space="preserve">Default benefits % (Settings)</t>
  </si>
  <si>
    <t xml:space="preserve">or type your own benefits %</t>
  </si>
  <si>
    <t xml:space="preserve">Benefits % used</t>
  </si>
  <si>
    <t xml:space="preserve">Default billable hours (Settings)</t>
  </si>
  <si>
    <t xml:space="preserve">or type your own hours</t>
  </si>
  <si>
    <t xml:space="preserve">Billable hours used</t>
  </si>
  <si>
    <t xml:space="preserve">Bill rate</t>
  </si>
  <si>
    <t xml:space="preserve">Loaded salary</t>
  </si>
  <si>
    <t xml:space="preserve">Overhead allocation</t>
  </si>
  <si>
    <t xml:space="preserve">Total annual cost</t>
  </si>
  <si>
    <t xml:space="preserve">Cost rate</t>
  </si>
  <si>
    <t xml:space="preserve">Margin per hour</t>
  </si>
  <si>
    <t xml:space="preserve">Margin %</t>
  </si>
  <si>
    <t xml:space="preserve">Break-even hours</t>
  </si>
  <si>
    <t xml:space="preserve">Billable hours per working day</t>
  </si>
  <si>
    <t xml:space="preserve">Partner A</t>
  </si>
  <si>
    <t xml:space="preserve">partner</t>
  </si>
  <si>
    <t xml:space="preserve">Partner B</t>
  </si>
  <si>
    <t xml:space="preserve">Associate A</t>
  </si>
  <si>
    <t xml:space="preserve">associate</t>
  </si>
  <si>
    <t xml:space="preserve">Associate B</t>
  </si>
  <si>
    <t xml:space="preserve">Associate C</t>
  </si>
  <si>
    <t xml:space="preserve">Paralegal A</t>
  </si>
  <si>
    <t xml:space="preserve">paralegal</t>
  </si>
  <si>
    <t xml:space="preserve">Total</t>
  </si>
  <si>
    <t xml:space="preserve">Flat Fee Pricer</t>
  </si>
  <si>
    <t xml:space="preserve">Partner cost rate</t>
  </si>
  <si>
    <t xml:space="preserve">Associate cost rate</t>
  </si>
  <si>
    <t xml:space="preserve">Paralegal cost rate</t>
  </si>
  <si>
    <t xml:space="preserve">One row per matter type or quote. Contingency % and margin % default from Settings; type your own to override them. Current fee is what you charge today.</t>
  </si>
  <si>
    <t xml:space="preserve">Matter</t>
  </si>
  <si>
    <t xml:space="preserve">Matter type</t>
  </si>
  <si>
    <t xml:space="preserve">Partner hours</t>
  </si>
  <si>
    <t xml:space="preserve">Associate hours</t>
  </si>
  <si>
    <t xml:space="preserve">Paralegal hours</t>
  </si>
  <si>
    <t xml:space="preserve">Disbursements</t>
  </si>
  <si>
    <t xml:space="preserve">Default contingency % (Settings)</t>
  </si>
  <si>
    <t xml:space="preserve">or type your own contingency %</t>
  </si>
  <si>
    <t xml:space="preserve">Contingency % used</t>
  </si>
  <si>
    <t xml:space="preserve">Default margin % (Settings)</t>
  </si>
  <si>
    <t xml:space="preserve">or type your own margin %</t>
  </si>
  <si>
    <t xml:space="preserve">Margin % used</t>
  </si>
  <si>
    <t xml:space="preserve">Labour cost</t>
  </si>
  <si>
    <t xml:space="preserve">Cost with contingency</t>
  </si>
  <si>
    <t xml:space="preserve">Total cost</t>
  </si>
  <si>
    <t xml:space="preserve">Flat fee</t>
  </si>
  <si>
    <t xml:space="preserve">Total hours</t>
  </si>
  <si>
    <t xml:space="preserve">Effective hourly rate</t>
  </si>
  <si>
    <t xml:space="preserve">Current fee charged</t>
  </si>
  <si>
    <t xml:space="preserve">Gap: current − flat fee</t>
  </si>
  <si>
    <t xml:space="preserve">Residential purchase</t>
  </si>
  <si>
    <t xml:space="preserve">conveyancing</t>
  </si>
  <si>
    <t xml:space="preserve">Simple will</t>
  </si>
  <si>
    <t xml:space="preserve">will and estate</t>
  </si>
  <si>
    <t xml:space="preserve">Company incorporation</t>
  </si>
  <si>
    <t xml:space="preserve">incorporation</t>
  </si>
  <si>
    <t xml:space="preserve">Commercial contract review</t>
  </si>
  <si>
    <t xml:space="preserve">contract</t>
  </si>
  <si>
    <t xml:space="preserve">Work visa application</t>
  </si>
  <si>
    <t xml:space="preserve">immigration</t>
  </si>
  <si>
    <t xml:space="preserve">Litigation: pleadings stage</t>
  </si>
  <si>
    <t xml:space="preserve">litigation stage</t>
  </si>
  <si>
    <t xml:space="preserve">Matter Tracker</t>
  </si>
  <si>
    <t xml:space="preserve">One row per matter. Actual fees = recorded time at standard rates. Agreed fee is the flat or capped fee; leave it empty for hourly matters.</t>
  </si>
  <si>
    <t xml:space="preserve">Client</t>
  </si>
  <si>
    <t xml:space="preserve">Fee type</t>
  </si>
  <si>
    <t xml:space="preserve">Budget hours</t>
  </si>
  <si>
    <t xml:space="preserve">Budget fees</t>
  </si>
  <si>
    <t xml:space="preserve">Actual hours</t>
  </si>
  <si>
    <t xml:space="preserve">Actual fees</t>
  </si>
  <si>
    <t xml:space="preserve">Agreed fee</t>
  </si>
  <si>
    <t xml:space="preserve">Billed</t>
  </si>
  <si>
    <t xml:space="preserve">Collected</t>
  </si>
  <si>
    <t xml:space="preserve">Hours variance</t>
  </si>
  <si>
    <t xml:space="preserve">Hours variance %</t>
  </si>
  <si>
    <t xml:space="preserve">Fees variance</t>
  </si>
  <si>
    <t xml:space="preserve">Fees variance %</t>
  </si>
  <si>
    <t xml:space="preserve">Realized rate</t>
  </si>
  <si>
    <t xml:space="preserve">Write-off</t>
  </si>
  <si>
    <t xml:space="preserve">Recovery %</t>
  </si>
  <si>
    <t xml:space="preserve">Status</t>
  </si>
  <si>
    <t xml:space="preserve">Smith residential purchase</t>
  </si>
  <si>
    <t xml:space="preserve">J. Smith</t>
  </si>
  <si>
    <t xml:space="preserve">flat</t>
  </si>
  <si>
    <t xml:space="preserve">Shareholder agreement</t>
  </si>
  <si>
    <t xml:space="preserve">Acme Ltd</t>
  </si>
  <si>
    <t xml:space="preserve">hourly</t>
  </si>
  <si>
    <t xml:space="preserve">Patel v Northwind</t>
  </si>
  <si>
    <t xml:space="preserve">R. Patel</t>
  </si>
  <si>
    <t xml:space="preserve">Lee estate plan</t>
  </si>
  <si>
    <t xml:space="preserve">M. Lee</t>
  </si>
  <si>
    <t xml:space="preserve">Garcia injury claim</t>
  </si>
  <si>
    <t xml:space="preserve">L. Garcia</t>
  </si>
  <si>
    <t xml:space="preserve">contingency</t>
  </si>
  <si>
    <t xml:space="preserve">Lease review</t>
  </si>
  <si>
    <t xml:space="preserve">Brightline Cafe</t>
  </si>
  <si>
    <t xml:space="preserve">Okafor work visa</t>
  </si>
  <si>
    <t xml:space="preserve">C. Okafor</t>
  </si>
  <si>
    <t xml:space="preserve">Harbor employment dispute</t>
  </si>
  <si>
    <t xml:space="preserve">Harbor Freight Co</t>
  </si>
  <si>
    <t xml:space="preserve">Lock-Up &amp; Contingency</t>
  </si>
  <si>
    <t xml:space="preserve">Lock-up: one row per month, filled top down, from your month-end WIP and debtors reports.</t>
  </si>
  <si>
    <t xml:space="preserve">Month</t>
  </si>
  <si>
    <t xml:space="preserve">Unbilled WIP</t>
  </si>
  <si>
    <t xml:space="preserve">Accounts receivable</t>
  </si>
  <si>
    <t xml:space="preserve">Fees billed, trailing 12 months</t>
  </si>
  <si>
    <t xml:space="preserve">Fees per day</t>
  </si>
  <si>
    <t xml:space="preserve">WIP days</t>
  </si>
  <si>
    <t xml:space="preserve">Debtor days</t>
  </si>
  <si>
    <t xml:space="preserve">Lock-up days</t>
  </si>
  <si>
    <t xml:space="preserve">Locked-up cash</t>
  </si>
  <si>
    <t xml:space="preserve">Cash per day of lock-up</t>
  </si>
  <si>
    <t xml:space="preserve">Change in lock-up days vs previous month</t>
  </si>
  <si>
    <t xml:space="preserve">Contingency matters</t>
  </si>
  <si>
    <t xml:space="preserve">Referral fee % defaults from Settings; type your own in column G to override it. Whether costs come off before the fee, and any referral fee, depend on your agreement and your rules.</t>
  </si>
  <si>
    <t xml:space="preserve">Settlement amount</t>
  </si>
  <si>
    <t xml:space="preserve">Contingency %</t>
  </si>
  <si>
    <t xml:space="preserve">Case costs</t>
  </si>
  <si>
    <t xml:space="preserve">Costs deducted before fee</t>
  </si>
  <si>
    <t xml:space="preserve">Default referral fee % (Settings)</t>
  </si>
  <si>
    <t xml:space="preserve">or type your own referral %</t>
  </si>
  <si>
    <t xml:space="preserve">Referral fee % used</t>
  </si>
  <si>
    <t xml:space="preserve">Hours worked</t>
  </si>
  <si>
    <t xml:space="preserve">Fee base</t>
  </si>
  <si>
    <t xml:space="preserve">Gross fee</t>
  </si>
  <si>
    <t xml:space="preserve">Referral fee</t>
  </si>
  <si>
    <t xml:space="preserve">Net fee to firm</t>
  </si>
  <si>
    <t xml:space="preserve">Net to client</t>
  </si>
  <si>
    <t xml:space="preserve">yes</t>
  </si>
  <si>
    <t xml:space="preserve">Nguyen slip and fall</t>
  </si>
  <si>
    <t xml:space="preserve">no</t>
  </si>
  <si>
    <t xml:space="preserve">Delta product claim</t>
  </si>
  <si>
    <t xml:space="preserve">Summary</t>
  </si>
  <si>
    <t xml:space="preserve">from Settings</t>
  </si>
  <si>
    <t xml:space="preserve">Average cost rate</t>
  </si>
  <si>
    <t xml:space="preserve">simple average of the timekeeper cost rates</t>
  </si>
  <si>
    <t xml:space="preserve">Average bill rate</t>
  </si>
  <si>
    <t xml:space="preserve">simple average of the timekeeper bill rates</t>
  </si>
  <si>
    <t xml:space="preserve">Timekeepers with negative margin</t>
  </si>
  <si>
    <t xml:space="preserve">bill rate below cost rate</t>
  </si>
  <si>
    <t xml:space="preserve">Total annual cost of timekeepers</t>
  </si>
  <si>
    <t xml:space="preserve">loaded salaries + overhead</t>
  </si>
  <si>
    <t xml:space="preserve">Flat fee matters priced below the computed fee</t>
  </si>
  <si>
    <t xml:space="preserve">current fee below the flat fee at your target margin</t>
  </si>
  <si>
    <t xml:space="preserve">Monthly uplift at the computed fee</t>
  </si>
  <si>
    <t xml:space="preserve">assumes each under-priced matter is sold once a month</t>
  </si>
  <si>
    <t xml:space="preserve">Matters over budget</t>
  </si>
  <si>
    <t xml:space="preserve">actual fees above budget fees</t>
  </si>
  <si>
    <t xml:space="preserve">Total write-offs</t>
  </si>
  <si>
    <t xml:space="preserve">Matter Tracker totals</t>
  </si>
  <si>
    <t xml:space="preserve">Overall recovery %</t>
  </si>
  <si>
    <t xml:space="preserve">collected ÷ actual fees, from the totals</t>
  </si>
  <si>
    <t xml:space="preserve">Latest lock-up days</t>
  </si>
  <si>
    <t xml:space="preserve">the most recent month on Lock-Up &amp; Contingency</t>
  </si>
  <si>
    <t xml:space="preserve">Latest locked-up cash</t>
  </si>
  <si>
    <t xml:space="preserve">unbilled WIP + accounts receivable</t>
  </si>
  <si>
    <t xml:space="preserve">Change in lock-up days vs first month</t>
  </si>
  <si>
    <t xml:space="preserve">negative = cash is coming in faster</t>
  </si>
  <si>
    <t xml:space="preserve">Total net contingency fees to firm</t>
  </si>
  <si>
    <t xml:space="preserve">after referral fees</t>
  </si>
  <si>
    <t xml:space="preserve">Average effective hourly rate on contingency matters</t>
  </si>
  <si>
    <t xml:space="preserve">total net fee ÷ total hours worked</t>
  </si>
</sst>
</file>

<file path=xl/styles.xml><?xml version="1.0" encoding="utf-8"?>
<styleSheet xmlns="http://schemas.openxmlformats.org/spreadsheetml/2006/main">
  <numFmts count="10">
    <numFmt numFmtId="164" formatCode="General"/>
    <numFmt numFmtId="165" formatCode="#,##0.00;\(#,##0.00\);\-"/>
    <numFmt numFmtId="166" formatCode="0.00\%"/>
    <numFmt numFmtId="167" formatCode="0"/>
    <numFmt numFmtId="168" formatCode="0.00"/>
    <numFmt numFmtId="169" formatCode="0&quot; timekeepers&quot;"/>
    <numFmt numFmtId="170" formatCode="0.0"/>
    <numFmt numFmtId="171" formatCode="0.00;\-0.00;0.00"/>
    <numFmt numFmtId="172" formatCode="0&quot; matters&quot;"/>
    <numFmt numFmtId="173" formatCode="mmm\ yyyy"/>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8" fillId="2"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row r="26" customFormat="false" ht="15" hidden="false" customHeight="false" outlineLevel="0" collapsed="false">
      <c r="A26" s="4" t="s">
        <v>22</v>
      </c>
    </row>
    <row r="27" customFormat="false" ht="15" hidden="false" customHeight="false" outlineLevel="0" collapsed="false">
      <c r="A27"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90"/>
  </cols>
  <sheetData>
    <row r="1" customFormat="false" ht="17.35" hidden="false" customHeight="false" outlineLevel="0" collapsed="false">
      <c r="A1" s="2" t="s">
        <v>24</v>
      </c>
    </row>
    <row r="2" customFormat="false" ht="15" hidden="false" customHeight="false" outlineLevel="0" collapsed="false">
      <c r="A2" s="4" t="s">
        <v>25</v>
      </c>
      <c r="B2" s="6" t="n">
        <v>60000</v>
      </c>
      <c r="C2" s="3" t="s">
        <v>26</v>
      </c>
    </row>
    <row r="3" customFormat="false" ht="15" hidden="false" customHeight="false" outlineLevel="0" collapsed="false">
      <c r="A3" s="4" t="s">
        <v>27</v>
      </c>
      <c r="B3" s="6" t="n">
        <v>90000</v>
      </c>
      <c r="C3" s="3" t="s">
        <v>28</v>
      </c>
    </row>
    <row r="4" customFormat="false" ht="15" hidden="false" customHeight="false" outlineLevel="0" collapsed="false">
      <c r="A4" s="4" t="s">
        <v>29</v>
      </c>
      <c r="B4" s="6" t="n">
        <v>12000</v>
      </c>
      <c r="C4" s="3" t="s">
        <v>30</v>
      </c>
    </row>
    <row r="5" customFormat="false" ht="15" hidden="false" customHeight="false" outlineLevel="0" collapsed="false">
      <c r="A5" s="4" t="s">
        <v>31</v>
      </c>
      <c r="B5" s="6" t="n">
        <v>8000</v>
      </c>
      <c r="C5" s="3" t="s">
        <v>32</v>
      </c>
    </row>
    <row r="6" customFormat="false" ht="15" hidden="false" customHeight="false" outlineLevel="0" collapsed="false">
      <c r="A6" s="4" t="s">
        <v>33</v>
      </c>
      <c r="B6" s="6" t="n">
        <v>10000</v>
      </c>
      <c r="C6" s="3" t="s">
        <v>34</v>
      </c>
    </row>
    <row r="7" customFormat="false" ht="15" hidden="false" customHeight="false" outlineLevel="0" collapsed="false">
      <c r="A7" s="4" t="s">
        <v>35</v>
      </c>
      <c r="B7" s="6" t="n">
        <v>10000</v>
      </c>
      <c r="C7" s="3" t="s">
        <v>36</v>
      </c>
    </row>
    <row r="8" customFormat="false" ht="15" hidden="false" customHeight="false" outlineLevel="0" collapsed="false">
      <c r="A8" s="5" t="s">
        <v>37</v>
      </c>
      <c r="B8" s="7" t="n">
        <f aca="false">SUM(B2:B7)</f>
        <v>190000</v>
      </c>
      <c r="C8" s="3" t="s">
        <v>38</v>
      </c>
    </row>
    <row r="9" customFormat="false" ht="15" hidden="false" customHeight="false" outlineLevel="0" collapsed="false">
      <c r="A9" s="4" t="s">
        <v>39</v>
      </c>
      <c r="B9" s="4" t="s">
        <v>40</v>
      </c>
      <c r="C9" s="3" t="s">
        <v>41</v>
      </c>
    </row>
    <row r="10" customFormat="false" ht="15" hidden="false" customHeight="false" outlineLevel="0" collapsed="false">
      <c r="A10" s="4" t="s">
        <v>42</v>
      </c>
      <c r="B10" s="8" t="n">
        <v>20</v>
      </c>
      <c r="C10" s="3" t="s">
        <v>43</v>
      </c>
    </row>
    <row r="11" customFormat="false" ht="15" hidden="false" customHeight="false" outlineLevel="0" collapsed="false">
      <c r="A11" s="4" t="s">
        <v>44</v>
      </c>
      <c r="B11" s="9" t="n">
        <v>1500</v>
      </c>
      <c r="C11" s="3" t="s">
        <v>45</v>
      </c>
    </row>
    <row r="12" customFormat="false" ht="15" hidden="false" customHeight="false" outlineLevel="0" collapsed="false">
      <c r="A12" s="4" t="s">
        <v>46</v>
      </c>
      <c r="B12" s="8" t="n">
        <v>35</v>
      </c>
      <c r="C12" s="3" t="s">
        <v>47</v>
      </c>
    </row>
    <row r="13" customFormat="false" ht="15" hidden="false" customHeight="false" outlineLevel="0" collapsed="false">
      <c r="A13" s="4" t="s">
        <v>48</v>
      </c>
      <c r="B13" s="8" t="n">
        <v>15</v>
      </c>
      <c r="C13" s="3" t="s">
        <v>49</v>
      </c>
    </row>
    <row r="14" customFormat="false" ht="15" hidden="false" customHeight="false" outlineLevel="0" collapsed="false">
      <c r="A14" s="4" t="s">
        <v>50</v>
      </c>
      <c r="B14" s="10" t="n">
        <v>365</v>
      </c>
      <c r="C14" s="3" t="s">
        <v>51</v>
      </c>
    </row>
    <row r="15" customFormat="false" ht="15" hidden="false" customHeight="false" outlineLevel="0" collapsed="false">
      <c r="A15" s="4" t="s">
        <v>52</v>
      </c>
      <c r="B15" s="11" t="n">
        <v>0</v>
      </c>
      <c r="C15" s="3" t="s">
        <v>53</v>
      </c>
    </row>
    <row r="16" customFormat="false" ht="15" hidden="false" customHeight="false" outlineLevel="0" collapsed="false">
      <c r="A16" s="4" t="s">
        <v>54</v>
      </c>
      <c r="B16" s="10" t="n">
        <v>21</v>
      </c>
      <c r="C16" s="3" t="s">
        <v>55</v>
      </c>
    </row>
    <row r="17" customFormat="false" ht="15" hidden="false" customHeight="false" outlineLevel="0" collapsed="false">
      <c r="A17" s="5" t="s">
        <v>56</v>
      </c>
      <c r="B17" s="12" t="n">
        <f aca="false">COUNTA(Timekeepers!$A$5:$A$24)</f>
        <v>6</v>
      </c>
      <c r="C17" s="3" t="s">
        <v>57</v>
      </c>
    </row>
    <row r="18" customFormat="false" ht="15" hidden="false" customHeight="false" outlineLevel="0" collapsed="false">
      <c r="A18" s="5" t="s">
        <v>58</v>
      </c>
      <c r="B18" s="7" t="n">
        <f aca="false">IFERROR(ROUND(B8/B17,2),0)</f>
        <v>31666.67</v>
      </c>
      <c r="C18" s="3" t="s">
        <v>59</v>
      </c>
    </row>
    <row r="19" customFormat="false" ht="15" hidden="false" customHeight="false" outlineLevel="0" collapsed="false">
      <c r="A19" s="4" t="s">
        <v>60</v>
      </c>
      <c r="B19" s="13" t="n">
        <f aca="false">Timekeepers!$I$25</f>
        <v>8500</v>
      </c>
      <c r="C19" s="3" t="s">
        <v>61</v>
      </c>
    </row>
    <row r="20" customFormat="false" ht="15" hidden="false" customHeight="false" outlineLevel="0" collapsed="false">
      <c r="A20" s="5" t="s">
        <v>62</v>
      </c>
      <c r="B20" s="7" t="n">
        <f aca="false">IFERROR(ROUND(B8/B19,2),0)</f>
        <v>22.35</v>
      </c>
      <c r="C20" s="3"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4"/>
    <col collapsed="false" customWidth="true" hidden="false" outlineLevel="0" max="5" min="4" style="1" width="12"/>
    <col collapsed="false" customWidth="true" hidden="false" outlineLevel="0" max="6" min="6" style="1" width="11"/>
    <col collapsed="false" customWidth="true" hidden="false" outlineLevel="0" max="8" min="7" style="1" width="12"/>
    <col collapsed="false" customWidth="true" hidden="false" outlineLevel="0" max="10" min="9" style="1" width="11"/>
    <col collapsed="false" customWidth="true" hidden="false" outlineLevel="0" max="13" min="11" style="1" width="13"/>
    <col collapsed="false" customWidth="true" hidden="false" outlineLevel="0" max="15" min="14" style="1" width="11"/>
    <col collapsed="false" customWidth="true" hidden="false" outlineLevel="0" max="16" min="16" style="1" width="10"/>
    <col collapsed="false" customWidth="true" hidden="false" outlineLevel="0" max="17" min="17" style="1" width="11"/>
    <col collapsed="false" customWidth="true" hidden="false" outlineLevel="0" max="18" min="18" style="1" width="12"/>
  </cols>
  <sheetData>
    <row r="1" customFormat="false" ht="17.35" hidden="false" customHeight="false" outlineLevel="0" collapsed="false">
      <c r="A1" s="2" t="s">
        <v>64</v>
      </c>
    </row>
    <row r="2" customFormat="false" ht="15" hidden="false" customHeight="false" outlineLevel="0" collapsed="false">
      <c r="A2" s="3" t="s">
        <v>65</v>
      </c>
    </row>
    <row r="4" customFormat="false" ht="52.2" hidden="false" customHeight="false" outlineLevel="0" collapsed="false">
      <c r="A4" s="14" t="s">
        <v>66</v>
      </c>
      <c r="B4" s="14" t="s">
        <v>67</v>
      </c>
      <c r="C4" s="14" t="s">
        <v>68</v>
      </c>
      <c r="D4" s="14" t="s">
        <v>69</v>
      </c>
      <c r="E4" s="14" t="s">
        <v>70</v>
      </c>
      <c r="F4" s="14" t="s">
        <v>71</v>
      </c>
      <c r="G4" s="14" t="s">
        <v>72</v>
      </c>
      <c r="H4" s="14" t="s">
        <v>73</v>
      </c>
      <c r="I4" s="14" t="s">
        <v>74</v>
      </c>
      <c r="J4" s="14" t="s">
        <v>75</v>
      </c>
      <c r="K4" s="14" t="s">
        <v>76</v>
      </c>
      <c r="L4" s="14" t="s">
        <v>77</v>
      </c>
      <c r="M4" s="14" t="s">
        <v>78</v>
      </c>
      <c r="N4" s="14" t="s">
        <v>79</v>
      </c>
      <c r="O4" s="14" t="s">
        <v>80</v>
      </c>
      <c r="P4" s="14" t="s">
        <v>81</v>
      </c>
      <c r="Q4" s="14" t="s">
        <v>82</v>
      </c>
      <c r="R4" s="14" t="s">
        <v>83</v>
      </c>
    </row>
    <row r="5" customFormat="false" ht="15" hidden="false" customHeight="false" outlineLevel="0" collapsed="false">
      <c r="A5" s="15" t="s">
        <v>84</v>
      </c>
      <c r="B5" s="15" t="s">
        <v>85</v>
      </c>
      <c r="C5" s="6" t="n">
        <v>180000</v>
      </c>
      <c r="D5" s="16" t="n">
        <f aca="false">IF(A5="","",Settings!$B$10)</f>
        <v>20</v>
      </c>
      <c r="E5" s="11"/>
      <c r="F5" s="16" t="n">
        <f aca="false">IF(A5="","",IF(E5&lt;&gt;"",E5,D5))</f>
        <v>20</v>
      </c>
      <c r="G5" s="13" t="n">
        <f aca="false">IF(A5="","",Settings!$B$11)</f>
        <v>1500</v>
      </c>
      <c r="H5" s="10"/>
      <c r="I5" s="13" t="n">
        <f aca="false">IF(A5="","",IF(H5&lt;&gt;"",H5,G5))</f>
        <v>1500</v>
      </c>
      <c r="J5" s="6" t="n">
        <v>450</v>
      </c>
      <c r="K5" s="17" t="n">
        <f aca="false">IF(A5="","",ROUND(C5*(1+F5/100),2))</f>
        <v>216000</v>
      </c>
      <c r="L5" s="17" t="n">
        <f aca="false">IF(A5="","",Settings!$B$18)</f>
        <v>31666.67</v>
      </c>
      <c r="M5" s="17" t="n">
        <f aca="false">IF(A5="","",K5+L5)</f>
        <v>247666.67</v>
      </c>
      <c r="N5" s="17" t="n">
        <f aca="false">IF(A5="","",IFERROR(ROUND(M5/I5,2),0))</f>
        <v>165.11</v>
      </c>
      <c r="O5" s="17" t="n">
        <f aca="false">IF(A5="","",ROUND(J5-N5,2))</f>
        <v>284.89</v>
      </c>
      <c r="P5" s="16" t="n">
        <f aca="false">IF(A5="","",IFERROR(ROUND(O5/J5*100,2),0))</f>
        <v>63.31</v>
      </c>
      <c r="Q5" s="18" t="n">
        <f aca="false">IF(A5="","",IFERROR(ROUND(M5/J5,2),0))</f>
        <v>550.37</v>
      </c>
      <c r="R5" s="18" t="n">
        <f aca="false">IF(A5="","",IFERROR(ROUND(I5/(Settings!$B$16*12),2),0))</f>
        <v>5.95</v>
      </c>
    </row>
    <row r="6" customFormat="false" ht="15" hidden="false" customHeight="false" outlineLevel="0" collapsed="false">
      <c r="A6" s="15" t="s">
        <v>86</v>
      </c>
      <c r="B6" s="15" t="s">
        <v>85</v>
      </c>
      <c r="C6" s="6" t="n">
        <v>160000</v>
      </c>
      <c r="D6" s="16" t="n">
        <f aca="false">IF(A6="","",Settings!$B$10)</f>
        <v>20</v>
      </c>
      <c r="E6" s="11"/>
      <c r="F6" s="16" t="n">
        <f aca="false">IF(A6="","",IF(E6&lt;&gt;"",E6,D6))</f>
        <v>20</v>
      </c>
      <c r="G6" s="13" t="n">
        <f aca="false">IF(A6="","",Settings!$B$11)</f>
        <v>1500</v>
      </c>
      <c r="H6" s="10" t="n">
        <v>1300</v>
      </c>
      <c r="I6" s="13" t="n">
        <f aca="false">IF(A6="","",IF(H6&lt;&gt;"",H6,G6))</f>
        <v>1300</v>
      </c>
      <c r="J6" s="6" t="n">
        <v>400</v>
      </c>
      <c r="K6" s="17" t="n">
        <f aca="false">IF(A6="","",ROUND(C6*(1+F6/100),2))</f>
        <v>192000</v>
      </c>
      <c r="L6" s="17" t="n">
        <f aca="false">IF(A6="","",Settings!$B$18)</f>
        <v>31666.67</v>
      </c>
      <c r="M6" s="17" t="n">
        <f aca="false">IF(A6="","",K6+L6)</f>
        <v>223666.67</v>
      </c>
      <c r="N6" s="17" t="n">
        <f aca="false">IF(A6="","",IFERROR(ROUND(M6/I6,2),0))</f>
        <v>172.05</v>
      </c>
      <c r="O6" s="17" t="n">
        <f aca="false">IF(A6="","",ROUND(J6-N6,2))</f>
        <v>227.95</v>
      </c>
      <c r="P6" s="16" t="n">
        <f aca="false">IF(A6="","",IFERROR(ROUND(O6/J6*100,2),0))</f>
        <v>56.99</v>
      </c>
      <c r="Q6" s="18" t="n">
        <f aca="false">IF(A6="","",IFERROR(ROUND(M6/J6,2),0))</f>
        <v>559.17</v>
      </c>
      <c r="R6" s="18" t="n">
        <f aca="false">IF(A6="","",IFERROR(ROUND(I6/(Settings!$B$16*12),2),0))</f>
        <v>5.16</v>
      </c>
    </row>
    <row r="7" customFormat="false" ht="15" hidden="false" customHeight="false" outlineLevel="0" collapsed="false">
      <c r="A7" s="15" t="s">
        <v>87</v>
      </c>
      <c r="B7" s="15" t="s">
        <v>88</v>
      </c>
      <c r="C7" s="6" t="n">
        <v>95000</v>
      </c>
      <c r="D7" s="16" t="n">
        <f aca="false">IF(A7="","",Settings!$B$10)</f>
        <v>20</v>
      </c>
      <c r="E7" s="11"/>
      <c r="F7" s="16" t="n">
        <f aca="false">IF(A7="","",IF(E7&lt;&gt;"",E7,D7))</f>
        <v>20</v>
      </c>
      <c r="G7" s="13" t="n">
        <f aca="false">IF(A7="","",Settings!$B$11)</f>
        <v>1500</v>
      </c>
      <c r="H7" s="10"/>
      <c r="I7" s="13" t="n">
        <f aca="false">IF(A7="","",IF(H7&lt;&gt;"",H7,G7))</f>
        <v>1500</v>
      </c>
      <c r="J7" s="6" t="n">
        <v>275</v>
      </c>
      <c r="K7" s="17" t="n">
        <f aca="false">IF(A7="","",ROUND(C7*(1+F7/100),2))</f>
        <v>114000</v>
      </c>
      <c r="L7" s="17" t="n">
        <f aca="false">IF(A7="","",Settings!$B$18)</f>
        <v>31666.67</v>
      </c>
      <c r="M7" s="17" t="n">
        <f aca="false">IF(A7="","",K7+L7)</f>
        <v>145666.67</v>
      </c>
      <c r="N7" s="17" t="n">
        <f aca="false">IF(A7="","",IFERROR(ROUND(M7/I7,2),0))</f>
        <v>97.11</v>
      </c>
      <c r="O7" s="17" t="n">
        <f aca="false">IF(A7="","",ROUND(J7-N7,2))</f>
        <v>177.89</v>
      </c>
      <c r="P7" s="16" t="n">
        <f aca="false">IF(A7="","",IFERROR(ROUND(O7/J7*100,2),0))</f>
        <v>64.69</v>
      </c>
      <c r="Q7" s="18" t="n">
        <f aca="false">IF(A7="","",IFERROR(ROUND(M7/J7,2),0))</f>
        <v>529.7</v>
      </c>
      <c r="R7" s="18" t="n">
        <f aca="false">IF(A7="","",IFERROR(ROUND(I7/(Settings!$B$16*12),2),0))</f>
        <v>5.95</v>
      </c>
    </row>
    <row r="8" customFormat="false" ht="15" hidden="false" customHeight="false" outlineLevel="0" collapsed="false">
      <c r="A8" s="15" t="s">
        <v>89</v>
      </c>
      <c r="B8" s="15" t="s">
        <v>88</v>
      </c>
      <c r="C8" s="6" t="n">
        <v>85000</v>
      </c>
      <c r="D8" s="16" t="n">
        <f aca="false">IF(A8="","",Settings!$B$10)</f>
        <v>20</v>
      </c>
      <c r="E8" s="11" t="n">
        <v>25</v>
      </c>
      <c r="F8" s="16" t="n">
        <f aca="false">IF(A8="","",IF(E8&lt;&gt;"",E8,D8))</f>
        <v>25</v>
      </c>
      <c r="G8" s="13" t="n">
        <f aca="false">IF(A8="","",Settings!$B$11)</f>
        <v>1500</v>
      </c>
      <c r="H8" s="10"/>
      <c r="I8" s="13" t="n">
        <f aca="false">IF(A8="","",IF(H8&lt;&gt;"",H8,G8))</f>
        <v>1500</v>
      </c>
      <c r="J8" s="6" t="n">
        <v>250</v>
      </c>
      <c r="K8" s="17" t="n">
        <f aca="false">IF(A8="","",ROUND(C8*(1+F8/100),2))</f>
        <v>106250</v>
      </c>
      <c r="L8" s="17" t="n">
        <f aca="false">IF(A8="","",Settings!$B$18)</f>
        <v>31666.67</v>
      </c>
      <c r="M8" s="17" t="n">
        <f aca="false">IF(A8="","",K8+L8)</f>
        <v>137916.67</v>
      </c>
      <c r="N8" s="17" t="n">
        <f aca="false">IF(A8="","",IFERROR(ROUND(M8/I8,2),0))</f>
        <v>91.94</v>
      </c>
      <c r="O8" s="17" t="n">
        <f aca="false">IF(A8="","",ROUND(J8-N8,2))</f>
        <v>158.06</v>
      </c>
      <c r="P8" s="16" t="n">
        <f aca="false">IF(A8="","",IFERROR(ROUND(O8/J8*100,2),0))</f>
        <v>63.22</v>
      </c>
      <c r="Q8" s="18" t="n">
        <f aca="false">IF(A8="","",IFERROR(ROUND(M8/J8,2),0))</f>
        <v>551.67</v>
      </c>
      <c r="R8" s="18" t="n">
        <f aca="false">IF(A8="","",IFERROR(ROUND(I8/(Settings!$B$16*12),2),0))</f>
        <v>5.95</v>
      </c>
    </row>
    <row r="9" customFormat="false" ht="15" hidden="false" customHeight="false" outlineLevel="0" collapsed="false">
      <c r="A9" s="15" t="s">
        <v>90</v>
      </c>
      <c r="B9" s="15" t="s">
        <v>88</v>
      </c>
      <c r="C9" s="6" t="n">
        <v>70000</v>
      </c>
      <c r="D9" s="16" t="n">
        <f aca="false">IF(A9="","",Settings!$B$10)</f>
        <v>20</v>
      </c>
      <c r="E9" s="11"/>
      <c r="F9" s="16" t="n">
        <f aca="false">IF(A9="","",IF(E9&lt;&gt;"",E9,D9))</f>
        <v>20</v>
      </c>
      <c r="G9" s="13" t="n">
        <f aca="false">IF(A9="","",Settings!$B$11)</f>
        <v>1500</v>
      </c>
      <c r="H9" s="10"/>
      <c r="I9" s="13" t="n">
        <f aca="false">IF(A9="","",IF(H9&lt;&gt;"",H9,G9))</f>
        <v>1500</v>
      </c>
      <c r="J9" s="6" t="n">
        <v>225</v>
      </c>
      <c r="K9" s="17" t="n">
        <f aca="false">IF(A9="","",ROUND(C9*(1+F9/100),2))</f>
        <v>84000</v>
      </c>
      <c r="L9" s="17" t="n">
        <f aca="false">IF(A9="","",Settings!$B$18)</f>
        <v>31666.67</v>
      </c>
      <c r="M9" s="17" t="n">
        <f aca="false">IF(A9="","",K9+L9)</f>
        <v>115666.67</v>
      </c>
      <c r="N9" s="17" t="n">
        <f aca="false">IF(A9="","",IFERROR(ROUND(M9/I9,2),0))</f>
        <v>77.11</v>
      </c>
      <c r="O9" s="17" t="n">
        <f aca="false">IF(A9="","",ROUND(J9-N9,2))</f>
        <v>147.89</v>
      </c>
      <c r="P9" s="16" t="n">
        <f aca="false">IF(A9="","",IFERROR(ROUND(O9/J9*100,2),0))</f>
        <v>65.73</v>
      </c>
      <c r="Q9" s="18" t="n">
        <f aca="false">IF(A9="","",IFERROR(ROUND(M9/J9,2),0))</f>
        <v>514.07</v>
      </c>
      <c r="R9" s="18" t="n">
        <f aca="false">IF(A9="","",IFERROR(ROUND(I9/(Settings!$B$16*12),2),0))</f>
        <v>5.95</v>
      </c>
    </row>
    <row r="10" customFormat="false" ht="15" hidden="false" customHeight="false" outlineLevel="0" collapsed="false">
      <c r="A10" s="15" t="s">
        <v>91</v>
      </c>
      <c r="B10" s="15" t="s">
        <v>92</v>
      </c>
      <c r="C10" s="6" t="n">
        <v>50000</v>
      </c>
      <c r="D10" s="16" t="n">
        <f aca="false">IF(A10="","",Settings!$B$10)</f>
        <v>20</v>
      </c>
      <c r="E10" s="11"/>
      <c r="F10" s="16" t="n">
        <f aca="false">IF(A10="","",IF(E10&lt;&gt;"",E10,D10))</f>
        <v>20</v>
      </c>
      <c r="G10" s="13" t="n">
        <f aca="false">IF(A10="","",Settings!$B$11)</f>
        <v>1500</v>
      </c>
      <c r="H10" s="10" t="n">
        <v>1200</v>
      </c>
      <c r="I10" s="13" t="n">
        <f aca="false">IF(A10="","",IF(H10&lt;&gt;"",H10,G10))</f>
        <v>1200</v>
      </c>
      <c r="J10" s="6" t="n">
        <v>150</v>
      </c>
      <c r="K10" s="17" t="n">
        <f aca="false">IF(A10="","",ROUND(C10*(1+F10/100),2))</f>
        <v>60000</v>
      </c>
      <c r="L10" s="17" t="n">
        <f aca="false">IF(A10="","",Settings!$B$18)</f>
        <v>31666.67</v>
      </c>
      <c r="M10" s="17" t="n">
        <f aca="false">IF(A10="","",K10+L10)</f>
        <v>91666.67</v>
      </c>
      <c r="N10" s="17" t="n">
        <f aca="false">IF(A10="","",IFERROR(ROUND(M10/I10,2),0))</f>
        <v>76.39</v>
      </c>
      <c r="O10" s="17" t="n">
        <f aca="false">IF(A10="","",ROUND(J10-N10,2))</f>
        <v>73.61</v>
      </c>
      <c r="P10" s="16" t="n">
        <f aca="false">IF(A10="","",IFERROR(ROUND(O10/J10*100,2),0))</f>
        <v>49.07</v>
      </c>
      <c r="Q10" s="18" t="n">
        <f aca="false">IF(A10="","",IFERROR(ROUND(M10/J10,2),0))</f>
        <v>611.11</v>
      </c>
      <c r="R10" s="18" t="n">
        <f aca="false">IF(A10="","",IFERROR(ROUND(I10/(Settings!$B$16*12),2),0))</f>
        <v>4.76</v>
      </c>
    </row>
    <row r="11" customFormat="false" ht="15" hidden="false" customHeight="false" outlineLevel="0" collapsed="false">
      <c r="A11" s="15"/>
      <c r="B11" s="15"/>
      <c r="C11" s="19"/>
      <c r="D11" s="16" t="str">
        <f aca="false">IF(A11="","",Settings!$B$10)</f>
        <v/>
      </c>
      <c r="E11" s="11"/>
      <c r="F11" s="16" t="str">
        <f aca="false">IF(A11="","",IF(E11&lt;&gt;"",E11,D11))</f>
        <v/>
      </c>
      <c r="G11" s="13" t="str">
        <f aca="false">IF(A11="","",Settings!$B$11)</f>
        <v/>
      </c>
      <c r="H11" s="10"/>
      <c r="I11" s="13" t="str">
        <f aca="false">IF(A11="","",IF(H11&lt;&gt;"",H11,G11))</f>
        <v/>
      </c>
      <c r="J11" s="19"/>
      <c r="K11" s="17" t="str">
        <f aca="false">IF(A11="","",ROUND(C11*(1+F11/100),2))</f>
        <v/>
      </c>
      <c r="L11" s="17" t="str">
        <f aca="false">IF(A11="","",Settings!$B$18)</f>
        <v/>
      </c>
      <c r="M11" s="17" t="str">
        <f aca="false">IF(A11="","",K11+L11)</f>
        <v/>
      </c>
      <c r="N11" s="17" t="str">
        <f aca="false">IF(A11="","",IFERROR(ROUND(M11/I11,2),0))</f>
        <v/>
      </c>
      <c r="O11" s="17" t="str">
        <f aca="false">IF(A11="","",ROUND(J11-N11,2))</f>
        <v/>
      </c>
      <c r="P11" s="16" t="str">
        <f aca="false">IF(A11="","",IFERROR(ROUND(O11/J11*100,2),0))</f>
        <v/>
      </c>
      <c r="Q11" s="18" t="str">
        <f aca="false">IF(A11="","",IFERROR(ROUND(M11/J11,2),0))</f>
        <v/>
      </c>
      <c r="R11" s="18" t="str">
        <f aca="false">IF(A11="","",IFERROR(ROUND(I11/(Settings!$B$16*12),2),0))</f>
        <v/>
      </c>
    </row>
    <row r="12" customFormat="false" ht="15" hidden="false" customHeight="false" outlineLevel="0" collapsed="false">
      <c r="A12" s="15"/>
      <c r="B12" s="15"/>
      <c r="C12" s="19"/>
      <c r="D12" s="16" t="str">
        <f aca="false">IF(A12="","",Settings!$B$10)</f>
        <v/>
      </c>
      <c r="E12" s="11"/>
      <c r="F12" s="16" t="str">
        <f aca="false">IF(A12="","",IF(E12&lt;&gt;"",E12,D12))</f>
        <v/>
      </c>
      <c r="G12" s="13" t="str">
        <f aca="false">IF(A12="","",Settings!$B$11)</f>
        <v/>
      </c>
      <c r="H12" s="10"/>
      <c r="I12" s="13" t="str">
        <f aca="false">IF(A12="","",IF(H12&lt;&gt;"",H12,G12))</f>
        <v/>
      </c>
      <c r="J12" s="19"/>
      <c r="K12" s="17" t="str">
        <f aca="false">IF(A12="","",ROUND(C12*(1+F12/100),2))</f>
        <v/>
      </c>
      <c r="L12" s="17" t="str">
        <f aca="false">IF(A12="","",Settings!$B$18)</f>
        <v/>
      </c>
      <c r="M12" s="17" t="str">
        <f aca="false">IF(A12="","",K12+L12)</f>
        <v/>
      </c>
      <c r="N12" s="17" t="str">
        <f aca="false">IF(A12="","",IFERROR(ROUND(M12/I12,2),0))</f>
        <v/>
      </c>
      <c r="O12" s="17" t="str">
        <f aca="false">IF(A12="","",ROUND(J12-N12,2))</f>
        <v/>
      </c>
      <c r="P12" s="16" t="str">
        <f aca="false">IF(A12="","",IFERROR(ROUND(O12/J12*100,2),0))</f>
        <v/>
      </c>
      <c r="Q12" s="18" t="str">
        <f aca="false">IF(A12="","",IFERROR(ROUND(M12/J12,2),0))</f>
        <v/>
      </c>
      <c r="R12" s="18" t="str">
        <f aca="false">IF(A12="","",IFERROR(ROUND(I12/(Settings!$B$16*12),2),0))</f>
        <v/>
      </c>
    </row>
    <row r="13" customFormat="false" ht="15" hidden="false" customHeight="false" outlineLevel="0" collapsed="false">
      <c r="A13" s="15"/>
      <c r="B13" s="15"/>
      <c r="C13" s="19"/>
      <c r="D13" s="16" t="str">
        <f aca="false">IF(A13="","",Settings!$B$10)</f>
        <v/>
      </c>
      <c r="E13" s="11"/>
      <c r="F13" s="16" t="str">
        <f aca="false">IF(A13="","",IF(E13&lt;&gt;"",E13,D13))</f>
        <v/>
      </c>
      <c r="G13" s="13" t="str">
        <f aca="false">IF(A13="","",Settings!$B$11)</f>
        <v/>
      </c>
      <c r="H13" s="10"/>
      <c r="I13" s="13" t="str">
        <f aca="false">IF(A13="","",IF(H13&lt;&gt;"",H13,G13))</f>
        <v/>
      </c>
      <c r="J13" s="19"/>
      <c r="K13" s="17" t="str">
        <f aca="false">IF(A13="","",ROUND(C13*(1+F13/100),2))</f>
        <v/>
      </c>
      <c r="L13" s="17" t="str">
        <f aca="false">IF(A13="","",Settings!$B$18)</f>
        <v/>
      </c>
      <c r="M13" s="17" t="str">
        <f aca="false">IF(A13="","",K13+L13)</f>
        <v/>
      </c>
      <c r="N13" s="17" t="str">
        <f aca="false">IF(A13="","",IFERROR(ROUND(M13/I13,2),0))</f>
        <v/>
      </c>
      <c r="O13" s="17" t="str">
        <f aca="false">IF(A13="","",ROUND(J13-N13,2))</f>
        <v/>
      </c>
      <c r="P13" s="16" t="str">
        <f aca="false">IF(A13="","",IFERROR(ROUND(O13/J13*100,2),0))</f>
        <v/>
      </c>
      <c r="Q13" s="18" t="str">
        <f aca="false">IF(A13="","",IFERROR(ROUND(M13/J13,2),0))</f>
        <v/>
      </c>
      <c r="R13" s="18" t="str">
        <f aca="false">IF(A13="","",IFERROR(ROUND(I13/(Settings!$B$16*12),2),0))</f>
        <v/>
      </c>
    </row>
    <row r="14" customFormat="false" ht="15" hidden="false" customHeight="false" outlineLevel="0" collapsed="false">
      <c r="A14" s="15"/>
      <c r="B14" s="15"/>
      <c r="C14" s="19"/>
      <c r="D14" s="16" t="str">
        <f aca="false">IF(A14="","",Settings!$B$10)</f>
        <v/>
      </c>
      <c r="E14" s="11"/>
      <c r="F14" s="16" t="str">
        <f aca="false">IF(A14="","",IF(E14&lt;&gt;"",E14,D14))</f>
        <v/>
      </c>
      <c r="G14" s="13" t="str">
        <f aca="false">IF(A14="","",Settings!$B$11)</f>
        <v/>
      </c>
      <c r="H14" s="10"/>
      <c r="I14" s="13" t="str">
        <f aca="false">IF(A14="","",IF(H14&lt;&gt;"",H14,G14))</f>
        <v/>
      </c>
      <c r="J14" s="19"/>
      <c r="K14" s="17" t="str">
        <f aca="false">IF(A14="","",ROUND(C14*(1+F14/100),2))</f>
        <v/>
      </c>
      <c r="L14" s="17" t="str">
        <f aca="false">IF(A14="","",Settings!$B$18)</f>
        <v/>
      </c>
      <c r="M14" s="17" t="str">
        <f aca="false">IF(A14="","",K14+L14)</f>
        <v/>
      </c>
      <c r="N14" s="17" t="str">
        <f aca="false">IF(A14="","",IFERROR(ROUND(M14/I14,2),0))</f>
        <v/>
      </c>
      <c r="O14" s="17" t="str">
        <f aca="false">IF(A14="","",ROUND(J14-N14,2))</f>
        <v/>
      </c>
      <c r="P14" s="16" t="str">
        <f aca="false">IF(A14="","",IFERROR(ROUND(O14/J14*100,2),0))</f>
        <v/>
      </c>
      <c r="Q14" s="18" t="str">
        <f aca="false">IF(A14="","",IFERROR(ROUND(M14/J14,2),0))</f>
        <v/>
      </c>
      <c r="R14" s="18" t="str">
        <f aca="false">IF(A14="","",IFERROR(ROUND(I14/(Settings!$B$16*12),2),0))</f>
        <v/>
      </c>
    </row>
    <row r="15" customFormat="false" ht="15" hidden="false" customHeight="false" outlineLevel="0" collapsed="false">
      <c r="A15" s="15"/>
      <c r="B15" s="15"/>
      <c r="C15" s="19"/>
      <c r="D15" s="16" t="str">
        <f aca="false">IF(A15="","",Settings!$B$10)</f>
        <v/>
      </c>
      <c r="E15" s="11"/>
      <c r="F15" s="16" t="str">
        <f aca="false">IF(A15="","",IF(E15&lt;&gt;"",E15,D15))</f>
        <v/>
      </c>
      <c r="G15" s="13" t="str">
        <f aca="false">IF(A15="","",Settings!$B$11)</f>
        <v/>
      </c>
      <c r="H15" s="10"/>
      <c r="I15" s="13" t="str">
        <f aca="false">IF(A15="","",IF(H15&lt;&gt;"",H15,G15))</f>
        <v/>
      </c>
      <c r="J15" s="19"/>
      <c r="K15" s="17" t="str">
        <f aca="false">IF(A15="","",ROUND(C15*(1+F15/100),2))</f>
        <v/>
      </c>
      <c r="L15" s="17" t="str">
        <f aca="false">IF(A15="","",Settings!$B$18)</f>
        <v/>
      </c>
      <c r="M15" s="17" t="str">
        <f aca="false">IF(A15="","",K15+L15)</f>
        <v/>
      </c>
      <c r="N15" s="17" t="str">
        <f aca="false">IF(A15="","",IFERROR(ROUND(M15/I15,2),0))</f>
        <v/>
      </c>
      <c r="O15" s="17" t="str">
        <f aca="false">IF(A15="","",ROUND(J15-N15,2))</f>
        <v/>
      </c>
      <c r="P15" s="16" t="str">
        <f aca="false">IF(A15="","",IFERROR(ROUND(O15/J15*100,2),0))</f>
        <v/>
      </c>
      <c r="Q15" s="18" t="str">
        <f aca="false">IF(A15="","",IFERROR(ROUND(M15/J15,2),0))</f>
        <v/>
      </c>
      <c r="R15" s="18" t="str">
        <f aca="false">IF(A15="","",IFERROR(ROUND(I15/(Settings!$B$16*12),2),0))</f>
        <v/>
      </c>
    </row>
    <row r="16" customFormat="false" ht="15" hidden="false" customHeight="false" outlineLevel="0" collapsed="false">
      <c r="A16" s="15"/>
      <c r="B16" s="15"/>
      <c r="C16" s="19"/>
      <c r="D16" s="16" t="str">
        <f aca="false">IF(A16="","",Settings!$B$10)</f>
        <v/>
      </c>
      <c r="E16" s="11"/>
      <c r="F16" s="16" t="str">
        <f aca="false">IF(A16="","",IF(E16&lt;&gt;"",E16,D16))</f>
        <v/>
      </c>
      <c r="G16" s="13" t="str">
        <f aca="false">IF(A16="","",Settings!$B$11)</f>
        <v/>
      </c>
      <c r="H16" s="10"/>
      <c r="I16" s="13" t="str">
        <f aca="false">IF(A16="","",IF(H16&lt;&gt;"",H16,G16))</f>
        <v/>
      </c>
      <c r="J16" s="19"/>
      <c r="K16" s="17" t="str">
        <f aca="false">IF(A16="","",ROUND(C16*(1+F16/100),2))</f>
        <v/>
      </c>
      <c r="L16" s="17" t="str">
        <f aca="false">IF(A16="","",Settings!$B$18)</f>
        <v/>
      </c>
      <c r="M16" s="17" t="str">
        <f aca="false">IF(A16="","",K16+L16)</f>
        <v/>
      </c>
      <c r="N16" s="17" t="str">
        <f aca="false">IF(A16="","",IFERROR(ROUND(M16/I16,2),0))</f>
        <v/>
      </c>
      <c r="O16" s="17" t="str">
        <f aca="false">IF(A16="","",ROUND(J16-N16,2))</f>
        <v/>
      </c>
      <c r="P16" s="16" t="str">
        <f aca="false">IF(A16="","",IFERROR(ROUND(O16/J16*100,2),0))</f>
        <v/>
      </c>
      <c r="Q16" s="18" t="str">
        <f aca="false">IF(A16="","",IFERROR(ROUND(M16/J16,2),0))</f>
        <v/>
      </c>
      <c r="R16" s="18" t="str">
        <f aca="false">IF(A16="","",IFERROR(ROUND(I16/(Settings!$B$16*12),2),0))</f>
        <v/>
      </c>
    </row>
    <row r="17" customFormat="false" ht="15" hidden="false" customHeight="false" outlineLevel="0" collapsed="false">
      <c r="A17" s="15"/>
      <c r="B17" s="15"/>
      <c r="C17" s="19"/>
      <c r="D17" s="16" t="str">
        <f aca="false">IF(A17="","",Settings!$B$10)</f>
        <v/>
      </c>
      <c r="E17" s="11"/>
      <c r="F17" s="16" t="str">
        <f aca="false">IF(A17="","",IF(E17&lt;&gt;"",E17,D17))</f>
        <v/>
      </c>
      <c r="G17" s="13" t="str">
        <f aca="false">IF(A17="","",Settings!$B$11)</f>
        <v/>
      </c>
      <c r="H17" s="10"/>
      <c r="I17" s="13" t="str">
        <f aca="false">IF(A17="","",IF(H17&lt;&gt;"",H17,G17))</f>
        <v/>
      </c>
      <c r="J17" s="19"/>
      <c r="K17" s="17" t="str">
        <f aca="false">IF(A17="","",ROUND(C17*(1+F17/100),2))</f>
        <v/>
      </c>
      <c r="L17" s="17" t="str">
        <f aca="false">IF(A17="","",Settings!$B$18)</f>
        <v/>
      </c>
      <c r="M17" s="17" t="str">
        <f aca="false">IF(A17="","",K17+L17)</f>
        <v/>
      </c>
      <c r="N17" s="17" t="str">
        <f aca="false">IF(A17="","",IFERROR(ROUND(M17/I17,2),0))</f>
        <v/>
      </c>
      <c r="O17" s="17" t="str">
        <f aca="false">IF(A17="","",ROUND(J17-N17,2))</f>
        <v/>
      </c>
      <c r="P17" s="16" t="str">
        <f aca="false">IF(A17="","",IFERROR(ROUND(O17/J17*100,2),0))</f>
        <v/>
      </c>
      <c r="Q17" s="18" t="str">
        <f aca="false">IF(A17="","",IFERROR(ROUND(M17/J17,2),0))</f>
        <v/>
      </c>
      <c r="R17" s="18" t="str">
        <f aca="false">IF(A17="","",IFERROR(ROUND(I17/(Settings!$B$16*12),2),0))</f>
        <v/>
      </c>
    </row>
    <row r="18" customFormat="false" ht="15" hidden="false" customHeight="false" outlineLevel="0" collapsed="false">
      <c r="A18" s="15"/>
      <c r="B18" s="15"/>
      <c r="C18" s="19"/>
      <c r="D18" s="16" t="str">
        <f aca="false">IF(A18="","",Settings!$B$10)</f>
        <v/>
      </c>
      <c r="E18" s="11"/>
      <c r="F18" s="16" t="str">
        <f aca="false">IF(A18="","",IF(E18&lt;&gt;"",E18,D18))</f>
        <v/>
      </c>
      <c r="G18" s="13" t="str">
        <f aca="false">IF(A18="","",Settings!$B$11)</f>
        <v/>
      </c>
      <c r="H18" s="10"/>
      <c r="I18" s="13" t="str">
        <f aca="false">IF(A18="","",IF(H18&lt;&gt;"",H18,G18))</f>
        <v/>
      </c>
      <c r="J18" s="19"/>
      <c r="K18" s="17" t="str">
        <f aca="false">IF(A18="","",ROUND(C18*(1+F18/100),2))</f>
        <v/>
      </c>
      <c r="L18" s="17" t="str">
        <f aca="false">IF(A18="","",Settings!$B$18)</f>
        <v/>
      </c>
      <c r="M18" s="17" t="str">
        <f aca="false">IF(A18="","",K18+L18)</f>
        <v/>
      </c>
      <c r="N18" s="17" t="str">
        <f aca="false">IF(A18="","",IFERROR(ROUND(M18/I18,2),0))</f>
        <v/>
      </c>
      <c r="O18" s="17" t="str">
        <f aca="false">IF(A18="","",ROUND(J18-N18,2))</f>
        <v/>
      </c>
      <c r="P18" s="16" t="str">
        <f aca="false">IF(A18="","",IFERROR(ROUND(O18/J18*100,2),0))</f>
        <v/>
      </c>
      <c r="Q18" s="18" t="str">
        <f aca="false">IF(A18="","",IFERROR(ROUND(M18/J18,2),0))</f>
        <v/>
      </c>
      <c r="R18" s="18" t="str">
        <f aca="false">IF(A18="","",IFERROR(ROUND(I18/(Settings!$B$16*12),2),0))</f>
        <v/>
      </c>
    </row>
    <row r="19" customFormat="false" ht="15" hidden="false" customHeight="false" outlineLevel="0" collapsed="false">
      <c r="A19" s="15"/>
      <c r="B19" s="15"/>
      <c r="C19" s="19"/>
      <c r="D19" s="16" t="str">
        <f aca="false">IF(A19="","",Settings!$B$10)</f>
        <v/>
      </c>
      <c r="E19" s="11"/>
      <c r="F19" s="16" t="str">
        <f aca="false">IF(A19="","",IF(E19&lt;&gt;"",E19,D19))</f>
        <v/>
      </c>
      <c r="G19" s="13" t="str">
        <f aca="false">IF(A19="","",Settings!$B$11)</f>
        <v/>
      </c>
      <c r="H19" s="10"/>
      <c r="I19" s="13" t="str">
        <f aca="false">IF(A19="","",IF(H19&lt;&gt;"",H19,G19))</f>
        <v/>
      </c>
      <c r="J19" s="19"/>
      <c r="K19" s="17" t="str">
        <f aca="false">IF(A19="","",ROUND(C19*(1+F19/100),2))</f>
        <v/>
      </c>
      <c r="L19" s="17" t="str">
        <f aca="false">IF(A19="","",Settings!$B$18)</f>
        <v/>
      </c>
      <c r="M19" s="17" t="str">
        <f aca="false">IF(A19="","",K19+L19)</f>
        <v/>
      </c>
      <c r="N19" s="17" t="str">
        <f aca="false">IF(A19="","",IFERROR(ROUND(M19/I19,2),0))</f>
        <v/>
      </c>
      <c r="O19" s="17" t="str">
        <f aca="false">IF(A19="","",ROUND(J19-N19,2))</f>
        <v/>
      </c>
      <c r="P19" s="16" t="str">
        <f aca="false">IF(A19="","",IFERROR(ROUND(O19/J19*100,2),0))</f>
        <v/>
      </c>
      <c r="Q19" s="18" t="str">
        <f aca="false">IF(A19="","",IFERROR(ROUND(M19/J19,2),0))</f>
        <v/>
      </c>
      <c r="R19" s="18" t="str">
        <f aca="false">IF(A19="","",IFERROR(ROUND(I19/(Settings!$B$16*12),2),0))</f>
        <v/>
      </c>
    </row>
    <row r="20" customFormat="false" ht="15" hidden="false" customHeight="false" outlineLevel="0" collapsed="false">
      <c r="A20" s="15"/>
      <c r="B20" s="15"/>
      <c r="C20" s="19"/>
      <c r="D20" s="16" t="str">
        <f aca="false">IF(A20="","",Settings!$B$10)</f>
        <v/>
      </c>
      <c r="E20" s="11"/>
      <c r="F20" s="16" t="str">
        <f aca="false">IF(A20="","",IF(E20&lt;&gt;"",E20,D20))</f>
        <v/>
      </c>
      <c r="G20" s="13" t="str">
        <f aca="false">IF(A20="","",Settings!$B$11)</f>
        <v/>
      </c>
      <c r="H20" s="10"/>
      <c r="I20" s="13" t="str">
        <f aca="false">IF(A20="","",IF(H20&lt;&gt;"",H20,G20))</f>
        <v/>
      </c>
      <c r="J20" s="19"/>
      <c r="K20" s="17" t="str">
        <f aca="false">IF(A20="","",ROUND(C20*(1+F20/100),2))</f>
        <v/>
      </c>
      <c r="L20" s="17" t="str">
        <f aca="false">IF(A20="","",Settings!$B$18)</f>
        <v/>
      </c>
      <c r="M20" s="17" t="str">
        <f aca="false">IF(A20="","",K20+L20)</f>
        <v/>
      </c>
      <c r="N20" s="17" t="str">
        <f aca="false">IF(A20="","",IFERROR(ROUND(M20/I20,2),0))</f>
        <v/>
      </c>
      <c r="O20" s="17" t="str">
        <f aca="false">IF(A20="","",ROUND(J20-N20,2))</f>
        <v/>
      </c>
      <c r="P20" s="16" t="str">
        <f aca="false">IF(A20="","",IFERROR(ROUND(O20/J20*100,2),0))</f>
        <v/>
      </c>
      <c r="Q20" s="18" t="str">
        <f aca="false">IF(A20="","",IFERROR(ROUND(M20/J20,2),0))</f>
        <v/>
      </c>
      <c r="R20" s="18" t="str">
        <f aca="false">IF(A20="","",IFERROR(ROUND(I20/(Settings!$B$16*12),2),0))</f>
        <v/>
      </c>
    </row>
    <row r="21" customFormat="false" ht="15" hidden="false" customHeight="false" outlineLevel="0" collapsed="false">
      <c r="A21" s="15"/>
      <c r="B21" s="15"/>
      <c r="C21" s="19"/>
      <c r="D21" s="16" t="str">
        <f aca="false">IF(A21="","",Settings!$B$10)</f>
        <v/>
      </c>
      <c r="E21" s="11"/>
      <c r="F21" s="16" t="str">
        <f aca="false">IF(A21="","",IF(E21&lt;&gt;"",E21,D21))</f>
        <v/>
      </c>
      <c r="G21" s="13" t="str">
        <f aca="false">IF(A21="","",Settings!$B$11)</f>
        <v/>
      </c>
      <c r="H21" s="10"/>
      <c r="I21" s="13" t="str">
        <f aca="false">IF(A21="","",IF(H21&lt;&gt;"",H21,G21))</f>
        <v/>
      </c>
      <c r="J21" s="19"/>
      <c r="K21" s="17" t="str">
        <f aca="false">IF(A21="","",ROUND(C21*(1+F21/100),2))</f>
        <v/>
      </c>
      <c r="L21" s="17" t="str">
        <f aca="false">IF(A21="","",Settings!$B$18)</f>
        <v/>
      </c>
      <c r="M21" s="17" t="str">
        <f aca="false">IF(A21="","",K21+L21)</f>
        <v/>
      </c>
      <c r="N21" s="17" t="str">
        <f aca="false">IF(A21="","",IFERROR(ROUND(M21/I21,2),0))</f>
        <v/>
      </c>
      <c r="O21" s="17" t="str">
        <f aca="false">IF(A21="","",ROUND(J21-N21,2))</f>
        <v/>
      </c>
      <c r="P21" s="16" t="str">
        <f aca="false">IF(A21="","",IFERROR(ROUND(O21/J21*100,2),0))</f>
        <v/>
      </c>
      <c r="Q21" s="18" t="str">
        <f aca="false">IF(A21="","",IFERROR(ROUND(M21/J21,2),0))</f>
        <v/>
      </c>
      <c r="R21" s="18" t="str">
        <f aca="false">IF(A21="","",IFERROR(ROUND(I21/(Settings!$B$16*12),2),0))</f>
        <v/>
      </c>
    </row>
    <row r="22" customFormat="false" ht="15" hidden="false" customHeight="false" outlineLevel="0" collapsed="false">
      <c r="A22" s="15"/>
      <c r="B22" s="15"/>
      <c r="C22" s="19"/>
      <c r="D22" s="16" t="str">
        <f aca="false">IF(A22="","",Settings!$B$10)</f>
        <v/>
      </c>
      <c r="E22" s="11"/>
      <c r="F22" s="16" t="str">
        <f aca="false">IF(A22="","",IF(E22&lt;&gt;"",E22,D22))</f>
        <v/>
      </c>
      <c r="G22" s="13" t="str">
        <f aca="false">IF(A22="","",Settings!$B$11)</f>
        <v/>
      </c>
      <c r="H22" s="10"/>
      <c r="I22" s="13" t="str">
        <f aca="false">IF(A22="","",IF(H22&lt;&gt;"",H22,G22))</f>
        <v/>
      </c>
      <c r="J22" s="19"/>
      <c r="K22" s="17" t="str">
        <f aca="false">IF(A22="","",ROUND(C22*(1+F22/100),2))</f>
        <v/>
      </c>
      <c r="L22" s="17" t="str">
        <f aca="false">IF(A22="","",Settings!$B$18)</f>
        <v/>
      </c>
      <c r="M22" s="17" t="str">
        <f aca="false">IF(A22="","",K22+L22)</f>
        <v/>
      </c>
      <c r="N22" s="17" t="str">
        <f aca="false">IF(A22="","",IFERROR(ROUND(M22/I22,2),0))</f>
        <v/>
      </c>
      <c r="O22" s="17" t="str">
        <f aca="false">IF(A22="","",ROUND(J22-N22,2))</f>
        <v/>
      </c>
      <c r="P22" s="16" t="str">
        <f aca="false">IF(A22="","",IFERROR(ROUND(O22/J22*100,2),0))</f>
        <v/>
      </c>
      <c r="Q22" s="18" t="str">
        <f aca="false">IF(A22="","",IFERROR(ROUND(M22/J22,2),0))</f>
        <v/>
      </c>
      <c r="R22" s="18" t="str">
        <f aca="false">IF(A22="","",IFERROR(ROUND(I22/(Settings!$B$16*12),2),0))</f>
        <v/>
      </c>
    </row>
    <row r="23" customFormat="false" ht="15" hidden="false" customHeight="false" outlineLevel="0" collapsed="false">
      <c r="A23" s="15"/>
      <c r="B23" s="15"/>
      <c r="C23" s="19"/>
      <c r="D23" s="16" t="str">
        <f aca="false">IF(A23="","",Settings!$B$10)</f>
        <v/>
      </c>
      <c r="E23" s="11"/>
      <c r="F23" s="16" t="str">
        <f aca="false">IF(A23="","",IF(E23&lt;&gt;"",E23,D23))</f>
        <v/>
      </c>
      <c r="G23" s="13" t="str">
        <f aca="false">IF(A23="","",Settings!$B$11)</f>
        <v/>
      </c>
      <c r="H23" s="10"/>
      <c r="I23" s="13" t="str">
        <f aca="false">IF(A23="","",IF(H23&lt;&gt;"",H23,G23))</f>
        <v/>
      </c>
      <c r="J23" s="19"/>
      <c r="K23" s="17" t="str">
        <f aca="false">IF(A23="","",ROUND(C23*(1+F23/100),2))</f>
        <v/>
      </c>
      <c r="L23" s="17" t="str">
        <f aca="false">IF(A23="","",Settings!$B$18)</f>
        <v/>
      </c>
      <c r="M23" s="17" t="str">
        <f aca="false">IF(A23="","",K23+L23)</f>
        <v/>
      </c>
      <c r="N23" s="17" t="str">
        <f aca="false">IF(A23="","",IFERROR(ROUND(M23/I23,2),0))</f>
        <v/>
      </c>
      <c r="O23" s="17" t="str">
        <f aca="false">IF(A23="","",ROUND(J23-N23,2))</f>
        <v/>
      </c>
      <c r="P23" s="16" t="str">
        <f aca="false">IF(A23="","",IFERROR(ROUND(O23/J23*100,2),0))</f>
        <v/>
      </c>
      <c r="Q23" s="18" t="str">
        <f aca="false">IF(A23="","",IFERROR(ROUND(M23/J23,2),0))</f>
        <v/>
      </c>
      <c r="R23" s="18" t="str">
        <f aca="false">IF(A23="","",IFERROR(ROUND(I23/(Settings!$B$16*12),2),0))</f>
        <v/>
      </c>
    </row>
    <row r="24" customFormat="false" ht="15" hidden="false" customHeight="false" outlineLevel="0" collapsed="false">
      <c r="A24" s="15"/>
      <c r="B24" s="15"/>
      <c r="C24" s="19"/>
      <c r="D24" s="16" t="str">
        <f aca="false">IF(A24="","",Settings!$B$10)</f>
        <v/>
      </c>
      <c r="E24" s="11"/>
      <c r="F24" s="16" t="str">
        <f aca="false">IF(A24="","",IF(E24&lt;&gt;"",E24,D24))</f>
        <v/>
      </c>
      <c r="G24" s="13" t="str">
        <f aca="false">IF(A24="","",Settings!$B$11)</f>
        <v/>
      </c>
      <c r="H24" s="10"/>
      <c r="I24" s="13" t="str">
        <f aca="false">IF(A24="","",IF(H24&lt;&gt;"",H24,G24))</f>
        <v/>
      </c>
      <c r="J24" s="19"/>
      <c r="K24" s="17" t="str">
        <f aca="false">IF(A24="","",ROUND(C24*(1+F24/100),2))</f>
        <v/>
      </c>
      <c r="L24" s="17" t="str">
        <f aca="false">IF(A24="","",Settings!$B$18)</f>
        <v/>
      </c>
      <c r="M24" s="17" t="str">
        <f aca="false">IF(A24="","",K24+L24)</f>
        <v/>
      </c>
      <c r="N24" s="17" t="str">
        <f aca="false">IF(A24="","",IFERROR(ROUND(M24/I24,2),0))</f>
        <v/>
      </c>
      <c r="O24" s="17" t="str">
        <f aca="false">IF(A24="","",ROUND(J24-N24,2))</f>
        <v/>
      </c>
      <c r="P24" s="16" t="str">
        <f aca="false">IF(A24="","",IFERROR(ROUND(O24/J24*100,2),0))</f>
        <v/>
      </c>
      <c r="Q24" s="18" t="str">
        <f aca="false">IF(A24="","",IFERROR(ROUND(M24/J24,2),0))</f>
        <v/>
      </c>
      <c r="R24" s="18" t="str">
        <f aca="false">IF(A24="","",IFERROR(ROUND(I24/(Settings!$B$16*12),2),0))</f>
        <v/>
      </c>
    </row>
    <row r="25" customFormat="false" ht="15" hidden="false" customHeight="false" outlineLevel="0" collapsed="false">
      <c r="A25" s="5" t="s">
        <v>93</v>
      </c>
      <c r="B25" s="20" t="n">
        <f aca="false">COUNTA(A5:A24)</f>
        <v>6</v>
      </c>
      <c r="C25" s="7" t="n">
        <f aca="false">SUM(C5:C24)</f>
        <v>640000</v>
      </c>
      <c r="I25" s="12" t="n">
        <f aca="false">SUM(I5:I24)</f>
        <v>8500</v>
      </c>
      <c r="K25" s="7" t="n">
        <f aca="false">SUM(K5:K24)</f>
        <v>772250</v>
      </c>
      <c r="L25" s="7" t="n">
        <f aca="false">SUM(L5:L24)</f>
        <v>190000.02</v>
      </c>
      <c r="M25" s="7" t="n">
        <f aca="false">SUM(M5:M24)</f>
        <v>962250.02</v>
      </c>
      <c r="N25" s="7" t="n">
        <f aca="false">IFERROR(ROUND(M25/I25,2),0)</f>
        <v>113.21</v>
      </c>
    </row>
  </sheetData>
  <dataValidations count="1">
    <dataValidation allowBlank="true" errorStyle="stop" operator="between" showDropDown="false" showErrorMessage="false" showInputMessage="false" sqref="B5:B24" type="list">
      <formula1>"partner,associate,paralegal,other"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5"/>
    <col collapsed="false" customWidth="true" hidden="false" outlineLevel="0" max="5" min="3" style="1" width="10"/>
    <col collapsed="false" customWidth="true" hidden="false" outlineLevel="0" max="8" min="6" style="1" width="12"/>
    <col collapsed="false" customWidth="true" hidden="false" outlineLevel="0" max="9" min="9" style="1" width="11"/>
    <col collapsed="false" customWidth="true" hidden="false" outlineLevel="0" max="11" min="10" style="1" width="12"/>
    <col collapsed="false" customWidth="true" hidden="false" outlineLevel="0" max="12" min="12" style="1" width="11"/>
    <col collapsed="false" customWidth="true" hidden="false" outlineLevel="0" max="16" min="13" style="1" width="12"/>
    <col collapsed="false" customWidth="true" hidden="false" outlineLevel="0" max="17" min="17" style="1" width="10"/>
    <col collapsed="false" customWidth="true" hidden="false" outlineLevel="0" max="19" min="18" style="1" width="12"/>
    <col collapsed="false" customWidth="true" hidden="false" outlineLevel="0" max="20" min="20" style="1" width="13"/>
  </cols>
  <sheetData>
    <row r="1" customFormat="false" ht="17.35" hidden="false" customHeight="false" outlineLevel="0" collapsed="false">
      <c r="A1" s="2" t="s">
        <v>94</v>
      </c>
    </row>
    <row r="2" customFormat="false" ht="15" hidden="false" customHeight="false" outlineLevel="0" collapsed="false">
      <c r="A2" s="5" t="s">
        <v>95</v>
      </c>
      <c r="B2" s="7" t="n">
        <f aca="false">IFERROR(ROUND(AVERAGEIF(Timekeepers!$B$5:$B$24,"partner",Timekeepers!$N$5:$N$24),2),0)</f>
        <v>168.58</v>
      </c>
      <c r="C2" s="5" t="s">
        <v>96</v>
      </c>
      <c r="D2" s="7" t="n">
        <f aca="false">IFERROR(ROUND(AVERAGEIF(Timekeepers!$B$5:$B$24,"associate",Timekeepers!$N$5:$N$24),2),0)</f>
        <v>88.72</v>
      </c>
      <c r="E2" s="5" t="s">
        <v>97</v>
      </c>
      <c r="F2" s="7" t="n">
        <f aca="false">IFERROR(ROUND(AVERAGEIF(Timekeepers!$B$5:$B$24,"paralegal",Timekeepers!$N$5:$N$24),2),0)</f>
        <v>76.39</v>
      </c>
    </row>
    <row r="3" customFormat="false" ht="15" hidden="false" customHeight="false" outlineLevel="0" collapsed="false">
      <c r="A3" s="3" t="s">
        <v>98</v>
      </c>
    </row>
    <row r="4" customFormat="false" ht="52.2" hidden="false" customHeight="false" outlineLevel="0" collapsed="false">
      <c r="A4" s="14" t="s">
        <v>99</v>
      </c>
      <c r="B4" s="14" t="s">
        <v>100</v>
      </c>
      <c r="C4" s="14" t="s">
        <v>101</v>
      </c>
      <c r="D4" s="14" t="s">
        <v>102</v>
      </c>
      <c r="E4" s="14" t="s">
        <v>103</v>
      </c>
      <c r="F4" s="14" t="s">
        <v>104</v>
      </c>
      <c r="G4" s="14" t="s">
        <v>105</v>
      </c>
      <c r="H4" s="14" t="s">
        <v>106</v>
      </c>
      <c r="I4" s="14" t="s">
        <v>107</v>
      </c>
      <c r="J4" s="14" t="s">
        <v>108</v>
      </c>
      <c r="K4" s="14" t="s">
        <v>109</v>
      </c>
      <c r="L4" s="14" t="s">
        <v>110</v>
      </c>
      <c r="M4" s="14" t="s">
        <v>111</v>
      </c>
      <c r="N4" s="14" t="s">
        <v>112</v>
      </c>
      <c r="O4" s="14" t="s">
        <v>113</v>
      </c>
      <c r="P4" s="14" t="s">
        <v>114</v>
      </c>
      <c r="Q4" s="14" t="s">
        <v>115</v>
      </c>
      <c r="R4" s="14" t="s">
        <v>116</v>
      </c>
      <c r="S4" s="14" t="s">
        <v>117</v>
      </c>
      <c r="T4" s="14" t="s">
        <v>118</v>
      </c>
    </row>
    <row r="5" customFormat="false" ht="15" hidden="false" customHeight="false" outlineLevel="0" collapsed="false">
      <c r="A5" s="15" t="s">
        <v>119</v>
      </c>
      <c r="B5" s="15" t="s">
        <v>120</v>
      </c>
      <c r="C5" s="21" t="n">
        <v>2</v>
      </c>
      <c r="D5" s="21" t="n">
        <v>6</v>
      </c>
      <c r="E5" s="21" t="n">
        <v>4</v>
      </c>
      <c r="F5" s="19" t="n">
        <v>150</v>
      </c>
      <c r="G5" s="16" t="n">
        <f aca="false">IF(A5="","",Settings!$B$13)</f>
        <v>15</v>
      </c>
      <c r="H5" s="11"/>
      <c r="I5" s="16" t="n">
        <f aca="false">IF(A5="","",IF(H5&lt;&gt;"",H5,G5))</f>
        <v>15</v>
      </c>
      <c r="J5" s="16" t="n">
        <f aca="false">IF(A5="","",Settings!$B$12)</f>
        <v>35</v>
      </c>
      <c r="K5" s="11"/>
      <c r="L5" s="16" t="n">
        <f aca="false">IF(A5="","",IF(K5&lt;&gt;"",K5,J5))</f>
        <v>35</v>
      </c>
      <c r="M5" s="17" t="n">
        <f aca="false">IF(A5="","",ROUND(C5*$B$2+D5*$D$2+E5*$F$2,2))</f>
        <v>1175.04</v>
      </c>
      <c r="N5" s="17" t="n">
        <f aca="false">IF(A5="","",ROUND(M5*(1+I5/100),2))</f>
        <v>1351.3</v>
      </c>
      <c r="O5" s="17" t="n">
        <f aca="false">IF(A5="","",N5+F5)</f>
        <v>1501.3</v>
      </c>
      <c r="P5" s="17" t="n">
        <f aca="false">IF(A5="","",IFERROR(ROUND(O5/(1-L5/100),2),0))</f>
        <v>2309.69</v>
      </c>
      <c r="Q5" s="22" t="n">
        <f aca="false">IF(A5="","",C5+D5+E5)</f>
        <v>12</v>
      </c>
      <c r="R5" s="17" t="n">
        <f aca="false">IF(A5="","",IFERROR(ROUND(P5/Q5,2),0))</f>
        <v>192.47</v>
      </c>
      <c r="S5" s="19" t="n">
        <v>1800</v>
      </c>
      <c r="T5" s="17" t="n">
        <f aca="false">IF(OR(A5="",S5=""),"",ROUND(S5-P5,2))</f>
        <v>-509.69</v>
      </c>
    </row>
    <row r="6" customFormat="false" ht="15" hidden="false" customHeight="false" outlineLevel="0" collapsed="false">
      <c r="A6" s="15" t="s">
        <v>121</v>
      </c>
      <c r="B6" s="15" t="s">
        <v>122</v>
      </c>
      <c r="C6" s="21" t="n">
        <v>1</v>
      </c>
      <c r="D6" s="21" t="n">
        <v>2</v>
      </c>
      <c r="E6" s="21" t="n">
        <v>3</v>
      </c>
      <c r="F6" s="19" t="n">
        <v>0</v>
      </c>
      <c r="G6" s="16" t="n">
        <f aca="false">IF(A6="","",Settings!$B$13)</f>
        <v>15</v>
      </c>
      <c r="H6" s="11"/>
      <c r="I6" s="16" t="n">
        <f aca="false">IF(A6="","",IF(H6&lt;&gt;"",H6,G6))</f>
        <v>15</v>
      </c>
      <c r="J6" s="16" t="n">
        <f aca="false">IF(A6="","",Settings!$B$12)</f>
        <v>35</v>
      </c>
      <c r="K6" s="11"/>
      <c r="L6" s="16" t="n">
        <f aca="false">IF(A6="","",IF(K6&lt;&gt;"",K6,J6))</f>
        <v>35</v>
      </c>
      <c r="M6" s="17" t="n">
        <f aca="false">IF(A6="","",ROUND(C6*$B$2+D6*$D$2+E6*$F$2,2))</f>
        <v>575.19</v>
      </c>
      <c r="N6" s="17" t="n">
        <f aca="false">IF(A6="","",ROUND(M6*(1+I6/100),2))</f>
        <v>661.47</v>
      </c>
      <c r="O6" s="17" t="n">
        <f aca="false">IF(A6="","",N6+F6)</f>
        <v>661.47</v>
      </c>
      <c r="P6" s="17" t="n">
        <f aca="false">IF(A6="","",IFERROR(ROUND(O6/(1-L6/100),2),0))</f>
        <v>1017.65</v>
      </c>
      <c r="Q6" s="22" t="n">
        <f aca="false">IF(A6="","",C6+D6+E6)</f>
        <v>6</v>
      </c>
      <c r="R6" s="17" t="n">
        <f aca="false">IF(A6="","",IFERROR(ROUND(P6/Q6,2),0))</f>
        <v>169.61</v>
      </c>
      <c r="S6" s="19" t="n">
        <v>1500</v>
      </c>
      <c r="T6" s="17" t="n">
        <f aca="false">IF(OR(A6="",S6=""),"",ROUND(S6-P6,2))</f>
        <v>482.35</v>
      </c>
    </row>
    <row r="7" customFormat="false" ht="15" hidden="false" customHeight="false" outlineLevel="0" collapsed="false">
      <c r="A7" s="15" t="s">
        <v>123</v>
      </c>
      <c r="B7" s="15" t="s">
        <v>124</v>
      </c>
      <c r="C7" s="21" t="n">
        <v>1</v>
      </c>
      <c r="D7" s="21" t="n">
        <v>4</v>
      </c>
      <c r="E7" s="21" t="n">
        <v>2</v>
      </c>
      <c r="F7" s="19" t="n">
        <v>300</v>
      </c>
      <c r="G7" s="16" t="n">
        <f aca="false">IF(A7="","",Settings!$B$13)</f>
        <v>15</v>
      </c>
      <c r="H7" s="11"/>
      <c r="I7" s="16" t="n">
        <f aca="false">IF(A7="","",IF(H7&lt;&gt;"",H7,G7))</f>
        <v>15</v>
      </c>
      <c r="J7" s="16" t="n">
        <f aca="false">IF(A7="","",Settings!$B$12)</f>
        <v>35</v>
      </c>
      <c r="K7" s="11"/>
      <c r="L7" s="16" t="n">
        <f aca="false">IF(A7="","",IF(K7&lt;&gt;"",K7,J7))</f>
        <v>35</v>
      </c>
      <c r="M7" s="17" t="n">
        <f aca="false">IF(A7="","",ROUND(C7*$B$2+D7*$D$2+E7*$F$2,2))</f>
        <v>676.24</v>
      </c>
      <c r="N7" s="17" t="n">
        <f aca="false">IF(A7="","",ROUND(M7*(1+I7/100),2))</f>
        <v>777.68</v>
      </c>
      <c r="O7" s="17" t="n">
        <f aca="false">IF(A7="","",N7+F7)</f>
        <v>1077.68</v>
      </c>
      <c r="P7" s="17" t="n">
        <f aca="false">IF(A7="","",IFERROR(ROUND(O7/(1-L7/100),2),0))</f>
        <v>1657.97</v>
      </c>
      <c r="Q7" s="22" t="n">
        <f aca="false">IF(A7="","",C7+D7+E7)</f>
        <v>7</v>
      </c>
      <c r="R7" s="17" t="n">
        <f aca="false">IF(A7="","",IFERROR(ROUND(P7/Q7,2),0))</f>
        <v>236.85</v>
      </c>
      <c r="S7" s="19" t="n">
        <v>2200</v>
      </c>
      <c r="T7" s="17" t="n">
        <f aca="false">IF(OR(A7="",S7=""),"",ROUND(S7-P7,2))</f>
        <v>542.03</v>
      </c>
    </row>
    <row r="8" customFormat="false" ht="15" hidden="false" customHeight="false" outlineLevel="0" collapsed="false">
      <c r="A8" s="15" t="s">
        <v>125</v>
      </c>
      <c r="B8" s="15" t="s">
        <v>126</v>
      </c>
      <c r="C8" s="21" t="n">
        <v>3</v>
      </c>
      <c r="D8" s="21" t="n">
        <v>5</v>
      </c>
      <c r="E8" s="21" t="n">
        <v>0</v>
      </c>
      <c r="F8" s="19" t="n">
        <v>0</v>
      </c>
      <c r="G8" s="16" t="n">
        <f aca="false">IF(A8="","",Settings!$B$13)</f>
        <v>15</v>
      </c>
      <c r="H8" s="11"/>
      <c r="I8" s="16" t="n">
        <f aca="false">IF(A8="","",IF(H8&lt;&gt;"",H8,G8))</f>
        <v>15</v>
      </c>
      <c r="J8" s="16" t="n">
        <f aca="false">IF(A8="","",Settings!$B$12)</f>
        <v>35</v>
      </c>
      <c r="K8" s="11"/>
      <c r="L8" s="16" t="n">
        <f aca="false">IF(A8="","",IF(K8&lt;&gt;"",K8,J8))</f>
        <v>35</v>
      </c>
      <c r="M8" s="17" t="n">
        <f aca="false">IF(A8="","",ROUND(C8*$B$2+D8*$D$2+E8*$F$2,2))</f>
        <v>949.34</v>
      </c>
      <c r="N8" s="17" t="n">
        <f aca="false">IF(A8="","",ROUND(M8*(1+I8/100),2))</f>
        <v>1091.74</v>
      </c>
      <c r="O8" s="17" t="n">
        <f aca="false">IF(A8="","",N8+F8)</f>
        <v>1091.74</v>
      </c>
      <c r="P8" s="17" t="n">
        <f aca="false">IF(A8="","",IFERROR(ROUND(O8/(1-L8/100),2),0))</f>
        <v>1679.6</v>
      </c>
      <c r="Q8" s="22" t="n">
        <f aca="false">IF(A8="","",C8+D8+E8)</f>
        <v>8</v>
      </c>
      <c r="R8" s="17" t="n">
        <f aca="false">IF(A8="","",IFERROR(ROUND(P8/Q8,2),0))</f>
        <v>209.95</v>
      </c>
      <c r="S8" s="19" t="n">
        <v>2500</v>
      </c>
      <c r="T8" s="17" t="n">
        <f aca="false">IF(OR(A8="",S8=""),"",ROUND(S8-P8,2))</f>
        <v>820.4</v>
      </c>
    </row>
    <row r="9" customFormat="false" ht="15" hidden="false" customHeight="false" outlineLevel="0" collapsed="false">
      <c r="A9" s="15" t="s">
        <v>127</v>
      </c>
      <c r="B9" s="15" t="s">
        <v>128</v>
      </c>
      <c r="C9" s="21" t="n">
        <v>2</v>
      </c>
      <c r="D9" s="21" t="n">
        <v>8</v>
      </c>
      <c r="E9" s="21" t="n">
        <v>6</v>
      </c>
      <c r="F9" s="19" t="n">
        <v>500</v>
      </c>
      <c r="G9" s="16" t="n">
        <f aca="false">IF(A9="","",Settings!$B$13)</f>
        <v>15</v>
      </c>
      <c r="H9" s="11"/>
      <c r="I9" s="16" t="n">
        <f aca="false">IF(A9="","",IF(H9&lt;&gt;"",H9,G9))</f>
        <v>15</v>
      </c>
      <c r="J9" s="16" t="n">
        <f aca="false">IF(A9="","",Settings!$B$12)</f>
        <v>35</v>
      </c>
      <c r="K9" s="11"/>
      <c r="L9" s="16" t="n">
        <f aca="false">IF(A9="","",IF(K9&lt;&gt;"",K9,J9))</f>
        <v>35</v>
      </c>
      <c r="M9" s="17" t="n">
        <f aca="false">IF(A9="","",ROUND(C9*$B$2+D9*$D$2+E9*$F$2,2))</f>
        <v>1505.26</v>
      </c>
      <c r="N9" s="17" t="n">
        <f aca="false">IF(A9="","",ROUND(M9*(1+I9/100),2))</f>
        <v>1731.05</v>
      </c>
      <c r="O9" s="17" t="n">
        <f aca="false">IF(A9="","",N9+F9)</f>
        <v>2231.05</v>
      </c>
      <c r="P9" s="17" t="n">
        <f aca="false">IF(A9="","",IFERROR(ROUND(O9/(1-L9/100),2),0))</f>
        <v>3432.38</v>
      </c>
      <c r="Q9" s="22" t="n">
        <f aca="false">IF(A9="","",C9+D9+E9)</f>
        <v>16</v>
      </c>
      <c r="R9" s="17" t="n">
        <f aca="false">IF(A9="","",IFERROR(ROUND(P9/Q9,2),0))</f>
        <v>214.52</v>
      </c>
      <c r="S9" s="19" t="n">
        <v>4200</v>
      </c>
      <c r="T9" s="17" t="n">
        <f aca="false">IF(OR(A9="",S9=""),"",ROUND(S9-P9,2))</f>
        <v>767.62</v>
      </c>
    </row>
    <row r="10" customFormat="false" ht="15" hidden="false" customHeight="false" outlineLevel="0" collapsed="false">
      <c r="A10" s="15" t="s">
        <v>129</v>
      </c>
      <c r="B10" s="15" t="s">
        <v>130</v>
      </c>
      <c r="C10" s="21" t="n">
        <v>10</v>
      </c>
      <c r="D10" s="21" t="n">
        <v>25</v>
      </c>
      <c r="E10" s="21" t="n">
        <v>10</v>
      </c>
      <c r="F10" s="19" t="n">
        <v>1200</v>
      </c>
      <c r="G10" s="16" t="n">
        <f aca="false">IF(A10="","",Settings!$B$13)</f>
        <v>15</v>
      </c>
      <c r="H10" s="11" t="n">
        <v>25</v>
      </c>
      <c r="I10" s="16" t="n">
        <f aca="false">IF(A10="","",IF(H10&lt;&gt;"",H10,G10))</f>
        <v>25</v>
      </c>
      <c r="J10" s="16" t="n">
        <f aca="false">IF(A10="","",Settings!$B$12)</f>
        <v>35</v>
      </c>
      <c r="K10" s="11" t="n">
        <v>30</v>
      </c>
      <c r="L10" s="16" t="n">
        <f aca="false">IF(A10="","",IF(K10&lt;&gt;"",K10,J10))</f>
        <v>30</v>
      </c>
      <c r="M10" s="17" t="n">
        <f aca="false">IF(A10="","",ROUND(C10*$B$2+D10*$D$2+E10*$F$2,2))</f>
        <v>4667.7</v>
      </c>
      <c r="N10" s="17" t="n">
        <f aca="false">IF(A10="","",ROUND(M10*(1+I10/100),2))</f>
        <v>5834.63</v>
      </c>
      <c r="O10" s="17" t="n">
        <f aca="false">IF(A10="","",N10+F10)</f>
        <v>7034.63</v>
      </c>
      <c r="P10" s="17" t="n">
        <f aca="false">IF(A10="","",IFERROR(ROUND(O10/(1-L10/100),2),0))</f>
        <v>10049.47</v>
      </c>
      <c r="Q10" s="22" t="n">
        <f aca="false">IF(A10="","",C10+D10+E10)</f>
        <v>45</v>
      </c>
      <c r="R10" s="17" t="n">
        <f aca="false">IF(A10="","",IFERROR(ROUND(P10/Q10,2),0))</f>
        <v>223.32</v>
      </c>
      <c r="S10" s="19" t="n">
        <v>12000</v>
      </c>
      <c r="T10" s="17" t="n">
        <f aca="false">IF(OR(A10="",S10=""),"",ROUND(S10-P10,2))</f>
        <v>1950.53</v>
      </c>
    </row>
    <row r="11" customFormat="false" ht="15" hidden="false" customHeight="false" outlineLevel="0" collapsed="false">
      <c r="A11" s="15"/>
      <c r="B11" s="15"/>
      <c r="C11" s="23"/>
      <c r="D11" s="23"/>
      <c r="E11" s="23"/>
      <c r="F11" s="19"/>
      <c r="G11" s="16" t="str">
        <f aca="false">IF(A11="","",Settings!$B$13)</f>
        <v/>
      </c>
      <c r="H11" s="11"/>
      <c r="I11" s="16" t="str">
        <f aca="false">IF(A11="","",IF(H11&lt;&gt;"",H11,G11))</f>
        <v/>
      </c>
      <c r="J11" s="16" t="str">
        <f aca="false">IF(A11="","",Settings!$B$12)</f>
        <v/>
      </c>
      <c r="K11" s="11"/>
      <c r="L11" s="16" t="str">
        <f aca="false">IF(A11="","",IF(K11&lt;&gt;"",K11,J11))</f>
        <v/>
      </c>
      <c r="M11" s="17" t="str">
        <f aca="false">IF(A11="","",ROUND(C11*$B$2+D11*$D$2+E11*$F$2,2))</f>
        <v/>
      </c>
      <c r="N11" s="17" t="str">
        <f aca="false">IF(A11="","",ROUND(M11*(1+I11/100),2))</f>
        <v/>
      </c>
      <c r="O11" s="17" t="str">
        <f aca="false">IF(A11="","",N11+F11)</f>
        <v/>
      </c>
      <c r="P11" s="17" t="str">
        <f aca="false">IF(A11="","",IFERROR(ROUND(O11/(1-L11/100),2),0))</f>
        <v/>
      </c>
      <c r="Q11" s="22" t="str">
        <f aca="false">IF(A11="","",C11+D11+E11)</f>
        <v/>
      </c>
      <c r="R11" s="17" t="str">
        <f aca="false">IF(A11="","",IFERROR(ROUND(P11/Q11,2),0))</f>
        <v/>
      </c>
      <c r="S11" s="19"/>
      <c r="T11" s="17" t="str">
        <f aca="false">IF(OR(A11="",S11=""),"",ROUND(S11-P11,2))</f>
        <v/>
      </c>
    </row>
    <row r="12" customFormat="false" ht="15" hidden="false" customHeight="false" outlineLevel="0" collapsed="false">
      <c r="A12" s="15"/>
      <c r="B12" s="15"/>
      <c r="C12" s="23"/>
      <c r="D12" s="23"/>
      <c r="E12" s="23"/>
      <c r="F12" s="19"/>
      <c r="G12" s="16" t="str">
        <f aca="false">IF(A12="","",Settings!$B$13)</f>
        <v/>
      </c>
      <c r="H12" s="11"/>
      <c r="I12" s="16" t="str">
        <f aca="false">IF(A12="","",IF(H12&lt;&gt;"",H12,G12))</f>
        <v/>
      </c>
      <c r="J12" s="16" t="str">
        <f aca="false">IF(A12="","",Settings!$B$12)</f>
        <v/>
      </c>
      <c r="K12" s="11"/>
      <c r="L12" s="16" t="str">
        <f aca="false">IF(A12="","",IF(K12&lt;&gt;"",K12,J12))</f>
        <v/>
      </c>
      <c r="M12" s="17" t="str">
        <f aca="false">IF(A12="","",ROUND(C12*$B$2+D12*$D$2+E12*$F$2,2))</f>
        <v/>
      </c>
      <c r="N12" s="17" t="str">
        <f aca="false">IF(A12="","",ROUND(M12*(1+I12/100),2))</f>
        <v/>
      </c>
      <c r="O12" s="17" t="str">
        <f aca="false">IF(A12="","",N12+F12)</f>
        <v/>
      </c>
      <c r="P12" s="17" t="str">
        <f aca="false">IF(A12="","",IFERROR(ROUND(O12/(1-L12/100),2),0))</f>
        <v/>
      </c>
      <c r="Q12" s="22" t="str">
        <f aca="false">IF(A12="","",C12+D12+E12)</f>
        <v/>
      </c>
      <c r="R12" s="17" t="str">
        <f aca="false">IF(A12="","",IFERROR(ROUND(P12/Q12,2),0))</f>
        <v/>
      </c>
      <c r="S12" s="19"/>
      <c r="T12" s="17" t="str">
        <f aca="false">IF(OR(A12="",S12=""),"",ROUND(S12-P12,2))</f>
        <v/>
      </c>
    </row>
    <row r="13" customFormat="false" ht="15" hidden="false" customHeight="false" outlineLevel="0" collapsed="false">
      <c r="A13" s="15"/>
      <c r="B13" s="15"/>
      <c r="C13" s="23"/>
      <c r="D13" s="23"/>
      <c r="E13" s="23"/>
      <c r="F13" s="19"/>
      <c r="G13" s="16" t="str">
        <f aca="false">IF(A13="","",Settings!$B$13)</f>
        <v/>
      </c>
      <c r="H13" s="11"/>
      <c r="I13" s="16" t="str">
        <f aca="false">IF(A13="","",IF(H13&lt;&gt;"",H13,G13))</f>
        <v/>
      </c>
      <c r="J13" s="16" t="str">
        <f aca="false">IF(A13="","",Settings!$B$12)</f>
        <v/>
      </c>
      <c r="K13" s="11"/>
      <c r="L13" s="16" t="str">
        <f aca="false">IF(A13="","",IF(K13&lt;&gt;"",K13,J13))</f>
        <v/>
      </c>
      <c r="M13" s="17" t="str">
        <f aca="false">IF(A13="","",ROUND(C13*$B$2+D13*$D$2+E13*$F$2,2))</f>
        <v/>
      </c>
      <c r="N13" s="17" t="str">
        <f aca="false">IF(A13="","",ROUND(M13*(1+I13/100),2))</f>
        <v/>
      </c>
      <c r="O13" s="17" t="str">
        <f aca="false">IF(A13="","",N13+F13)</f>
        <v/>
      </c>
      <c r="P13" s="17" t="str">
        <f aca="false">IF(A13="","",IFERROR(ROUND(O13/(1-L13/100),2),0))</f>
        <v/>
      </c>
      <c r="Q13" s="22" t="str">
        <f aca="false">IF(A13="","",C13+D13+E13)</f>
        <v/>
      </c>
      <c r="R13" s="17" t="str">
        <f aca="false">IF(A13="","",IFERROR(ROUND(P13/Q13,2),0))</f>
        <v/>
      </c>
      <c r="S13" s="19"/>
      <c r="T13" s="17" t="str">
        <f aca="false">IF(OR(A13="",S13=""),"",ROUND(S13-P13,2))</f>
        <v/>
      </c>
    </row>
    <row r="14" customFormat="false" ht="15" hidden="false" customHeight="false" outlineLevel="0" collapsed="false">
      <c r="A14" s="15"/>
      <c r="B14" s="15"/>
      <c r="C14" s="23"/>
      <c r="D14" s="23"/>
      <c r="E14" s="23"/>
      <c r="F14" s="19"/>
      <c r="G14" s="16" t="str">
        <f aca="false">IF(A14="","",Settings!$B$13)</f>
        <v/>
      </c>
      <c r="H14" s="11"/>
      <c r="I14" s="16" t="str">
        <f aca="false">IF(A14="","",IF(H14&lt;&gt;"",H14,G14))</f>
        <v/>
      </c>
      <c r="J14" s="16" t="str">
        <f aca="false">IF(A14="","",Settings!$B$12)</f>
        <v/>
      </c>
      <c r="K14" s="11"/>
      <c r="L14" s="16" t="str">
        <f aca="false">IF(A14="","",IF(K14&lt;&gt;"",K14,J14))</f>
        <v/>
      </c>
      <c r="M14" s="17" t="str">
        <f aca="false">IF(A14="","",ROUND(C14*$B$2+D14*$D$2+E14*$F$2,2))</f>
        <v/>
      </c>
      <c r="N14" s="17" t="str">
        <f aca="false">IF(A14="","",ROUND(M14*(1+I14/100),2))</f>
        <v/>
      </c>
      <c r="O14" s="17" t="str">
        <f aca="false">IF(A14="","",N14+F14)</f>
        <v/>
      </c>
      <c r="P14" s="17" t="str">
        <f aca="false">IF(A14="","",IFERROR(ROUND(O14/(1-L14/100),2),0))</f>
        <v/>
      </c>
      <c r="Q14" s="22" t="str">
        <f aca="false">IF(A14="","",C14+D14+E14)</f>
        <v/>
      </c>
      <c r="R14" s="17" t="str">
        <f aca="false">IF(A14="","",IFERROR(ROUND(P14/Q14,2),0))</f>
        <v/>
      </c>
      <c r="S14" s="19"/>
      <c r="T14" s="17" t="str">
        <f aca="false">IF(OR(A14="",S14=""),"",ROUND(S14-P14,2))</f>
        <v/>
      </c>
    </row>
    <row r="15" customFormat="false" ht="15" hidden="false" customHeight="false" outlineLevel="0" collapsed="false">
      <c r="A15" s="15"/>
      <c r="B15" s="15"/>
      <c r="C15" s="23"/>
      <c r="D15" s="23"/>
      <c r="E15" s="23"/>
      <c r="F15" s="19"/>
      <c r="G15" s="16" t="str">
        <f aca="false">IF(A15="","",Settings!$B$13)</f>
        <v/>
      </c>
      <c r="H15" s="11"/>
      <c r="I15" s="16" t="str">
        <f aca="false">IF(A15="","",IF(H15&lt;&gt;"",H15,G15))</f>
        <v/>
      </c>
      <c r="J15" s="16" t="str">
        <f aca="false">IF(A15="","",Settings!$B$12)</f>
        <v/>
      </c>
      <c r="K15" s="11"/>
      <c r="L15" s="16" t="str">
        <f aca="false">IF(A15="","",IF(K15&lt;&gt;"",K15,J15))</f>
        <v/>
      </c>
      <c r="M15" s="17" t="str">
        <f aca="false">IF(A15="","",ROUND(C15*$B$2+D15*$D$2+E15*$F$2,2))</f>
        <v/>
      </c>
      <c r="N15" s="17" t="str">
        <f aca="false">IF(A15="","",ROUND(M15*(1+I15/100),2))</f>
        <v/>
      </c>
      <c r="O15" s="17" t="str">
        <f aca="false">IF(A15="","",N15+F15)</f>
        <v/>
      </c>
      <c r="P15" s="17" t="str">
        <f aca="false">IF(A15="","",IFERROR(ROUND(O15/(1-L15/100),2),0))</f>
        <v/>
      </c>
      <c r="Q15" s="22" t="str">
        <f aca="false">IF(A15="","",C15+D15+E15)</f>
        <v/>
      </c>
      <c r="R15" s="17" t="str">
        <f aca="false">IF(A15="","",IFERROR(ROUND(P15/Q15,2),0))</f>
        <v/>
      </c>
      <c r="S15" s="19"/>
      <c r="T15" s="17" t="str">
        <f aca="false">IF(OR(A15="",S15=""),"",ROUND(S15-P15,2))</f>
        <v/>
      </c>
    </row>
    <row r="16" customFormat="false" ht="15" hidden="false" customHeight="false" outlineLevel="0" collapsed="false">
      <c r="A16" s="15"/>
      <c r="B16" s="15"/>
      <c r="C16" s="23"/>
      <c r="D16" s="23"/>
      <c r="E16" s="23"/>
      <c r="F16" s="19"/>
      <c r="G16" s="16" t="str">
        <f aca="false">IF(A16="","",Settings!$B$13)</f>
        <v/>
      </c>
      <c r="H16" s="11"/>
      <c r="I16" s="16" t="str">
        <f aca="false">IF(A16="","",IF(H16&lt;&gt;"",H16,G16))</f>
        <v/>
      </c>
      <c r="J16" s="16" t="str">
        <f aca="false">IF(A16="","",Settings!$B$12)</f>
        <v/>
      </c>
      <c r="K16" s="11"/>
      <c r="L16" s="16" t="str">
        <f aca="false">IF(A16="","",IF(K16&lt;&gt;"",K16,J16))</f>
        <v/>
      </c>
      <c r="M16" s="17" t="str">
        <f aca="false">IF(A16="","",ROUND(C16*$B$2+D16*$D$2+E16*$F$2,2))</f>
        <v/>
      </c>
      <c r="N16" s="17" t="str">
        <f aca="false">IF(A16="","",ROUND(M16*(1+I16/100),2))</f>
        <v/>
      </c>
      <c r="O16" s="17" t="str">
        <f aca="false">IF(A16="","",N16+F16)</f>
        <v/>
      </c>
      <c r="P16" s="17" t="str">
        <f aca="false">IF(A16="","",IFERROR(ROUND(O16/(1-L16/100),2),0))</f>
        <v/>
      </c>
      <c r="Q16" s="22" t="str">
        <f aca="false">IF(A16="","",C16+D16+E16)</f>
        <v/>
      </c>
      <c r="R16" s="17" t="str">
        <f aca="false">IF(A16="","",IFERROR(ROUND(P16/Q16,2),0))</f>
        <v/>
      </c>
      <c r="S16" s="19"/>
      <c r="T16" s="17" t="str">
        <f aca="false">IF(OR(A16="",S16=""),"",ROUND(S16-P16,2))</f>
        <v/>
      </c>
    </row>
    <row r="17" customFormat="false" ht="15" hidden="false" customHeight="false" outlineLevel="0" collapsed="false">
      <c r="A17" s="15"/>
      <c r="B17" s="15"/>
      <c r="C17" s="23"/>
      <c r="D17" s="23"/>
      <c r="E17" s="23"/>
      <c r="F17" s="19"/>
      <c r="G17" s="16" t="str">
        <f aca="false">IF(A17="","",Settings!$B$13)</f>
        <v/>
      </c>
      <c r="H17" s="11"/>
      <c r="I17" s="16" t="str">
        <f aca="false">IF(A17="","",IF(H17&lt;&gt;"",H17,G17))</f>
        <v/>
      </c>
      <c r="J17" s="16" t="str">
        <f aca="false">IF(A17="","",Settings!$B$12)</f>
        <v/>
      </c>
      <c r="K17" s="11"/>
      <c r="L17" s="16" t="str">
        <f aca="false">IF(A17="","",IF(K17&lt;&gt;"",K17,J17))</f>
        <v/>
      </c>
      <c r="M17" s="17" t="str">
        <f aca="false">IF(A17="","",ROUND(C17*$B$2+D17*$D$2+E17*$F$2,2))</f>
        <v/>
      </c>
      <c r="N17" s="17" t="str">
        <f aca="false">IF(A17="","",ROUND(M17*(1+I17/100),2))</f>
        <v/>
      </c>
      <c r="O17" s="17" t="str">
        <f aca="false">IF(A17="","",N17+F17)</f>
        <v/>
      </c>
      <c r="P17" s="17" t="str">
        <f aca="false">IF(A17="","",IFERROR(ROUND(O17/(1-L17/100),2),0))</f>
        <v/>
      </c>
      <c r="Q17" s="22" t="str">
        <f aca="false">IF(A17="","",C17+D17+E17)</f>
        <v/>
      </c>
      <c r="R17" s="17" t="str">
        <f aca="false">IF(A17="","",IFERROR(ROUND(P17/Q17,2),0))</f>
        <v/>
      </c>
      <c r="S17" s="19"/>
      <c r="T17" s="17" t="str">
        <f aca="false">IF(OR(A17="",S17=""),"",ROUND(S17-P17,2))</f>
        <v/>
      </c>
    </row>
    <row r="18" customFormat="false" ht="15" hidden="false" customHeight="false" outlineLevel="0" collapsed="false">
      <c r="A18" s="15"/>
      <c r="B18" s="15"/>
      <c r="C18" s="23"/>
      <c r="D18" s="23"/>
      <c r="E18" s="23"/>
      <c r="F18" s="19"/>
      <c r="G18" s="16" t="str">
        <f aca="false">IF(A18="","",Settings!$B$13)</f>
        <v/>
      </c>
      <c r="H18" s="11"/>
      <c r="I18" s="16" t="str">
        <f aca="false">IF(A18="","",IF(H18&lt;&gt;"",H18,G18))</f>
        <v/>
      </c>
      <c r="J18" s="16" t="str">
        <f aca="false">IF(A18="","",Settings!$B$12)</f>
        <v/>
      </c>
      <c r="K18" s="11"/>
      <c r="L18" s="16" t="str">
        <f aca="false">IF(A18="","",IF(K18&lt;&gt;"",K18,J18))</f>
        <v/>
      </c>
      <c r="M18" s="17" t="str">
        <f aca="false">IF(A18="","",ROUND(C18*$B$2+D18*$D$2+E18*$F$2,2))</f>
        <v/>
      </c>
      <c r="N18" s="17" t="str">
        <f aca="false">IF(A18="","",ROUND(M18*(1+I18/100),2))</f>
        <v/>
      </c>
      <c r="O18" s="17" t="str">
        <f aca="false">IF(A18="","",N18+F18)</f>
        <v/>
      </c>
      <c r="P18" s="17" t="str">
        <f aca="false">IF(A18="","",IFERROR(ROUND(O18/(1-L18/100),2),0))</f>
        <v/>
      </c>
      <c r="Q18" s="22" t="str">
        <f aca="false">IF(A18="","",C18+D18+E18)</f>
        <v/>
      </c>
      <c r="R18" s="17" t="str">
        <f aca="false">IF(A18="","",IFERROR(ROUND(P18/Q18,2),0))</f>
        <v/>
      </c>
      <c r="S18" s="19"/>
      <c r="T18" s="17" t="str">
        <f aca="false">IF(OR(A18="",S18=""),"",ROUND(S18-P18,2))</f>
        <v/>
      </c>
    </row>
    <row r="19" customFormat="false" ht="15" hidden="false" customHeight="false" outlineLevel="0" collapsed="false">
      <c r="A19" s="15"/>
      <c r="B19" s="15"/>
      <c r="C19" s="23"/>
      <c r="D19" s="23"/>
      <c r="E19" s="23"/>
      <c r="F19" s="19"/>
      <c r="G19" s="16" t="str">
        <f aca="false">IF(A19="","",Settings!$B$13)</f>
        <v/>
      </c>
      <c r="H19" s="11"/>
      <c r="I19" s="16" t="str">
        <f aca="false">IF(A19="","",IF(H19&lt;&gt;"",H19,G19))</f>
        <v/>
      </c>
      <c r="J19" s="16" t="str">
        <f aca="false">IF(A19="","",Settings!$B$12)</f>
        <v/>
      </c>
      <c r="K19" s="11"/>
      <c r="L19" s="16" t="str">
        <f aca="false">IF(A19="","",IF(K19&lt;&gt;"",K19,J19))</f>
        <v/>
      </c>
      <c r="M19" s="17" t="str">
        <f aca="false">IF(A19="","",ROUND(C19*$B$2+D19*$D$2+E19*$F$2,2))</f>
        <v/>
      </c>
      <c r="N19" s="17" t="str">
        <f aca="false">IF(A19="","",ROUND(M19*(1+I19/100),2))</f>
        <v/>
      </c>
      <c r="O19" s="17" t="str">
        <f aca="false">IF(A19="","",N19+F19)</f>
        <v/>
      </c>
      <c r="P19" s="17" t="str">
        <f aca="false">IF(A19="","",IFERROR(ROUND(O19/(1-L19/100),2),0))</f>
        <v/>
      </c>
      <c r="Q19" s="22" t="str">
        <f aca="false">IF(A19="","",C19+D19+E19)</f>
        <v/>
      </c>
      <c r="R19" s="17" t="str">
        <f aca="false">IF(A19="","",IFERROR(ROUND(P19/Q19,2),0))</f>
        <v/>
      </c>
      <c r="S19" s="19"/>
      <c r="T19" s="17" t="str">
        <f aca="false">IF(OR(A19="",S19=""),"",ROUND(S19-P19,2))</f>
        <v/>
      </c>
    </row>
    <row r="20" customFormat="false" ht="15" hidden="false" customHeight="false" outlineLevel="0" collapsed="false">
      <c r="A20" s="15"/>
      <c r="B20" s="15"/>
      <c r="C20" s="23"/>
      <c r="D20" s="23"/>
      <c r="E20" s="23"/>
      <c r="F20" s="19"/>
      <c r="G20" s="16" t="str">
        <f aca="false">IF(A20="","",Settings!$B$13)</f>
        <v/>
      </c>
      <c r="H20" s="11"/>
      <c r="I20" s="16" t="str">
        <f aca="false">IF(A20="","",IF(H20&lt;&gt;"",H20,G20))</f>
        <v/>
      </c>
      <c r="J20" s="16" t="str">
        <f aca="false">IF(A20="","",Settings!$B$12)</f>
        <v/>
      </c>
      <c r="K20" s="11"/>
      <c r="L20" s="16" t="str">
        <f aca="false">IF(A20="","",IF(K20&lt;&gt;"",K20,J20))</f>
        <v/>
      </c>
      <c r="M20" s="17" t="str">
        <f aca="false">IF(A20="","",ROUND(C20*$B$2+D20*$D$2+E20*$F$2,2))</f>
        <v/>
      </c>
      <c r="N20" s="17" t="str">
        <f aca="false">IF(A20="","",ROUND(M20*(1+I20/100),2))</f>
        <v/>
      </c>
      <c r="O20" s="17" t="str">
        <f aca="false">IF(A20="","",N20+F20)</f>
        <v/>
      </c>
      <c r="P20" s="17" t="str">
        <f aca="false">IF(A20="","",IFERROR(ROUND(O20/(1-L20/100),2),0))</f>
        <v/>
      </c>
      <c r="Q20" s="22" t="str">
        <f aca="false">IF(A20="","",C20+D20+E20)</f>
        <v/>
      </c>
      <c r="R20" s="17" t="str">
        <f aca="false">IF(A20="","",IFERROR(ROUND(P20/Q20,2),0))</f>
        <v/>
      </c>
      <c r="S20" s="19"/>
      <c r="T20" s="17" t="str">
        <f aca="false">IF(OR(A20="",S20=""),"",ROUND(S20-P20,2))</f>
        <v/>
      </c>
    </row>
    <row r="21" customFormat="false" ht="15" hidden="false" customHeight="false" outlineLevel="0" collapsed="false">
      <c r="A21" s="15"/>
      <c r="B21" s="15"/>
      <c r="C21" s="23"/>
      <c r="D21" s="23"/>
      <c r="E21" s="23"/>
      <c r="F21" s="19"/>
      <c r="G21" s="16" t="str">
        <f aca="false">IF(A21="","",Settings!$B$13)</f>
        <v/>
      </c>
      <c r="H21" s="11"/>
      <c r="I21" s="16" t="str">
        <f aca="false">IF(A21="","",IF(H21&lt;&gt;"",H21,G21))</f>
        <v/>
      </c>
      <c r="J21" s="16" t="str">
        <f aca="false">IF(A21="","",Settings!$B$12)</f>
        <v/>
      </c>
      <c r="K21" s="11"/>
      <c r="L21" s="16" t="str">
        <f aca="false">IF(A21="","",IF(K21&lt;&gt;"",K21,J21))</f>
        <v/>
      </c>
      <c r="M21" s="17" t="str">
        <f aca="false">IF(A21="","",ROUND(C21*$B$2+D21*$D$2+E21*$F$2,2))</f>
        <v/>
      </c>
      <c r="N21" s="17" t="str">
        <f aca="false">IF(A21="","",ROUND(M21*(1+I21/100),2))</f>
        <v/>
      </c>
      <c r="O21" s="17" t="str">
        <f aca="false">IF(A21="","",N21+F21)</f>
        <v/>
      </c>
      <c r="P21" s="17" t="str">
        <f aca="false">IF(A21="","",IFERROR(ROUND(O21/(1-L21/100),2),0))</f>
        <v/>
      </c>
      <c r="Q21" s="22" t="str">
        <f aca="false">IF(A21="","",C21+D21+E21)</f>
        <v/>
      </c>
      <c r="R21" s="17" t="str">
        <f aca="false">IF(A21="","",IFERROR(ROUND(P21/Q21,2),0))</f>
        <v/>
      </c>
      <c r="S21" s="19"/>
      <c r="T21" s="17" t="str">
        <f aca="false">IF(OR(A21="",S21=""),"",ROUND(S21-P21,2))</f>
        <v/>
      </c>
    </row>
    <row r="22" customFormat="false" ht="15" hidden="false" customHeight="false" outlineLevel="0" collapsed="false">
      <c r="A22" s="15"/>
      <c r="B22" s="15"/>
      <c r="C22" s="23"/>
      <c r="D22" s="23"/>
      <c r="E22" s="23"/>
      <c r="F22" s="19"/>
      <c r="G22" s="16" t="str">
        <f aca="false">IF(A22="","",Settings!$B$13)</f>
        <v/>
      </c>
      <c r="H22" s="11"/>
      <c r="I22" s="16" t="str">
        <f aca="false">IF(A22="","",IF(H22&lt;&gt;"",H22,G22))</f>
        <v/>
      </c>
      <c r="J22" s="16" t="str">
        <f aca="false">IF(A22="","",Settings!$B$12)</f>
        <v/>
      </c>
      <c r="K22" s="11"/>
      <c r="L22" s="16" t="str">
        <f aca="false">IF(A22="","",IF(K22&lt;&gt;"",K22,J22))</f>
        <v/>
      </c>
      <c r="M22" s="17" t="str">
        <f aca="false">IF(A22="","",ROUND(C22*$B$2+D22*$D$2+E22*$F$2,2))</f>
        <v/>
      </c>
      <c r="N22" s="17" t="str">
        <f aca="false">IF(A22="","",ROUND(M22*(1+I22/100),2))</f>
        <v/>
      </c>
      <c r="O22" s="17" t="str">
        <f aca="false">IF(A22="","",N22+F22)</f>
        <v/>
      </c>
      <c r="P22" s="17" t="str">
        <f aca="false">IF(A22="","",IFERROR(ROUND(O22/(1-L22/100),2),0))</f>
        <v/>
      </c>
      <c r="Q22" s="22" t="str">
        <f aca="false">IF(A22="","",C22+D22+E22)</f>
        <v/>
      </c>
      <c r="R22" s="17" t="str">
        <f aca="false">IF(A22="","",IFERROR(ROUND(P22/Q22,2),0))</f>
        <v/>
      </c>
      <c r="S22" s="19"/>
      <c r="T22" s="17" t="str">
        <f aca="false">IF(OR(A22="",S22=""),"",ROUND(S22-P22,2))</f>
        <v/>
      </c>
    </row>
    <row r="23" customFormat="false" ht="15" hidden="false" customHeight="false" outlineLevel="0" collapsed="false">
      <c r="A23" s="15"/>
      <c r="B23" s="15"/>
      <c r="C23" s="23"/>
      <c r="D23" s="23"/>
      <c r="E23" s="23"/>
      <c r="F23" s="19"/>
      <c r="G23" s="16" t="str">
        <f aca="false">IF(A23="","",Settings!$B$13)</f>
        <v/>
      </c>
      <c r="H23" s="11"/>
      <c r="I23" s="16" t="str">
        <f aca="false">IF(A23="","",IF(H23&lt;&gt;"",H23,G23))</f>
        <v/>
      </c>
      <c r="J23" s="16" t="str">
        <f aca="false">IF(A23="","",Settings!$B$12)</f>
        <v/>
      </c>
      <c r="K23" s="11"/>
      <c r="L23" s="16" t="str">
        <f aca="false">IF(A23="","",IF(K23&lt;&gt;"",K23,J23))</f>
        <v/>
      </c>
      <c r="M23" s="17" t="str">
        <f aca="false">IF(A23="","",ROUND(C23*$B$2+D23*$D$2+E23*$F$2,2))</f>
        <v/>
      </c>
      <c r="N23" s="17" t="str">
        <f aca="false">IF(A23="","",ROUND(M23*(1+I23/100),2))</f>
        <v/>
      </c>
      <c r="O23" s="17" t="str">
        <f aca="false">IF(A23="","",N23+F23)</f>
        <v/>
      </c>
      <c r="P23" s="17" t="str">
        <f aca="false">IF(A23="","",IFERROR(ROUND(O23/(1-L23/100),2),0))</f>
        <v/>
      </c>
      <c r="Q23" s="22" t="str">
        <f aca="false">IF(A23="","",C23+D23+E23)</f>
        <v/>
      </c>
      <c r="R23" s="17" t="str">
        <f aca="false">IF(A23="","",IFERROR(ROUND(P23/Q23,2),0))</f>
        <v/>
      </c>
      <c r="S23" s="19"/>
      <c r="T23" s="17" t="str">
        <f aca="false">IF(OR(A23="",S23=""),"",ROUND(S23-P23,2))</f>
        <v/>
      </c>
    </row>
    <row r="24" customFormat="false" ht="15" hidden="false" customHeight="false" outlineLevel="0" collapsed="false">
      <c r="A24" s="15"/>
      <c r="B24" s="15"/>
      <c r="C24" s="23"/>
      <c r="D24" s="23"/>
      <c r="E24" s="23"/>
      <c r="F24" s="19"/>
      <c r="G24" s="16" t="str">
        <f aca="false">IF(A24="","",Settings!$B$13)</f>
        <v/>
      </c>
      <c r="H24" s="11"/>
      <c r="I24" s="16" t="str">
        <f aca="false">IF(A24="","",IF(H24&lt;&gt;"",H24,G24))</f>
        <v/>
      </c>
      <c r="J24" s="16" t="str">
        <f aca="false">IF(A24="","",Settings!$B$12)</f>
        <v/>
      </c>
      <c r="K24" s="11"/>
      <c r="L24" s="16" t="str">
        <f aca="false">IF(A24="","",IF(K24&lt;&gt;"",K24,J24))</f>
        <v/>
      </c>
      <c r="M24" s="17" t="str">
        <f aca="false">IF(A24="","",ROUND(C24*$B$2+D24*$D$2+E24*$F$2,2))</f>
        <v/>
      </c>
      <c r="N24" s="17" t="str">
        <f aca="false">IF(A24="","",ROUND(M24*(1+I24/100),2))</f>
        <v/>
      </c>
      <c r="O24" s="17" t="str">
        <f aca="false">IF(A24="","",N24+F24)</f>
        <v/>
      </c>
      <c r="P24" s="17" t="str">
        <f aca="false">IF(A24="","",IFERROR(ROUND(O24/(1-L24/100),2),0))</f>
        <v/>
      </c>
      <c r="Q24" s="22" t="str">
        <f aca="false">IF(A24="","",C24+D24+E24)</f>
        <v/>
      </c>
      <c r="R24" s="17" t="str">
        <f aca="false">IF(A24="","",IFERROR(ROUND(P24/Q24,2),0))</f>
        <v/>
      </c>
      <c r="S24" s="19"/>
      <c r="T24" s="17" t="str">
        <f aca="false">IF(OR(A24="",S24=""),"",ROUND(S24-P24,2))</f>
        <v/>
      </c>
    </row>
    <row r="25" customFormat="false" ht="15" hidden="false" customHeight="false" outlineLevel="0" collapsed="false">
      <c r="A25" s="5" t="s">
        <v>93</v>
      </c>
      <c r="C25" s="24" t="n">
        <f aca="false">SUM(C5:C24)</f>
        <v>19</v>
      </c>
      <c r="D25" s="24" t="n">
        <f aca="false">SUM(D5:D24)</f>
        <v>50</v>
      </c>
      <c r="E25" s="24" t="n">
        <f aca="false">SUM(E5:E24)</f>
        <v>25</v>
      </c>
      <c r="F25" s="7" t="n">
        <f aca="false">SUM(F5:F24)</f>
        <v>2150</v>
      </c>
      <c r="M25" s="7" t="n">
        <f aca="false">SUM(M5:M24)</f>
        <v>9548.77</v>
      </c>
      <c r="N25" s="7" t="n">
        <f aca="false">SUM(N5:N24)</f>
        <v>11447.87</v>
      </c>
      <c r="O25" s="7" t="n">
        <f aca="false">SUM(O5:O24)</f>
        <v>13597.87</v>
      </c>
      <c r="P25" s="7" t="n">
        <f aca="false">SUM(P5:P24)</f>
        <v>20146.76</v>
      </c>
      <c r="Q25" s="24" t="n">
        <f aca="false">SUM(Q5:Q24)</f>
        <v>94</v>
      </c>
      <c r="S25" s="7" t="n">
        <f aca="false">SUM(S5:S24)</f>
        <v>24200</v>
      </c>
      <c r="T25" s="7" t="n">
        <f aca="false">SUM(T5:T24)</f>
        <v>4053.24</v>
      </c>
    </row>
  </sheetData>
  <dataValidations count="1">
    <dataValidation allowBlank="true" errorStyle="stop" operator="between" showDropDown="false" showErrorMessage="false" showInputMessage="false" sqref="B5:B24" type="list">
      <formula1>"conveyancing,will and estate,incorporation,contract,immigration,family,litigation stage,other"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2"/>
    <col collapsed="false" customWidth="true" hidden="false" outlineLevel="0" max="4" min="4" style="1" width="10"/>
    <col collapsed="false" customWidth="true" hidden="false" outlineLevel="0" max="5" min="5" style="1" width="12"/>
    <col collapsed="false" customWidth="true" hidden="false" outlineLevel="0" max="6" min="6" style="1" width="10"/>
    <col collapsed="false" customWidth="true" hidden="false" outlineLevel="0" max="10" min="7" style="1" width="12"/>
    <col collapsed="false" customWidth="true" hidden="false" outlineLevel="0" max="12" min="11" style="1" width="10"/>
    <col collapsed="false" customWidth="true" hidden="false" outlineLevel="0" max="13" min="13" style="1" width="12"/>
    <col collapsed="false" customWidth="true" hidden="false" outlineLevel="0" max="14" min="14" style="1" width="10"/>
    <col collapsed="false" customWidth="true" hidden="false" outlineLevel="0" max="15" min="15" style="1" width="11"/>
    <col collapsed="false" customWidth="true" hidden="false" outlineLevel="0" max="16" min="16" style="1" width="12"/>
    <col collapsed="false" customWidth="true" hidden="false" outlineLevel="0" max="17" min="17" style="1" width="10"/>
    <col collapsed="false" customWidth="true" hidden="false" outlineLevel="0" max="18" min="18" style="1" width="13"/>
  </cols>
  <sheetData>
    <row r="1" customFormat="false" ht="17.35" hidden="false" customHeight="false" outlineLevel="0" collapsed="false">
      <c r="A1" s="2" t="s">
        <v>131</v>
      </c>
    </row>
    <row r="2" customFormat="false" ht="15" hidden="false" customHeight="false" outlineLevel="0" collapsed="false">
      <c r="A2" s="3" t="s">
        <v>132</v>
      </c>
    </row>
    <row r="4" customFormat="false" ht="39.55" hidden="false" customHeight="false" outlineLevel="0" collapsed="false">
      <c r="A4" s="14" t="s">
        <v>99</v>
      </c>
      <c r="B4" s="14" t="s">
        <v>133</v>
      </c>
      <c r="C4" s="14" t="s">
        <v>134</v>
      </c>
      <c r="D4" s="14" t="s">
        <v>135</v>
      </c>
      <c r="E4" s="14" t="s">
        <v>136</v>
      </c>
      <c r="F4" s="14" t="s">
        <v>137</v>
      </c>
      <c r="G4" s="14" t="s">
        <v>138</v>
      </c>
      <c r="H4" s="14" t="s">
        <v>139</v>
      </c>
      <c r="I4" s="14" t="s">
        <v>140</v>
      </c>
      <c r="J4" s="14" t="s">
        <v>141</v>
      </c>
      <c r="K4" s="14" t="s">
        <v>142</v>
      </c>
      <c r="L4" s="14" t="s">
        <v>143</v>
      </c>
      <c r="M4" s="14" t="s">
        <v>144</v>
      </c>
      <c r="N4" s="14" t="s">
        <v>145</v>
      </c>
      <c r="O4" s="14" t="s">
        <v>146</v>
      </c>
      <c r="P4" s="14" t="s">
        <v>147</v>
      </c>
      <c r="Q4" s="14" t="s">
        <v>148</v>
      </c>
      <c r="R4" s="14" t="s">
        <v>149</v>
      </c>
    </row>
    <row r="5" customFormat="false" ht="15" hidden="false" customHeight="false" outlineLevel="0" collapsed="false">
      <c r="A5" s="15" t="s">
        <v>150</v>
      </c>
      <c r="B5" s="15" t="s">
        <v>151</v>
      </c>
      <c r="C5" s="15" t="s">
        <v>152</v>
      </c>
      <c r="D5" s="23" t="n">
        <v>12</v>
      </c>
      <c r="E5" s="6" t="n">
        <v>1800</v>
      </c>
      <c r="F5" s="23" t="n">
        <v>15</v>
      </c>
      <c r="G5" s="6" t="n">
        <v>2600</v>
      </c>
      <c r="H5" s="19" t="n">
        <v>1800</v>
      </c>
      <c r="I5" s="19" t="n">
        <v>1800</v>
      </c>
      <c r="J5" s="19" t="n">
        <v>1800</v>
      </c>
      <c r="K5" s="25" t="n">
        <f aca="false">IF(A5="","",ROUND(F5-D5,2))</f>
        <v>3</v>
      </c>
      <c r="L5" s="16" t="n">
        <f aca="false">IF(A5="","",IFERROR(ROUND(K5/D5*100,2),0))</f>
        <v>25</v>
      </c>
      <c r="M5" s="17" t="n">
        <f aca="false">IF(A5="","",ROUND(G5-E5,2))</f>
        <v>800</v>
      </c>
      <c r="N5" s="16" t="n">
        <f aca="false">IF(A5="","",IFERROR(ROUND(M5/E5*100,2),0))</f>
        <v>44.44</v>
      </c>
      <c r="O5" s="17" t="n">
        <f aca="false">IF(A5="","",IFERROR(ROUND(J5/F5,2),0))</f>
        <v>120</v>
      </c>
      <c r="P5" s="17" t="n">
        <f aca="false">IF(A5="","",IF(N(H5)&gt;0,MAX(0,ROUND(G5-H5,2)),MAX(0,ROUND(G5-I5,2))))</f>
        <v>800</v>
      </c>
      <c r="Q5" s="16" t="n">
        <f aca="false">IF(A5="","",IFERROR(ROUND(J5/G5*100,2),0))</f>
        <v>69.23</v>
      </c>
      <c r="R5" s="4" t="str">
        <f aca="false">IF(A5="","",IF(G5&gt;E5,"Over budget",IF(G5&lt;E5,"Under budget","On budget")))</f>
        <v>Over budget</v>
      </c>
    </row>
    <row r="6" customFormat="false" ht="15" hidden="false" customHeight="false" outlineLevel="0" collapsed="false">
      <c r="A6" s="15" t="s">
        <v>153</v>
      </c>
      <c r="B6" s="15" t="s">
        <v>154</v>
      </c>
      <c r="C6" s="15" t="s">
        <v>155</v>
      </c>
      <c r="D6" s="23" t="n">
        <v>20</v>
      </c>
      <c r="E6" s="6" t="n">
        <v>5000</v>
      </c>
      <c r="F6" s="23" t="n">
        <v>18</v>
      </c>
      <c r="G6" s="6" t="n">
        <v>4600</v>
      </c>
      <c r="H6" s="19"/>
      <c r="I6" s="19" t="n">
        <v>4600</v>
      </c>
      <c r="J6" s="19" t="n">
        <v>4200</v>
      </c>
      <c r="K6" s="25" t="n">
        <f aca="false">IF(A6="","",ROUND(F6-D6,2))</f>
        <v>-2</v>
      </c>
      <c r="L6" s="16" t="n">
        <f aca="false">IF(A6="","",IFERROR(ROUND(K6/D6*100,2),0))</f>
        <v>-10</v>
      </c>
      <c r="M6" s="17" t="n">
        <f aca="false">IF(A6="","",ROUND(G6-E6,2))</f>
        <v>-400</v>
      </c>
      <c r="N6" s="16" t="n">
        <f aca="false">IF(A6="","",IFERROR(ROUND(M6/E6*100,2),0))</f>
        <v>-8</v>
      </c>
      <c r="O6" s="17" t="n">
        <f aca="false">IF(A6="","",IFERROR(ROUND(J6/F6,2),0))</f>
        <v>233.33</v>
      </c>
      <c r="P6" s="17" t="n">
        <f aca="false">IF(A6="","",IF(N(H6)&gt;0,MAX(0,ROUND(G6-H6,2)),MAX(0,ROUND(G6-I6,2))))</f>
        <v>0</v>
      </c>
      <c r="Q6" s="16" t="n">
        <f aca="false">IF(A6="","",IFERROR(ROUND(J6/G6*100,2),0))</f>
        <v>91.3</v>
      </c>
      <c r="R6" s="4" t="str">
        <f aca="false">IF(A6="","",IF(G6&gt;E6,"Over budget",IF(G6&lt;E6,"Under budget","On budget")))</f>
        <v>Under budget</v>
      </c>
    </row>
    <row r="7" customFormat="false" ht="15" hidden="false" customHeight="false" outlineLevel="0" collapsed="false">
      <c r="A7" s="15" t="s">
        <v>156</v>
      </c>
      <c r="B7" s="15" t="s">
        <v>157</v>
      </c>
      <c r="C7" s="15" t="s">
        <v>155</v>
      </c>
      <c r="D7" s="23" t="n">
        <v>60</v>
      </c>
      <c r="E7" s="6" t="n">
        <v>15000</v>
      </c>
      <c r="F7" s="23" t="n">
        <v>72</v>
      </c>
      <c r="G7" s="6" t="n">
        <v>18500</v>
      </c>
      <c r="H7" s="19"/>
      <c r="I7" s="19" t="n">
        <v>17000</v>
      </c>
      <c r="J7" s="19" t="n">
        <v>15000</v>
      </c>
      <c r="K7" s="25" t="n">
        <f aca="false">IF(A7="","",ROUND(F7-D7,2))</f>
        <v>12</v>
      </c>
      <c r="L7" s="16" t="n">
        <f aca="false">IF(A7="","",IFERROR(ROUND(K7/D7*100,2),0))</f>
        <v>20</v>
      </c>
      <c r="M7" s="17" t="n">
        <f aca="false">IF(A7="","",ROUND(G7-E7,2))</f>
        <v>3500</v>
      </c>
      <c r="N7" s="16" t="n">
        <f aca="false">IF(A7="","",IFERROR(ROUND(M7/E7*100,2),0))</f>
        <v>23.33</v>
      </c>
      <c r="O7" s="17" t="n">
        <f aca="false">IF(A7="","",IFERROR(ROUND(J7/F7,2),0))</f>
        <v>208.33</v>
      </c>
      <c r="P7" s="17" t="n">
        <f aca="false">IF(A7="","",IF(N(H7)&gt;0,MAX(0,ROUND(G7-H7,2)),MAX(0,ROUND(G7-I7,2))))</f>
        <v>1500</v>
      </c>
      <c r="Q7" s="16" t="n">
        <f aca="false">IF(A7="","",IFERROR(ROUND(J7/G7*100,2),0))</f>
        <v>81.08</v>
      </c>
      <c r="R7" s="4" t="str">
        <f aca="false">IF(A7="","",IF(G7&gt;E7,"Over budget",IF(G7&lt;E7,"Under budget","On budget")))</f>
        <v>Over budget</v>
      </c>
    </row>
    <row r="8" customFormat="false" ht="15" hidden="false" customHeight="false" outlineLevel="0" collapsed="false">
      <c r="A8" s="15" t="s">
        <v>158</v>
      </c>
      <c r="B8" s="15" t="s">
        <v>159</v>
      </c>
      <c r="C8" s="15" t="s">
        <v>152</v>
      </c>
      <c r="D8" s="23" t="n">
        <v>6</v>
      </c>
      <c r="E8" s="6" t="n">
        <v>1500</v>
      </c>
      <c r="F8" s="23" t="n">
        <v>5</v>
      </c>
      <c r="G8" s="6" t="n">
        <v>1250</v>
      </c>
      <c r="H8" s="19" t="n">
        <v>1500</v>
      </c>
      <c r="I8" s="19" t="n">
        <v>1500</v>
      </c>
      <c r="J8" s="19" t="n">
        <v>1500</v>
      </c>
      <c r="K8" s="25" t="n">
        <f aca="false">IF(A8="","",ROUND(F8-D8,2))</f>
        <v>-1</v>
      </c>
      <c r="L8" s="16" t="n">
        <f aca="false">IF(A8="","",IFERROR(ROUND(K8/D8*100,2),0))</f>
        <v>-16.67</v>
      </c>
      <c r="M8" s="17" t="n">
        <f aca="false">IF(A8="","",ROUND(G8-E8,2))</f>
        <v>-250</v>
      </c>
      <c r="N8" s="16" t="n">
        <f aca="false">IF(A8="","",IFERROR(ROUND(M8/E8*100,2),0))</f>
        <v>-16.67</v>
      </c>
      <c r="O8" s="17" t="n">
        <f aca="false">IF(A8="","",IFERROR(ROUND(J8/F8,2),0))</f>
        <v>300</v>
      </c>
      <c r="P8" s="17" t="n">
        <f aca="false">IF(A8="","",IF(N(H8)&gt;0,MAX(0,ROUND(G8-H8,2)),MAX(0,ROUND(G8-I8,2))))</f>
        <v>0</v>
      </c>
      <c r="Q8" s="16" t="n">
        <f aca="false">IF(A8="","",IFERROR(ROUND(J8/G8*100,2),0))</f>
        <v>120</v>
      </c>
      <c r="R8" s="4" t="str">
        <f aca="false">IF(A8="","",IF(G8&gt;E8,"Over budget",IF(G8&lt;E8,"Under budget","On budget")))</f>
        <v>Under budget</v>
      </c>
    </row>
    <row r="9" customFormat="false" ht="15" hidden="false" customHeight="false" outlineLevel="0" collapsed="false">
      <c r="A9" s="15" t="s">
        <v>160</v>
      </c>
      <c r="B9" s="15" t="s">
        <v>161</v>
      </c>
      <c r="C9" s="15" t="s">
        <v>162</v>
      </c>
      <c r="D9" s="23" t="n">
        <v>80</v>
      </c>
      <c r="E9" s="6" t="n">
        <v>20000</v>
      </c>
      <c r="F9" s="23" t="n">
        <v>95</v>
      </c>
      <c r="G9" s="6" t="n">
        <v>24000</v>
      </c>
      <c r="H9" s="19" t="n">
        <v>33600</v>
      </c>
      <c r="I9" s="19" t="n">
        <v>33600</v>
      </c>
      <c r="J9" s="19" t="n">
        <v>33600</v>
      </c>
      <c r="K9" s="25" t="n">
        <f aca="false">IF(A9="","",ROUND(F9-D9,2))</f>
        <v>15</v>
      </c>
      <c r="L9" s="16" t="n">
        <f aca="false">IF(A9="","",IFERROR(ROUND(K9/D9*100,2),0))</f>
        <v>18.75</v>
      </c>
      <c r="M9" s="17" t="n">
        <f aca="false">IF(A9="","",ROUND(G9-E9,2))</f>
        <v>4000</v>
      </c>
      <c r="N9" s="16" t="n">
        <f aca="false">IF(A9="","",IFERROR(ROUND(M9/E9*100,2),0))</f>
        <v>20</v>
      </c>
      <c r="O9" s="17" t="n">
        <f aca="false">IF(A9="","",IFERROR(ROUND(J9/F9,2),0))</f>
        <v>353.68</v>
      </c>
      <c r="P9" s="17" t="n">
        <f aca="false">IF(A9="","",IF(N(H9)&gt;0,MAX(0,ROUND(G9-H9,2)),MAX(0,ROUND(G9-I9,2))))</f>
        <v>0</v>
      </c>
      <c r="Q9" s="16" t="n">
        <f aca="false">IF(A9="","",IFERROR(ROUND(J9/G9*100,2),0))</f>
        <v>140</v>
      </c>
      <c r="R9" s="4" t="str">
        <f aca="false">IF(A9="","",IF(G9&gt;E9,"Over budget",IF(G9&lt;E9,"Under budget","On budget")))</f>
        <v>Over budget</v>
      </c>
    </row>
    <row r="10" customFormat="false" ht="15" hidden="false" customHeight="false" outlineLevel="0" collapsed="false">
      <c r="A10" s="15" t="s">
        <v>163</v>
      </c>
      <c r="B10" s="15" t="s">
        <v>164</v>
      </c>
      <c r="C10" s="15" t="s">
        <v>155</v>
      </c>
      <c r="D10" s="23" t="n">
        <v>10</v>
      </c>
      <c r="E10" s="6" t="n">
        <v>2500</v>
      </c>
      <c r="F10" s="23" t="n">
        <v>10</v>
      </c>
      <c r="G10" s="6" t="n">
        <v>2500</v>
      </c>
      <c r="H10" s="19"/>
      <c r="I10" s="19" t="n">
        <v>2500</v>
      </c>
      <c r="J10" s="19" t="n">
        <v>2500</v>
      </c>
      <c r="K10" s="25" t="n">
        <f aca="false">IF(A10="","",ROUND(F10-D10,2))</f>
        <v>0</v>
      </c>
      <c r="L10" s="16" t="n">
        <f aca="false">IF(A10="","",IFERROR(ROUND(K10/D10*100,2),0))</f>
        <v>0</v>
      </c>
      <c r="M10" s="17" t="n">
        <f aca="false">IF(A10="","",ROUND(G10-E10,2))</f>
        <v>0</v>
      </c>
      <c r="N10" s="16" t="n">
        <f aca="false">IF(A10="","",IFERROR(ROUND(M10/E10*100,2),0))</f>
        <v>0</v>
      </c>
      <c r="O10" s="17" t="n">
        <f aca="false">IF(A10="","",IFERROR(ROUND(J10/F10,2),0))</f>
        <v>250</v>
      </c>
      <c r="P10" s="17" t="n">
        <f aca="false">IF(A10="","",IF(N(H10)&gt;0,MAX(0,ROUND(G10-H10,2)),MAX(0,ROUND(G10-I10,2))))</f>
        <v>0</v>
      </c>
      <c r="Q10" s="16" t="n">
        <f aca="false">IF(A10="","",IFERROR(ROUND(J10/G10*100,2),0))</f>
        <v>100</v>
      </c>
      <c r="R10" s="4" t="str">
        <f aca="false">IF(A10="","",IF(G10&gt;E10,"Over budget",IF(G10&lt;E10,"Under budget","On budget")))</f>
        <v>On budget</v>
      </c>
    </row>
    <row r="11" customFormat="false" ht="15" hidden="false" customHeight="false" outlineLevel="0" collapsed="false">
      <c r="A11" s="15" t="s">
        <v>165</v>
      </c>
      <c r="B11" s="15" t="s">
        <v>166</v>
      </c>
      <c r="C11" s="15" t="s">
        <v>152</v>
      </c>
      <c r="D11" s="23" t="n">
        <v>14</v>
      </c>
      <c r="E11" s="6" t="n">
        <v>3500</v>
      </c>
      <c r="F11" s="23" t="n">
        <v>16</v>
      </c>
      <c r="G11" s="6" t="n">
        <v>3900</v>
      </c>
      <c r="H11" s="19" t="n">
        <v>3500</v>
      </c>
      <c r="I11" s="19" t="n">
        <v>3500</v>
      </c>
      <c r="J11" s="19" t="n">
        <v>2000</v>
      </c>
      <c r="K11" s="25" t="n">
        <f aca="false">IF(A11="","",ROUND(F11-D11,2))</f>
        <v>2</v>
      </c>
      <c r="L11" s="16" t="n">
        <f aca="false">IF(A11="","",IFERROR(ROUND(K11/D11*100,2),0))</f>
        <v>14.29</v>
      </c>
      <c r="M11" s="17" t="n">
        <f aca="false">IF(A11="","",ROUND(G11-E11,2))</f>
        <v>400</v>
      </c>
      <c r="N11" s="16" t="n">
        <f aca="false">IF(A11="","",IFERROR(ROUND(M11/E11*100,2),0))</f>
        <v>11.43</v>
      </c>
      <c r="O11" s="17" t="n">
        <f aca="false">IF(A11="","",IFERROR(ROUND(J11/F11,2),0))</f>
        <v>125</v>
      </c>
      <c r="P11" s="17" t="n">
        <f aca="false">IF(A11="","",IF(N(H11)&gt;0,MAX(0,ROUND(G11-H11,2)),MAX(0,ROUND(G11-I11,2))))</f>
        <v>400</v>
      </c>
      <c r="Q11" s="16" t="n">
        <f aca="false">IF(A11="","",IFERROR(ROUND(J11/G11*100,2),0))</f>
        <v>51.28</v>
      </c>
      <c r="R11" s="4" t="str">
        <f aca="false">IF(A11="","",IF(G11&gt;E11,"Over budget",IF(G11&lt;E11,"Under budget","On budget")))</f>
        <v>Over budget</v>
      </c>
    </row>
    <row r="12" customFormat="false" ht="15" hidden="false" customHeight="false" outlineLevel="0" collapsed="false">
      <c r="A12" s="15" t="s">
        <v>167</v>
      </c>
      <c r="B12" s="15" t="s">
        <v>168</v>
      </c>
      <c r="C12" s="15" t="s">
        <v>155</v>
      </c>
      <c r="D12" s="23" t="n">
        <v>40</v>
      </c>
      <c r="E12" s="6" t="n">
        <v>10000</v>
      </c>
      <c r="F12" s="23" t="n">
        <v>35</v>
      </c>
      <c r="G12" s="6" t="n">
        <v>8800</v>
      </c>
      <c r="H12" s="19"/>
      <c r="I12" s="19" t="n">
        <v>8000</v>
      </c>
      <c r="J12" s="19" t="n">
        <v>6000</v>
      </c>
      <c r="K12" s="25" t="n">
        <f aca="false">IF(A12="","",ROUND(F12-D12,2))</f>
        <v>-5</v>
      </c>
      <c r="L12" s="16" t="n">
        <f aca="false">IF(A12="","",IFERROR(ROUND(K12/D12*100,2),0))</f>
        <v>-12.5</v>
      </c>
      <c r="M12" s="17" t="n">
        <f aca="false">IF(A12="","",ROUND(G12-E12,2))</f>
        <v>-1200</v>
      </c>
      <c r="N12" s="16" t="n">
        <f aca="false">IF(A12="","",IFERROR(ROUND(M12/E12*100,2),0))</f>
        <v>-12</v>
      </c>
      <c r="O12" s="17" t="n">
        <f aca="false">IF(A12="","",IFERROR(ROUND(J12/F12,2),0))</f>
        <v>171.43</v>
      </c>
      <c r="P12" s="17" t="n">
        <f aca="false">IF(A12="","",IF(N(H12)&gt;0,MAX(0,ROUND(G12-H12,2)),MAX(0,ROUND(G12-I12,2))))</f>
        <v>800</v>
      </c>
      <c r="Q12" s="16" t="n">
        <f aca="false">IF(A12="","",IFERROR(ROUND(J12/G12*100,2),0))</f>
        <v>68.18</v>
      </c>
      <c r="R12" s="4" t="str">
        <f aca="false">IF(A12="","",IF(G12&gt;E12,"Over budget",IF(G12&lt;E12,"Under budget","On budget")))</f>
        <v>Under budget</v>
      </c>
    </row>
    <row r="13" customFormat="false" ht="15" hidden="false" customHeight="false" outlineLevel="0" collapsed="false">
      <c r="A13" s="15"/>
      <c r="B13" s="15"/>
      <c r="C13" s="15"/>
      <c r="D13" s="23"/>
      <c r="E13" s="19"/>
      <c r="F13" s="23"/>
      <c r="G13" s="19"/>
      <c r="H13" s="19"/>
      <c r="I13" s="19"/>
      <c r="J13" s="19"/>
      <c r="K13" s="25" t="str">
        <f aca="false">IF(A13="","",ROUND(F13-D13,2))</f>
        <v/>
      </c>
      <c r="L13" s="16" t="str">
        <f aca="false">IF(A13="","",IFERROR(ROUND(K13/D13*100,2),0))</f>
        <v/>
      </c>
      <c r="M13" s="17" t="str">
        <f aca="false">IF(A13="","",ROUND(G13-E13,2))</f>
        <v/>
      </c>
      <c r="N13" s="16" t="str">
        <f aca="false">IF(A13="","",IFERROR(ROUND(M13/E13*100,2),0))</f>
        <v/>
      </c>
      <c r="O13" s="17" t="str">
        <f aca="false">IF(A13="","",IFERROR(ROUND(J13/F13,2),0))</f>
        <v/>
      </c>
      <c r="P13" s="17" t="str">
        <f aca="false">IF(A13="","",IF(N(H13)&gt;0,MAX(0,ROUND(G13-H13,2)),MAX(0,ROUND(G13-I13,2))))</f>
        <v/>
      </c>
      <c r="Q13" s="16" t="str">
        <f aca="false">IF(A13="","",IFERROR(ROUND(J13/G13*100,2),0))</f>
        <v/>
      </c>
      <c r="R13" s="4" t="str">
        <f aca="false">IF(A13="","",IF(G13&gt;E13,"Over budget",IF(G13&lt;E13,"Under budget","On budget")))</f>
        <v/>
      </c>
    </row>
    <row r="14" customFormat="false" ht="15" hidden="false" customHeight="false" outlineLevel="0" collapsed="false">
      <c r="A14" s="15"/>
      <c r="B14" s="15"/>
      <c r="C14" s="15"/>
      <c r="D14" s="23"/>
      <c r="E14" s="19"/>
      <c r="F14" s="23"/>
      <c r="G14" s="19"/>
      <c r="H14" s="19"/>
      <c r="I14" s="19"/>
      <c r="J14" s="19"/>
      <c r="K14" s="25" t="str">
        <f aca="false">IF(A14="","",ROUND(F14-D14,2))</f>
        <v/>
      </c>
      <c r="L14" s="16" t="str">
        <f aca="false">IF(A14="","",IFERROR(ROUND(K14/D14*100,2),0))</f>
        <v/>
      </c>
      <c r="M14" s="17" t="str">
        <f aca="false">IF(A14="","",ROUND(G14-E14,2))</f>
        <v/>
      </c>
      <c r="N14" s="16" t="str">
        <f aca="false">IF(A14="","",IFERROR(ROUND(M14/E14*100,2),0))</f>
        <v/>
      </c>
      <c r="O14" s="17" t="str">
        <f aca="false">IF(A14="","",IFERROR(ROUND(J14/F14,2),0))</f>
        <v/>
      </c>
      <c r="P14" s="17" t="str">
        <f aca="false">IF(A14="","",IF(N(H14)&gt;0,MAX(0,ROUND(G14-H14,2)),MAX(0,ROUND(G14-I14,2))))</f>
        <v/>
      </c>
      <c r="Q14" s="16" t="str">
        <f aca="false">IF(A14="","",IFERROR(ROUND(J14/G14*100,2),0))</f>
        <v/>
      </c>
      <c r="R14" s="4" t="str">
        <f aca="false">IF(A14="","",IF(G14&gt;E14,"Over budget",IF(G14&lt;E14,"Under budget","On budget")))</f>
        <v/>
      </c>
    </row>
    <row r="15" customFormat="false" ht="15" hidden="false" customHeight="false" outlineLevel="0" collapsed="false">
      <c r="A15" s="15"/>
      <c r="B15" s="15"/>
      <c r="C15" s="15"/>
      <c r="D15" s="23"/>
      <c r="E15" s="19"/>
      <c r="F15" s="23"/>
      <c r="G15" s="19"/>
      <c r="H15" s="19"/>
      <c r="I15" s="19"/>
      <c r="J15" s="19"/>
      <c r="K15" s="25" t="str">
        <f aca="false">IF(A15="","",ROUND(F15-D15,2))</f>
        <v/>
      </c>
      <c r="L15" s="16" t="str">
        <f aca="false">IF(A15="","",IFERROR(ROUND(K15/D15*100,2),0))</f>
        <v/>
      </c>
      <c r="M15" s="17" t="str">
        <f aca="false">IF(A15="","",ROUND(G15-E15,2))</f>
        <v/>
      </c>
      <c r="N15" s="16" t="str">
        <f aca="false">IF(A15="","",IFERROR(ROUND(M15/E15*100,2),0))</f>
        <v/>
      </c>
      <c r="O15" s="17" t="str">
        <f aca="false">IF(A15="","",IFERROR(ROUND(J15/F15,2),0))</f>
        <v/>
      </c>
      <c r="P15" s="17" t="str">
        <f aca="false">IF(A15="","",IF(N(H15)&gt;0,MAX(0,ROUND(G15-H15,2)),MAX(0,ROUND(G15-I15,2))))</f>
        <v/>
      </c>
      <c r="Q15" s="16" t="str">
        <f aca="false">IF(A15="","",IFERROR(ROUND(J15/G15*100,2),0))</f>
        <v/>
      </c>
      <c r="R15" s="4" t="str">
        <f aca="false">IF(A15="","",IF(G15&gt;E15,"Over budget",IF(G15&lt;E15,"Under budget","On budget")))</f>
        <v/>
      </c>
    </row>
    <row r="16" customFormat="false" ht="15" hidden="false" customHeight="false" outlineLevel="0" collapsed="false">
      <c r="A16" s="15"/>
      <c r="B16" s="15"/>
      <c r="C16" s="15"/>
      <c r="D16" s="23"/>
      <c r="E16" s="19"/>
      <c r="F16" s="23"/>
      <c r="G16" s="19"/>
      <c r="H16" s="19"/>
      <c r="I16" s="19"/>
      <c r="J16" s="19"/>
      <c r="K16" s="25" t="str">
        <f aca="false">IF(A16="","",ROUND(F16-D16,2))</f>
        <v/>
      </c>
      <c r="L16" s="16" t="str">
        <f aca="false">IF(A16="","",IFERROR(ROUND(K16/D16*100,2),0))</f>
        <v/>
      </c>
      <c r="M16" s="17" t="str">
        <f aca="false">IF(A16="","",ROUND(G16-E16,2))</f>
        <v/>
      </c>
      <c r="N16" s="16" t="str">
        <f aca="false">IF(A16="","",IFERROR(ROUND(M16/E16*100,2),0))</f>
        <v/>
      </c>
      <c r="O16" s="17" t="str">
        <f aca="false">IF(A16="","",IFERROR(ROUND(J16/F16,2),0))</f>
        <v/>
      </c>
      <c r="P16" s="17" t="str">
        <f aca="false">IF(A16="","",IF(N(H16)&gt;0,MAX(0,ROUND(G16-H16,2)),MAX(0,ROUND(G16-I16,2))))</f>
        <v/>
      </c>
      <c r="Q16" s="16" t="str">
        <f aca="false">IF(A16="","",IFERROR(ROUND(J16/G16*100,2),0))</f>
        <v/>
      </c>
      <c r="R16" s="4" t="str">
        <f aca="false">IF(A16="","",IF(G16&gt;E16,"Over budget",IF(G16&lt;E16,"Under budget","On budget")))</f>
        <v/>
      </c>
    </row>
    <row r="17" customFormat="false" ht="15" hidden="false" customHeight="false" outlineLevel="0" collapsed="false">
      <c r="A17" s="15"/>
      <c r="B17" s="15"/>
      <c r="C17" s="15"/>
      <c r="D17" s="23"/>
      <c r="E17" s="19"/>
      <c r="F17" s="23"/>
      <c r="G17" s="19"/>
      <c r="H17" s="19"/>
      <c r="I17" s="19"/>
      <c r="J17" s="19"/>
      <c r="K17" s="25" t="str">
        <f aca="false">IF(A17="","",ROUND(F17-D17,2))</f>
        <v/>
      </c>
      <c r="L17" s="16" t="str">
        <f aca="false">IF(A17="","",IFERROR(ROUND(K17/D17*100,2),0))</f>
        <v/>
      </c>
      <c r="M17" s="17" t="str">
        <f aca="false">IF(A17="","",ROUND(G17-E17,2))</f>
        <v/>
      </c>
      <c r="N17" s="16" t="str">
        <f aca="false">IF(A17="","",IFERROR(ROUND(M17/E17*100,2),0))</f>
        <v/>
      </c>
      <c r="O17" s="17" t="str">
        <f aca="false">IF(A17="","",IFERROR(ROUND(J17/F17,2),0))</f>
        <v/>
      </c>
      <c r="P17" s="17" t="str">
        <f aca="false">IF(A17="","",IF(N(H17)&gt;0,MAX(0,ROUND(G17-H17,2)),MAX(0,ROUND(G17-I17,2))))</f>
        <v/>
      </c>
      <c r="Q17" s="16" t="str">
        <f aca="false">IF(A17="","",IFERROR(ROUND(J17/G17*100,2),0))</f>
        <v/>
      </c>
      <c r="R17" s="4" t="str">
        <f aca="false">IF(A17="","",IF(G17&gt;E17,"Over budget",IF(G17&lt;E17,"Under budget","On budget")))</f>
        <v/>
      </c>
    </row>
    <row r="18" customFormat="false" ht="15" hidden="false" customHeight="false" outlineLevel="0" collapsed="false">
      <c r="A18" s="15"/>
      <c r="B18" s="15"/>
      <c r="C18" s="15"/>
      <c r="D18" s="23"/>
      <c r="E18" s="19"/>
      <c r="F18" s="23"/>
      <c r="G18" s="19"/>
      <c r="H18" s="19"/>
      <c r="I18" s="19"/>
      <c r="J18" s="19"/>
      <c r="K18" s="25" t="str">
        <f aca="false">IF(A18="","",ROUND(F18-D18,2))</f>
        <v/>
      </c>
      <c r="L18" s="16" t="str">
        <f aca="false">IF(A18="","",IFERROR(ROUND(K18/D18*100,2),0))</f>
        <v/>
      </c>
      <c r="M18" s="17" t="str">
        <f aca="false">IF(A18="","",ROUND(G18-E18,2))</f>
        <v/>
      </c>
      <c r="N18" s="16" t="str">
        <f aca="false">IF(A18="","",IFERROR(ROUND(M18/E18*100,2),0))</f>
        <v/>
      </c>
      <c r="O18" s="17" t="str">
        <f aca="false">IF(A18="","",IFERROR(ROUND(J18/F18,2),0))</f>
        <v/>
      </c>
      <c r="P18" s="17" t="str">
        <f aca="false">IF(A18="","",IF(N(H18)&gt;0,MAX(0,ROUND(G18-H18,2)),MAX(0,ROUND(G18-I18,2))))</f>
        <v/>
      </c>
      <c r="Q18" s="16" t="str">
        <f aca="false">IF(A18="","",IFERROR(ROUND(J18/G18*100,2),0))</f>
        <v/>
      </c>
      <c r="R18" s="4" t="str">
        <f aca="false">IF(A18="","",IF(G18&gt;E18,"Over budget",IF(G18&lt;E18,"Under budget","On budget")))</f>
        <v/>
      </c>
    </row>
    <row r="19" customFormat="false" ht="15" hidden="false" customHeight="false" outlineLevel="0" collapsed="false">
      <c r="A19" s="15"/>
      <c r="B19" s="15"/>
      <c r="C19" s="15"/>
      <c r="D19" s="23"/>
      <c r="E19" s="19"/>
      <c r="F19" s="23"/>
      <c r="G19" s="19"/>
      <c r="H19" s="19"/>
      <c r="I19" s="19"/>
      <c r="J19" s="19"/>
      <c r="K19" s="25" t="str">
        <f aca="false">IF(A19="","",ROUND(F19-D19,2))</f>
        <v/>
      </c>
      <c r="L19" s="16" t="str">
        <f aca="false">IF(A19="","",IFERROR(ROUND(K19/D19*100,2),0))</f>
        <v/>
      </c>
      <c r="M19" s="17" t="str">
        <f aca="false">IF(A19="","",ROUND(G19-E19,2))</f>
        <v/>
      </c>
      <c r="N19" s="16" t="str">
        <f aca="false">IF(A19="","",IFERROR(ROUND(M19/E19*100,2),0))</f>
        <v/>
      </c>
      <c r="O19" s="17" t="str">
        <f aca="false">IF(A19="","",IFERROR(ROUND(J19/F19,2),0))</f>
        <v/>
      </c>
      <c r="P19" s="17" t="str">
        <f aca="false">IF(A19="","",IF(N(H19)&gt;0,MAX(0,ROUND(G19-H19,2)),MAX(0,ROUND(G19-I19,2))))</f>
        <v/>
      </c>
      <c r="Q19" s="16" t="str">
        <f aca="false">IF(A19="","",IFERROR(ROUND(J19/G19*100,2),0))</f>
        <v/>
      </c>
      <c r="R19" s="4" t="str">
        <f aca="false">IF(A19="","",IF(G19&gt;E19,"Over budget",IF(G19&lt;E19,"Under budget","On budget")))</f>
        <v/>
      </c>
    </row>
    <row r="20" customFormat="false" ht="15" hidden="false" customHeight="false" outlineLevel="0" collapsed="false">
      <c r="A20" s="15"/>
      <c r="B20" s="15"/>
      <c r="C20" s="15"/>
      <c r="D20" s="23"/>
      <c r="E20" s="19"/>
      <c r="F20" s="23"/>
      <c r="G20" s="19"/>
      <c r="H20" s="19"/>
      <c r="I20" s="19"/>
      <c r="J20" s="19"/>
      <c r="K20" s="25" t="str">
        <f aca="false">IF(A20="","",ROUND(F20-D20,2))</f>
        <v/>
      </c>
      <c r="L20" s="16" t="str">
        <f aca="false">IF(A20="","",IFERROR(ROUND(K20/D20*100,2),0))</f>
        <v/>
      </c>
      <c r="M20" s="17" t="str">
        <f aca="false">IF(A20="","",ROUND(G20-E20,2))</f>
        <v/>
      </c>
      <c r="N20" s="16" t="str">
        <f aca="false">IF(A20="","",IFERROR(ROUND(M20/E20*100,2),0))</f>
        <v/>
      </c>
      <c r="O20" s="17" t="str">
        <f aca="false">IF(A20="","",IFERROR(ROUND(J20/F20,2),0))</f>
        <v/>
      </c>
      <c r="P20" s="17" t="str">
        <f aca="false">IF(A20="","",IF(N(H20)&gt;0,MAX(0,ROUND(G20-H20,2)),MAX(0,ROUND(G20-I20,2))))</f>
        <v/>
      </c>
      <c r="Q20" s="16" t="str">
        <f aca="false">IF(A20="","",IFERROR(ROUND(J20/G20*100,2),0))</f>
        <v/>
      </c>
      <c r="R20" s="4" t="str">
        <f aca="false">IF(A20="","",IF(G20&gt;E20,"Over budget",IF(G20&lt;E20,"Under budget","On budget")))</f>
        <v/>
      </c>
    </row>
    <row r="21" customFormat="false" ht="15" hidden="false" customHeight="false" outlineLevel="0" collapsed="false">
      <c r="A21" s="15"/>
      <c r="B21" s="15"/>
      <c r="C21" s="15"/>
      <c r="D21" s="23"/>
      <c r="E21" s="19"/>
      <c r="F21" s="23"/>
      <c r="G21" s="19"/>
      <c r="H21" s="19"/>
      <c r="I21" s="19"/>
      <c r="J21" s="19"/>
      <c r="K21" s="25" t="str">
        <f aca="false">IF(A21="","",ROUND(F21-D21,2))</f>
        <v/>
      </c>
      <c r="L21" s="16" t="str">
        <f aca="false">IF(A21="","",IFERROR(ROUND(K21/D21*100,2),0))</f>
        <v/>
      </c>
      <c r="M21" s="17" t="str">
        <f aca="false">IF(A21="","",ROUND(G21-E21,2))</f>
        <v/>
      </c>
      <c r="N21" s="16" t="str">
        <f aca="false">IF(A21="","",IFERROR(ROUND(M21/E21*100,2),0))</f>
        <v/>
      </c>
      <c r="O21" s="17" t="str">
        <f aca="false">IF(A21="","",IFERROR(ROUND(J21/F21,2),0))</f>
        <v/>
      </c>
      <c r="P21" s="17" t="str">
        <f aca="false">IF(A21="","",IF(N(H21)&gt;0,MAX(0,ROUND(G21-H21,2)),MAX(0,ROUND(G21-I21,2))))</f>
        <v/>
      </c>
      <c r="Q21" s="16" t="str">
        <f aca="false">IF(A21="","",IFERROR(ROUND(J21/G21*100,2),0))</f>
        <v/>
      </c>
      <c r="R21" s="4" t="str">
        <f aca="false">IF(A21="","",IF(G21&gt;E21,"Over budget",IF(G21&lt;E21,"Under budget","On budget")))</f>
        <v/>
      </c>
    </row>
    <row r="22" customFormat="false" ht="15" hidden="false" customHeight="false" outlineLevel="0" collapsed="false">
      <c r="A22" s="15"/>
      <c r="B22" s="15"/>
      <c r="C22" s="15"/>
      <c r="D22" s="23"/>
      <c r="E22" s="19"/>
      <c r="F22" s="23"/>
      <c r="G22" s="19"/>
      <c r="H22" s="19"/>
      <c r="I22" s="19"/>
      <c r="J22" s="19"/>
      <c r="K22" s="25" t="str">
        <f aca="false">IF(A22="","",ROUND(F22-D22,2))</f>
        <v/>
      </c>
      <c r="L22" s="16" t="str">
        <f aca="false">IF(A22="","",IFERROR(ROUND(K22/D22*100,2),0))</f>
        <v/>
      </c>
      <c r="M22" s="17" t="str">
        <f aca="false">IF(A22="","",ROUND(G22-E22,2))</f>
        <v/>
      </c>
      <c r="N22" s="16" t="str">
        <f aca="false">IF(A22="","",IFERROR(ROUND(M22/E22*100,2),0))</f>
        <v/>
      </c>
      <c r="O22" s="17" t="str">
        <f aca="false">IF(A22="","",IFERROR(ROUND(J22/F22,2),0))</f>
        <v/>
      </c>
      <c r="P22" s="17" t="str">
        <f aca="false">IF(A22="","",IF(N(H22)&gt;0,MAX(0,ROUND(G22-H22,2)),MAX(0,ROUND(G22-I22,2))))</f>
        <v/>
      </c>
      <c r="Q22" s="16" t="str">
        <f aca="false">IF(A22="","",IFERROR(ROUND(J22/G22*100,2),0))</f>
        <v/>
      </c>
      <c r="R22" s="4" t="str">
        <f aca="false">IF(A22="","",IF(G22&gt;E22,"Over budget",IF(G22&lt;E22,"Under budget","On budget")))</f>
        <v/>
      </c>
    </row>
    <row r="23" customFormat="false" ht="15" hidden="false" customHeight="false" outlineLevel="0" collapsed="false">
      <c r="A23" s="15"/>
      <c r="B23" s="15"/>
      <c r="C23" s="15"/>
      <c r="D23" s="23"/>
      <c r="E23" s="19"/>
      <c r="F23" s="23"/>
      <c r="G23" s="19"/>
      <c r="H23" s="19"/>
      <c r="I23" s="19"/>
      <c r="J23" s="19"/>
      <c r="K23" s="25" t="str">
        <f aca="false">IF(A23="","",ROUND(F23-D23,2))</f>
        <v/>
      </c>
      <c r="L23" s="16" t="str">
        <f aca="false">IF(A23="","",IFERROR(ROUND(K23/D23*100,2),0))</f>
        <v/>
      </c>
      <c r="M23" s="17" t="str">
        <f aca="false">IF(A23="","",ROUND(G23-E23,2))</f>
        <v/>
      </c>
      <c r="N23" s="16" t="str">
        <f aca="false">IF(A23="","",IFERROR(ROUND(M23/E23*100,2),0))</f>
        <v/>
      </c>
      <c r="O23" s="17" t="str">
        <f aca="false">IF(A23="","",IFERROR(ROUND(J23/F23,2),0))</f>
        <v/>
      </c>
      <c r="P23" s="17" t="str">
        <f aca="false">IF(A23="","",IF(N(H23)&gt;0,MAX(0,ROUND(G23-H23,2)),MAX(0,ROUND(G23-I23,2))))</f>
        <v/>
      </c>
      <c r="Q23" s="16" t="str">
        <f aca="false">IF(A23="","",IFERROR(ROUND(J23/G23*100,2),0))</f>
        <v/>
      </c>
      <c r="R23" s="4" t="str">
        <f aca="false">IF(A23="","",IF(G23&gt;E23,"Over budget",IF(G23&lt;E23,"Under budget","On budget")))</f>
        <v/>
      </c>
    </row>
    <row r="24" customFormat="false" ht="15" hidden="false" customHeight="false" outlineLevel="0" collapsed="false">
      <c r="A24" s="15"/>
      <c r="B24" s="15"/>
      <c r="C24" s="15"/>
      <c r="D24" s="23"/>
      <c r="E24" s="19"/>
      <c r="F24" s="23"/>
      <c r="G24" s="19"/>
      <c r="H24" s="19"/>
      <c r="I24" s="19"/>
      <c r="J24" s="19"/>
      <c r="K24" s="25" t="str">
        <f aca="false">IF(A24="","",ROUND(F24-D24,2))</f>
        <v/>
      </c>
      <c r="L24" s="16" t="str">
        <f aca="false">IF(A24="","",IFERROR(ROUND(K24/D24*100,2),0))</f>
        <v/>
      </c>
      <c r="M24" s="17" t="str">
        <f aca="false">IF(A24="","",ROUND(G24-E24,2))</f>
        <v/>
      </c>
      <c r="N24" s="16" t="str">
        <f aca="false">IF(A24="","",IFERROR(ROUND(M24/E24*100,2),0))</f>
        <v/>
      </c>
      <c r="O24" s="17" t="str">
        <f aca="false">IF(A24="","",IFERROR(ROUND(J24/F24,2),0))</f>
        <v/>
      </c>
      <c r="P24" s="17" t="str">
        <f aca="false">IF(A24="","",IF(N(H24)&gt;0,MAX(0,ROUND(G24-H24,2)),MAX(0,ROUND(G24-I24,2))))</f>
        <v/>
      </c>
      <c r="Q24" s="16" t="str">
        <f aca="false">IF(A24="","",IFERROR(ROUND(J24/G24*100,2),0))</f>
        <v/>
      </c>
      <c r="R24" s="4" t="str">
        <f aca="false">IF(A24="","",IF(G24&gt;E24,"Over budget",IF(G24&lt;E24,"Under budget","On budget")))</f>
        <v/>
      </c>
    </row>
    <row r="25" customFormat="false" ht="15" hidden="false" customHeight="false" outlineLevel="0" collapsed="false">
      <c r="A25" s="15"/>
      <c r="B25" s="15"/>
      <c r="C25" s="15"/>
      <c r="D25" s="23"/>
      <c r="E25" s="19"/>
      <c r="F25" s="23"/>
      <c r="G25" s="19"/>
      <c r="H25" s="19"/>
      <c r="I25" s="19"/>
      <c r="J25" s="19"/>
      <c r="K25" s="25" t="str">
        <f aca="false">IF(A25="","",ROUND(F25-D25,2))</f>
        <v/>
      </c>
      <c r="L25" s="16" t="str">
        <f aca="false">IF(A25="","",IFERROR(ROUND(K25/D25*100,2),0))</f>
        <v/>
      </c>
      <c r="M25" s="17" t="str">
        <f aca="false">IF(A25="","",ROUND(G25-E25,2))</f>
        <v/>
      </c>
      <c r="N25" s="16" t="str">
        <f aca="false">IF(A25="","",IFERROR(ROUND(M25/E25*100,2),0))</f>
        <v/>
      </c>
      <c r="O25" s="17" t="str">
        <f aca="false">IF(A25="","",IFERROR(ROUND(J25/F25,2),0))</f>
        <v/>
      </c>
      <c r="P25" s="17" t="str">
        <f aca="false">IF(A25="","",IF(N(H25)&gt;0,MAX(0,ROUND(G25-H25,2)),MAX(0,ROUND(G25-I25,2))))</f>
        <v/>
      </c>
      <c r="Q25" s="16" t="str">
        <f aca="false">IF(A25="","",IFERROR(ROUND(J25/G25*100,2),0))</f>
        <v/>
      </c>
      <c r="R25" s="4" t="str">
        <f aca="false">IF(A25="","",IF(G25&gt;E25,"Over budget",IF(G25&lt;E25,"Under budget","On budget")))</f>
        <v/>
      </c>
    </row>
    <row r="26" customFormat="false" ht="15" hidden="false" customHeight="false" outlineLevel="0" collapsed="false">
      <c r="A26" s="15"/>
      <c r="B26" s="15"/>
      <c r="C26" s="15"/>
      <c r="D26" s="23"/>
      <c r="E26" s="19"/>
      <c r="F26" s="23"/>
      <c r="G26" s="19"/>
      <c r="H26" s="19"/>
      <c r="I26" s="19"/>
      <c r="J26" s="19"/>
      <c r="K26" s="25" t="str">
        <f aca="false">IF(A26="","",ROUND(F26-D26,2))</f>
        <v/>
      </c>
      <c r="L26" s="16" t="str">
        <f aca="false">IF(A26="","",IFERROR(ROUND(K26/D26*100,2),0))</f>
        <v/>
      </c>
      <c r="M26" s="17" t="str">
        <f aca="false">IF(A26="","",ROUND(G26-E26,2))</f>
        <v/>
      </c>
      <c r="N26" s="16" t="str">
        <f aca="false">IF(A26="","",IFERROR(ROUND(M26/E26*100,2),0))</f>
        <v/>
      </c>
      <c r="O26" s="17" t="str">
        <f aca="false">IF(A26="","",IFERROR(ROUND(J26/F26,2),0))</f>
        <v/>
      </c>
      <c r="P26" s="17" t="str">
        <f aca="false">IF(A26="","",IF(N(H26)&gt;0,MAX(0,ROUND(G26-H26,2)),MAX(0,ROUND(G26-I26,2))))</f>
        <v/>
      </c>
      <c r="Q26" s="16" t="str">
        <f aca="false">IF(A26="","",IFERROR(ROUND(J26/G26*100,2),0))</f>
        <v/>
      </c>
      <c r="R26" s="4" t="str">
        <f aca="false">IF(A26="","",IF(G26&gt;E26,"Over budget",IF(G26&lt;E26,"Under budget","On budget")))</f>
        <v/>
      </c>
    </row>
    <row r="27" customFormat="false" ht="15" hidden="false" customHeight="false" outlineLevel="0" collapsed="false">
      <c r="A27" s="15"/>
      <c r="B27" s="15"/>
      <c r="C27" s="15"/>
      <c r="D27" s="23"/>
      <c r="E27" s="19"/>
      <c r="F27" s="23"/>
      <c r="G27" s="19"/>
      <c r="H27" s="19"/>
      <c r="I27" s="19"/>
      <c r="J27" s="19"/>
      <c r="K27" s="25" t="str">
        <f aca="false">IF(A27="","",ROUND(F27-D27,2))</f>
        <v/>
      </c>
      <c r="L27" s="16" t="str">
        <f aca="false">IF(A27="","",IFERROR(ROUND(K27/D27*100,2),0))</f>
        <v/>
      </c>
      <c r="M27" s="17" t="str">
        <f aca="false">IF(A27="","",ROUND(G27-E27,2))</f>
        <v/>
      </c>
      <c r="N27" s="16" t="str">
        <f aca="false">IF(A27="","",IFERROR(ROUND(M27/E27*100,2),0))</f>
        <v/>
      </c>
      <c r="O27" s="17" t="str">
        <f aca="false">IF(A27="","",IFERROR(ROUND(J27/F27,2),0))</f>
        <v/>
      </c>
      <c r="P27" s="17" t="str">
        <f aca="false">IF(A27="","",IF(N(H27)&gt;0,MAX(0,ROUND(G27-H27,2)),MAX(0,ROUND(G27-I27,2))))</f>
        <v/>
      </c>
      <c r="Q27" s="16" t="str">
        <f aca="false">IF(A27="","",IFERROR(ROUND(J27/G27*100,2),0))</f>
        <v/>
      </c>
      <c r="R27" s="4" t="str">
        <f aca="false">IF(A27="","",IF(G27&gt;E27,"Over budget",IF(G27&lt;E27,"Under budget","On budget")))</f>
        <v/>
      </c>
    </row>
    <row r="28" customFormat="false" ht="15" hidden="false" customHeight="false" outlineLevel="0" collapsed="false">
      <c r="A28" s="15"/>
      <c r="B28" s="15"/>
      <c r="C28" s="15"/>
      <c r="D28" s="23"/>
      <c r="E28" s="19"/>
      <c r="F28" s="23"/>
      <c r="G28" s="19"/>
      <c r="H28" s="19"/>
      <c r="I28" s="19"/>
      <c r="J28" s="19"/>
      <c r="K28" s="25" t="str">
        <f aca="false">IF(A28="","",ROUND(F28-D28,2))</f>
        <v/>
      </c>
      <c r="L28" s="16" t="str">
        <f aca="false">IF(A28="","",IFERROR(ROUND(K28/D28*100,2),0))</f>
        <v/>
      </c>
      <c r="M28" s="17" t="str">
        <f aca="false">IF(A28="","",ROUND(G28-E28,2))</f>
        <v/>
      </c>
      <c r="N28" s="16" t="str">
        <f aca="false">IF(A28="","",IFERROR(ROUND(M28/E28*100,2),0))</f>
        <v/>
      </c>
      <c r="O28" s="17" t="str">
        <f aca="false">IF(A28="","",IFERROR(ROUND(J28/F28,2),0))</f>
        <v/>
      </c>
      <c r="P28" s="17" t="str">
        <f aca="false">IF(A28="","",IF(N(H28)&gt;0,MAX(0,ROUND(G28-H28,2)),MAX(0,ROUND(G28-I28,2))))</f>
        <v/>
      </c>
      <c r="Q28" s="16" t="str">
        <f aca="false">IF(A28="","",IFERROR(ROUND(J28/G28*100,2),0))</f>
        <v/>
      </c>
      <c r="R28" s="4" t="str">
        <f aca="false">IF(A28="","",IF(G28&gt;E28,"Over budget",IF(G28&lt;E28,"Under budget","On budget")))</f>
        <v/>
      </c>
    </row>
    <row r="29" customFormat="false" ht="15" hidden="false" customHeight="false" outlineLevel="0" collapsed="false">
      <c r="A29" s="15"/>
      <c r="B29" s="15"/>
      <c r="C29" s="15"/>
      <c r="D29" s="23"/>
      <c r="E29" s="19"/>
      <c r="F29" s="23"/>
      <c r="G29" s="19"/>
      <c r="H29" s="19"/>
      <c r="I29" s="19"/>
      <c r="J29" s="19"/>
      <c r="K29" s="25" t="str">
        <f aca="false">IF(A29="","",ROUND(F29-D29,2))</f>
        <v/>
      </c>
      <c r="L29" s="16" t="str">
        <f aca="false">IF(A29="","",IFERROR(ROUND(K29/D29*100,2),0))</f>
        <v/>
      </c>
      <c r="M29" s="17" t="str">
        <f aca="false">IF(A29="","",ROUND(G29-E29,2))</f>
        <v/>
      </c>
      <c r="N29" s="16" t="str">
        <f aca="false">IF(A29="","",IFERROR(ROUND(M29/E29*100,2),0))</f>
        <v/>
      </c>
      <c r="O29" s="17" t="str">
        <f aca="false">IF(A29="","",IFERROR(ROUND(J29/F29,2),0))</f>
        <v/>
      </c>
      <c r="P29" s="17" t="str">
        <f aca="false">IF(A29="","",IF(N(H29)&gt;0,MAX(0,ROUND(G29-H29,2)),MAX(0,ROUND(G29-I29,2))))</f>
        <v/>
      </c>
      <c r="Q29" s="16" t="str">
        <f aca="false">IF(A29="","",IFERROR(ROUND(J29/G29*100,2),0))</f>
        <v/>
      </c>
      <c r="R29" s="4" t="str">
        <f aca="false">IF(A29="","",IF(G29&gt;E29,"Over budget",IF(G29&lt;E29,"Under budget","On budget")))</f>
        <v/>
      </c>
    </row>
    <row r="30" customFormat="false" ht="15" hidden="false" customHeight="false" outlineLevel="0" collapsed="false">
      <c r="A30" s="15"/>
      <c r="B30" s="15"/>
      <c r="C30" s="15"/>
      <c r="D30" s="23"/>
      <c r="E30" s="19"/>
      <c r="F30" s="23"/>
      <c r="G30" s="19"/>
      <c r="H30" s="19"/>
      <c r="I30" s="19"/>
      <c r="J30" s="19"/>
      <c r="K30" s="25" t="str">
        <f aca="false">IF(A30="","",ROUND(F30-D30,2))</f>
        <v/>
      </c>
      <c r="L30" s="16" t="str">
        <f aca="false">IF(A30="","",IFERROR(ROUND(K30/D30*100,2),0))</f>
        <v/>
      </c>
      <c r="M30" s="17" t="str">
        <f aca="false">IF(A30="","",ROUND(G30-E30,2))</f>
        <v/>
      </c>
      <c r="N30" s="16" t="str">
        <f aca="false">IF(A30="","",IFERROR(ROUND(M30/E30*100,2),0))</f>
        <v/>
      </c>
      <c r="O30" s="17" t="str">
        <f aca="false">IF(A30="","",IFERROR(ROUND(J30/F30,2),0))</f>
        <v/>
      </c>
      <c r="P30" s="17" t="str">
        <f aca="false">IF(A30="","",IF(N(H30)&gt;0,MAX(0,ROUND(G30-H30,2)),MAX(0,ROUND(G30-I30,2))))</f>
        <v/>
      </c>
      <c r="Q30" s="16" t="str">
        <f aca="false">IF(A30="","",IFERROR(ROUND(J30/G30*100,2),0))</f>
        <v/>
      </c>
      <c r="R30" s="4" t="str">
        <f aca="false">IF(A30="","",IF(G30&gt;E30,"Over budget",IF(G30&lt;E30,"Under budget","On budget")))</f>
        <v/>
      </c>
    </row>
    <row r="31" customFormat="false" ht="15" hidden="false" customHeight="false" outlineLevel="0" collapsed="false">
      <c r="A31" s="15"/>
      <c r="B31" s="15"/>
      <c r="C31" s="15"/>
      <c r="D31" s="23"/>
      <c r="E31" s="19"/>
      <c r="F31" s="23"/>
      <c r="G31" s="19"/>
      <c r="H31" s="19"/>
      <c r="I31" s="19"/>
      <c r="J31" s="19"/>
      <c r="K31" s="25" t="str">
        <f aca="false">IF(A31="","",ROUND(F31-D31,2))</f>
        <v/>
      </c>
      <c r="L31" s="16" t="str">
        <f aca="false">IF(A31="","",IFERROR(ROUND(K31/D31*100,2),0))</f>
        <v/>
      </c>
      <c r="M31" s="17" t="str">
        <f aca="false">IF(A31="","",ROUND(G31-E31,2))</f>
        <v/>
      </c>
      <c r="N31" s="16" t="str">
        <f aca="false">IF(A31="","",IFERROR(ROUND(M31/E31*100,2),0))</f>
        <v/>
      </c>
      <c r="O31" s="17" t="str">
        <f aca="false">IF(A31="","",IFERROR(ROUND(J31/F31,2),0))</f>
        <v/>
      </c>
      <c r="P31" s="17" t="str">
        <f aca="false">IF(A31="","",IF(N(H31)&gt;0,MAX(0,ROUND(G31-H31,2)),MAX(0,ROUND(G31-I31,2))))</f>
        <v/>
      </c>
      <c r="Q31" s="16" t="str">
        <f aca="false">IF(A31="","",IFERROR(ROUND(J31/G31*100,2),0))</f>
        <v/>
      </c>
      <c r="R31" s="4" t="str">
        <f aca="false">IF(A31="","",IF(G31&gt;E31,"Over budget",IF(G31&lt;E31,"Under budget","On budget")))</f>
        <v/>
      </c>
    </row>
    <row r="32" customFormat="false" ht="15" hidden="false" customHeight="false" outlineLevel="0" collapsed="false">
      <c r="A32" s="15"/>
      <c r="B32" s="15"/>
      <c r="C32" s="15"/>
      <c r="D32" s="23"/>
      <c r="E32" s="19"/>
      <c r="F32" s="23"/>
      <c r="G32" s="19"/>
      <c r="H32" s="19"/>
      <c r="I32" s="19"/>
      <c r="J32" s="19"/>
      <c r="K32" s="25" t="str">
        <f aca="false">IF(A32="","",ROUND(F32-D32,2))</f>
        <v/>
      </c>
      <c r="L32" s="16" t="str">
        <f aca="false">IF(A32="","",IFERROR(ROUND(K32/D32*100,2),0))</f>
        <v/>
      </c>
      <c r="M32" s="17" t="str">
        <f aca="false">IF(A32="","",ROUND(G32-E32,2))</f>
        <v/>
      </c>
      <c r="N32" s="16" t="str">
        <f aca="false">IF(A32="","",IFERROR(ROUND(M32/E32*100,2),0))</f>
        <v/>
      </c>
      <c r="O32" s="17" t="str">
        <f aca="false">IF(A32="","",IFERROR(ROUND(J32/F32,2),0))</f>
        <v/>
      </c>
      <c r="P32" s="17" t="str">
        <f aca="false">IF(A32="","",IF(N(H32)&gt;0,MAX(0,ROUND(G32-H32,2)),MAX(0,ROUND(G32-I32,2))))</f>
        <v/>
      </c>
      <c r="Q32" s="16" t="str">
        <f aca="false">IF(A32="","",IFERROR(ROUND(J32/G32*100,2),0))</f>
        <v/>
      </c>
      <c r="R32" s="4" t="str">
        <f aca="false">IF(A32="","",IF(G32&gt;E32,"Over budget",IF(G32&lt;E32,"Under budget","On budget")))</f>
        <v/>
      </c>
    </row>
    <row r="33" customFormat="false" ht="15" hidden="false" customHeight="false" outlineLevel="0" collapsed="false">
      <c r="A33" s="15"/>
      <c r="B33" s="15"/>
      <c r="C33" s="15"/>
      <c r="D33" s="23"/>
      <c r="E33" s="19"/>
      <c r="F33" s="23"/>
      <c r="G33" s="19"/>
      <c r="H33" s="19"/>
      <c r="I33" s="19"/>
      <c r="J33" s="19"/>
      <c r="K33" s="25" t="str">
        <f aca="false">IF(A33="","",ROUND(F33-D33,2))</f>
        <v/>
      </c>
      <c r="L33" s="16" t="str">
        <f aca="false">IF(A33="","",IFERROR(ROUND(K33/D33*100,2),0))</f>
        <v/>
      </c>
      <c r="M33" s="17" t="str">
        <f aca="false">IF(A33="","",ROUND(G33-E33,2))</f>
        <v/>
      </c>
      <c r="N33" s="16" t="str">
        <f aca="false">IF(A33="","",IFERROR(ROUND(M33/E33*100,2),0))</f>
        <v/>
      </c>
      <c r="O33" s="17" t="str">
        <f aca="false">IF(A33="","",IFERROR(ROUND(J33/F33,2),0))</f>
        <v/>
      </c>
      <c r="P33" s="17" t="str">
        <f aca="false">IF(A33="","",IF(N(H33)&gt;0,MAX(0,ROUND(G33-H33,2)),MAX(0,ROUND(G33-I33,2))))</f>
        <v/>
      </c>
      <c r="Q33" s="16" t="str">
        <f aca="false">IF(A33="","",IFERROR(ROUND(J33/G33*100,2),0))</f>
        <v/>
      </c>
      <c r="R33" s="4" t="str">
        <f aca="false">IF(A33="","",IF(G33&gt;E33,"Over budget",IF(G33&lt;E33,"Under budget","On budget")))</f>
        <v/>
      </c>
    </row>
    <row r="34" customFormat="false" ht="15" hidden="false" customHeight="false" outlineLevel="0" collapsed="false">
      <c r="A34" s="15"/>
      <c r="B34" s="15"/>
      <c r="C34" s="15"/>
      <c r="D34" s="23"/>
      <c r="E34" s="19"/>
      <c r="F34" s="23"/>
      <c r="G34" s="19"/>
      <c r="H34" s="19"/>
      <c r="I34" s="19"/>
      <c r="J34" s="19"/>
      <c r="K34" s="25" t="str">
        <f aca="false">IF(A34="","",ROUND(F34-D34,2))</f>
        <v/>
      </c>
      <c r="L34" s="16" t="str">
        <f aca="false">IF(A34="","",IFERROR(ROUND(K34/D34*100,2),0))</f>
        <v/>
      </c>
      <c r="M34" s="17" t="str">
        <f aca="false">IF(A34="","",ROUND(G34-E34,2))</f>
        <v/>
      </c>
      <c r="N34" s="16" t="str">
        <f aca="false">IF(A34="","",IFERROR(ROUND(M34/E34*100,2),0))</f>
        <v/>
      </c>
      <c r="O34" s="17" t="str">
        <f aca="false">IF(A34="","",IFERROR(ROUND(J34/F34,2),0))</f>
        <v/>
      </c>
      <c r="P34" s="17" t="str">
        <f aca="false">IF(A34="","",IF(N(H34)&gt;0,MAX(0,ROUND(G34-H34,2)),MAX(0,ROUND(G34-I34,2))))</f>
        <v/>
      </c>
      <c r="Q34" s="16" t="str">
        <f aca="false">IF(A34="","",IFERROR(ROUND(J34/G34*100,2),0))</f>
        <v/>
      </c>
      <c r="R34" s="4" t="str">
        <f aca="false">IF(A34="","",IF(G34&gt;E34,"Over budget",IF(G34&lt;E34,"Under budget","On budget")))</f>
        <v/>
      </c>
    </row>
    <row r="35" customFormat="false" ht="15" hidden="false" customHeight="false" outlineLevel="0" collapsed="false">
      <c r="A35" s="5" t="s">
        <v>93</v>
      </c>
      <c r="B35" s="26" t="n">
        <f aca="false">COUNTA(A5:A34)</f>
        <v>8</v>
      </c>
      <c r="D35" s="24" t="n">
        <f aca="false">SUM(D5:D34)</f>
        <v>242</v>
      </c>
      <c r="E35" s="7" t="n">
        <f aca="false">SUM(E5:E34)</f>
        <v>59300</v>
      </c>
      <c r="F35" s="24" t="n">
        <f aca="false">SUM(F5:F34)</f>
        <v>266</v>
      </c>
      <c r="G35" s="7" t="n">
        <f aca="false">SUM(G5:G34)</f>
        <v>66150</v>
      </c>
      <c r="H35" s="7" t="n">
        <f aca="false">SUM(H5:H34)</f>
        <v>40400</v>
      </c>
      <c r="I35" s="7" t="n">
        <f aca="false">SUM(I5:I34)</f>
        <v>72500</v>
      </c>
      <c r="J35" s="7" t="n">
        <f aca="false">SUM(J5:J34)</f>
        <v>66600</v>
      </c>
      <c r="K35" s="27" t="n">
        <f aca="false">SUM(K5:K34)</f>
        <v>24</v>
      </c>
      <c r="L35" s="28" t="n">
        <f aca="false">IFERROR(ROUND(K35/D35*100,2),0)</f>
        <v>9.92</v>
      </c>
      <c r="M35" s="7" t="n">
        <f aca="false">SUM(M5:M34)</f>
        <v>6850</v>
      </c>
      <c r="N35" s="28" t="n">
        <f aca="false">IFERROR(ROUND(M35/E35*100,2),0)</f>
        <v>11.55</v>
      </c>
      <c r="O35" s="7" t="n">
        <f aca="false">IFERROR(ROUND(J35/F35,2),0)</f>
        <v>250.38</v>
      </c>
      <c r="P35" s="7" t="n">
        <f aca="false">SUM(P5:P34)</f>
        <v>3500</v>
      </c>
      <c r="Q35" s="28" t="n">
        <f aca="false">IFERROR(ROUND(J35/G35*100,2),0)</f>
        <v>100.68</v>
      </c>
    </row>
  </sheetData>
  <dataValidations count="1">
    <dataValidation allowBlank="true" errorStyle="stop" operator="between" showDropDown="false" showErrorMessage="false" showInputMessage="false" sqref="C5:C34" type="list">
      <formula1>"hourly,flat,contingency"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3" min="2" style="1" width="13"/>
    <col collapsed="false" customWidth="true" hidden="false" outlineLevel="0" max="4" min="4" style="1" width="14"/>
    <col collapsed="false" customWidth="true" hidden="false" outlineLevel="0" max="5" min="5" style="1" width="12"/>
    <col collapsed="false" customWidth="true" hidden="false" outlineLevel="0" max="8" min="6" style="1" width="10"/>
    <col collapsed="false" customWidth="true" hidden="false" outlineLevel="0" max="10" min="9" style="1" width="13"/>
    <col collapsed="false" customWidth="true" hidden="false" outlineLevel="0" max="11" min="11" style="1" width="14"/>
  </cols>
  <sheetData>
    <row r="1" customFormat="false" ht="17.35" hidden="false" customHeight="false" outlineLevel="0" collapsed="false">
      <c r="A1" s="2" t="s">
        <v>169</v>
      </c>
    </row>
    <row r="2" customFormat="false" ht="15" hidden="false" customHeight="false" outlineLevel="0" collapsed="false">
      <c r="A2" s="3" t="s">
        <v>170</v>
      </c>
    </row>
    <row r="4" customFormat="false" ht="52.2" hidden="false" customHeight="false" outlineLevel="0" collapsed="false">
      <c r="A4" s="14" t="s">
        <v>171</v>
      </c>
      <c r="B4" s="14" t="s">
        <v>172</v>
      </c>
      <c r="C4" s="14" t="s">
        <v>173</v>
      </c>
      <c r="D4" s="14" t="s">
        <v>174</v>
      </c>
      <c r="E4" s="14" t="s">
        <v>175</v>
      </c>
      <c r="F4" s="14" t="s">
        <v>176</v>
      </c>
      <c r="G4" s="14" t="s">
        <v>177</v>
      </c>
      <c r="H4" s="14" t="s">
        <v>178</v>
      </c>
      <c r="I4" s="14" t="s">
        <v>179</v>
      </c>
      <c r="J4" s="14" t="s">
        <v>180</v>
      </c>
      <c r="K4" s="14" t="s">
        <v>181</v>
      </c>
    </row>
    <row r="5" customFormat="false" ht="15" hidden="false" customHeight="false" outlineLevel="0" collapsed="false">
      <c r="A5" s="29" t="n">
        <v>46023</v>
      </c>
      <c r="B5" s="6" t="n">
        <v>180000</v>
      </c>
      <c r="C5" s="6" t="n">
        <v>220000</v>
      </c>
      <c r="D5" s="6" t="n">
        <v>1800000</v>
      </c>
      <c r="E5" s="17" t="n">
        <f aca="false">IF(A5="","",IFERROR(ROUND(D5/Settings!$B$14,2),0))</f>
        <v>4931.51</v>
      </c>
      <c r="F5" s="18" t="n">
        <f aca="false">IF(A5="","",IFERROR(ROUND(B5/E5,2),0))</f>
        <v>36.5</v>
      </c>
      <c r="G5" s="18" t="n">
        <f aca="false">IF(A5="","",IFERROR(ROUND(C5/E5,2),0))</f>
        <v>44.61</v>
      </c>
      <c r="H5" s="18" t="n">
        <f aca="false">IF(A5="","",F5+G5)</f>
        <v>81.11</v>
      </c>
      <c r="I5" s="17" t="n">
        <f aca="false">IF(A5="","",B5+C5)</f>
        <v>400000</v>
      </c>
      <c r="J5" s="17" t="n">
        <f aca="false">IF(A5="","",IFERROR(ROUND(I5/H5,2),0))</f>
        <v>4931.57</v>
      </c>
      <c r="K5" s="4" t="str">
        <f aca="false">""</f>
        <v/>
      </c>
    </row>
    <row r="6" customFormat="false" ht="15" hidden="false" customHeight="false" outlineLevel="0" collapsed="false">
      <c r="A6" s="29" t="n">
        <v>46054</v>
      </c>
      <c r="B6" s="19" t="n">
        <v>175000</v>
      </c>
      <c r="C6" s="19" t="n">
        <v>230000</v>
      </c>
      <c r="D6" s="19" t="n">
        <v>1820000</v>
      </c>
      <c r="E6" s="17" t="n">
        <f aca="false">IF(A6="","",IFERROR(ROUND(D6/Settings!$B$14,2),0))</f>
        <v>4986.3</v>
      </c>
      <c r="F6" s="18" t="n">
        <f aca="false">IF(A6="","",IFERROR(ROUND(B6/E6,2),0))</f>
        <v>35.1</v>
      </c>
      <c r="G6" s="18" t="n">
        <f aca="false">IF(A6="","",IFERROR(ROUND(C6/E6,2),0))</f>
        <v>46.13</v>
      </c>
      <c r="H6" s="18" t="n">
        <f aca="false">IF(A6="","",F6+G6)</f>
        <v>81.23</v>
      </c>
      <c r="I6" s="17" t="n">
        <f aca="false">IF(A6="","",B6+C6)</f>
        <v>405000</v>
      </c>
      <c r="J6" s="17" t="n">
        <f aca="false">IF(A6="","",IFERROR(ROUND(I6/H6,2),0))</f>
        <v>4985.84</v>
      </c>
      <c r="K6" s="25" t="n">
        <f aca="false">IF(OR(A6="",A5=""),"",ROUND(H6-H5,2))</f>
        <v>0.12</v>
      </c>
    </row>
    <row r="7" customFormat="false" ht="15" hidden="false" customHeight="false" outlineLevel="0" collapsed="false">
      <c r="A7" s="29" t="n">
        <v>46082</v>
      </c>
      <c r="B7" s="19" t="n">
        <v>170000</v>
      </c>
      <c r="C7" s="19" t="n">
        <v>210000</v>
      </c>
      <c r="D7" s="19" t="n">
        <v>1830000</v>
      </c>
      <c r="E7" s="17" t="n">
        <f aca="false">IF(A7="","",IFERROR(ROUND(D7/Settings!$B$14,2),0))</f>
        <v>5013.7</v>
      </c>
      <c r="F7" s="18" t="n">
        <f aca="false">IF(A7="","",IFERROR(ROUND(B7/E7,2),0))</f>
        <v>33.91</v>
      </c>
      <c r="G7" s="18" t="n">
        <f aca="false">IF(A7="","",IFERROR(ROUND(C7/E7,2),0))</f>
        <v>41.89</v>
      </c>
      <c r="H7" s="18" t="n">
        <f aca="false">IF(A7="","",F7+G7)</f>
        <v>75.8</v>
      </c>
      <c r="I7" s="17" t="n">
        <f aca="false">IF(A7="","",B7+C7)</f>
        <v>380000</v>
      </c>
      <c r="J7" s="17" t="n">
        <f aca="false">IF(A7="","",IFERROR(ROUND(I7/H7,2),0))</f>
        <v>5013.19</v>
      </c>
      <c r="K7" s="25" t="n">
        <f aca="false">IF(OR(A7="",A6=""),"",ROUND(H7-H6,2))</f>
        <v>-5.43</v>
      </c>
    </row>
    <row r="8" customFormat="false" ht="15" hidden="false" customHeight="false" outlineLevel="0" collapsed="false">
      <c r="A8" s="29" t="n">
        <v>46113</v>
      </c>
      <c r="B8" s="19" t="n">
        <v>160000</v>
      </c>
      <c r="C8" s="19" t="n">
        <v>205000</v>
      </c>
      <c r="D8" s="19" t="n">
        <v>1850000</v>
      </c>
      <c r="E8" s="17" t="n">
        <f aca="false">IF(A8="","",IFERROR(ROUND(D8/Settings!$B$14,2),0))</f>
        <v>5068.49</v>
      </c>
      <c r="F8" s="18" t="n">
        <f aca="false">IF(A8="","",IFERROR(ROUND(B8/E8,2),0))</f>
        <v>31.57</v>
      </c>
      <c r="G8" s="18" t="n">
        <f aca="false">IF(A8="","",IFERROR(ROUND(C8/E8,2),0))</f>
        <v>40.45</v>
      </c>
      <c r="H8" s="18" t="n">
        <f aca="false">IF(A8="","",F8+G8)</f>
        <v>72.02</v>
      </c>
      <c r="I8" s="17" t="n">
        <f aca="false">IF(A8="","",B8+C8)</f>
        <v>365000</v>
      </c>
      <c r="J8" s="17" t="n">
        <f aca="false">IF(A8="","",IFERROR(ROUND(I8/H8,2),0))</f>
        <v>5068.04</v>
      </c>
      <c r="K8" s="25" t="n">
        <f aca="false">IF(OR(A8="",A7=""),"",ROUND(H8-H7,2))</f>
        <v>-3.78</v>
      </c>
    </row>
    <row r="9" customFormat="false" ht="15" hidden="false" customHeight="false" outlineLevel="0" collapsed="false">
      <c r="A9" s="29" t="n">
        <v>46143</v>
      </c>
      <c r="B9" s="19" t="n">
        <v>165000</v>
      </c>
      <c r="C9" s="19" t="n">
        <v>195000</v>
      </c>
      <c r="D9" s="19" t="n">
        <v>1860000</v>
      </c>
      <c r="E9" s="17" t="n">
        <f aca="false">IF(A9="","",IFERROR(ROUND(D9/Settings!$B$14,2),0))</f>
        <v>5095.89</v>
      </c>
      <c r="F9" s="18" t="n">
        <f aca="false">IF(A9="","",IFERROR(ROUND(B9/E9,2),0))</f>
        <v>32.38</v>
      </c>
      <c r="G9" s="18" t="n">
        <f aca="false">IF(A9="","",IFERROR(ROUND(C9/E9,2),0))</f>
        <v>38.27</v>
      </c>
      <c r="H9" s="18" t="n">
        <f aca="false">IF(A9="","",F9+G9)</f>
        <v>70.65</v>
      </c>
      <c r="I9" s="17" t="n">
        <f aca="false">IF(A9="","",B9+C9)</f>
        <v>360000</v>
      </c>
      <c r="J9" s="17" t="n">
        <f aca="false">IF(A9="","",IFERROR(ROUND(I9/H9,2),0))</f>
        <v>5095.54</v>
      </c>
      <c r="K9" s="25" t="n">
        <f aca="false">IF(OR(A9="",A8=""),"",ROUND(H9-H8,2))</f>
        <v>-1.37</v>
      </c>
    </row>
    <row r="10" customFormat="false" ht="15" hidden="false" customHeight="false" outlineLevel="0" collapsed="false">
      <c r="A10" s="29" t="n">
        <v>46174</v>
      </c>
      <c r="B10" s="19" t="n">
        <v>150000</v>
      </c>
      <c r="C10" s="19" t="n">
        <v>190000</v>
      </c>
      <c r="D10" s="19" t="n">
        <v>1880000</v>
      </c>
      <c r="E10" s="17" t="n">
        <f aca="false">IF(A10="","",IFERROR(ROUND(D10/Settings!$B$14,2),0))</f>
        <v>5150.68</v>
      </c>
      <c r="F10" s="18" t="n">
        <f aca="false">IF(A10="","",IFERROR(ROUND(B10/E10,2),0))</f>
        <v>29.12</v>
      </c>
      <c r="G10" s="18" t="n">
        <f aca="false">IF(A10="","",IFERROR(ROUND(C10/E10,2),0))</f>
        <v>36.89</v>
      </c>
      <c r="H10" s="18" t="n">
        <f aca="false">IF(A10="","",F10+G10)</f>
        <v>66.01</v>
      </c>
      <c r="I10" s="17" t="n">
        <f aca="false">IF(A10="","",B10+C10)</f>
        <v>340000</v>
      </c>
      <c r="J10" s="17" t="n">
        <f aca="false">IF(A10="","",IFERROR(ROUND(I10/H10,2),0))</f>
        <v>5150.73</v>
      </c>
      <c r="K10" s="25" t="n">
        <f aca="false">IF(OR(A10="",A9=""),"",ROUND(H10-H9,2))</f>
        <v>-4.64</v>
      </c>
    </row>
    <row r="11" customFormat="false" ht="15" hidden="false" customHeight="false" outlineLevel="0" collapsed="false">
      <c r="A11" s="29"/>
      <c r="B11" s="19"/>
      <c r="C11" s="19"/>
      <c r="D11" s="19"/>
      <c r="E11" s="17" t="str">
        <f aca="false">IF(A11="","",IFERROR(ROUND(D11/Settings!$B$14,2),0))</f>
        <v/>
      </c>
      <c r="F11" s="18" t="str">
        <f aca="false">IF(A11="","",IFERROR(ROUND(B11/E11,2),0))</f>
        <v/>
      </c>
      <c r="G11" s="18" t="str">
        <f aca="false">IF(A11="","",IFERROR(ROUND(C11/E11,2),0))</f>
        <v/>
      </c>
      <c r="H11" s="18" t="str">
        <f aca="false">IF(A11="","",F11+G11)</f>
        <v/>
      </c>
      <c r="I11" s="17" t="str">
        <f aca="false">IF(A11="","",B11+C11)</f>
        <v/>
      </c>
      <c r="J11" s="17" t="str">
        <f aca="false">IF(A11="","",IFERROR(ROUND(I11/H11,2),0))</f>
        <v/>
      </c>
      <c r="K11" s="25" t="str">
        <f aca="false">IF(OR(A11="",A10=""),"",ROUND(H11-H10,2))</f>
        <v/>
      </c>
    </row>
    <row r="12" customFormat="false" ht="15" hidden="false" customHeight="false" outlineLevel="0" collapsed="false">
      <c r="A12" s="29"/>
      <c r="B12" s="19"/>
      <c r="C12" s="19"/>
      <c r="D12" s="19"/>
      <c r="E12" s="17" t="str">
        <f aca="false">IF(A12="","",IFERROR(ROUND(D12/Settings!$B$14,2),0))</f>
        <v/>
      </c>
      <c r="F12" s="18" t="str">
        <f aca="false">IF(A12="","",IFERROR(ROUND(B12/E12,2),0))</f>
        <v/>
      </c>
      <c r="G12" s="18" t="str">
        <f aca="false">IF(A12="","",IFERROR(ROUND(C12/E12,2),0))</f>
        <v/>
      </c>
      <c r="H12" s="18" t="str">
        <f aca="false">IF(A12="","",F12+G12)</f>
        <v/>
      </c>
      <c r="I12" s="17" t="str">
        <f aca="false">IF(A12="","",B12+C12)</f>
        <v/>
      </c>
      <c r="J12" s="17" t="str">
        <f aca="false">IF(A12="","",IFERROR(ROUND(I12/H12,2),0))</f>
        <v/>
      </c>
      <c r="K12" s="25" t="str">
        <f aca="false">IF(OR(A12="",A11=""),"",ROUND(H12-H11,2))</f>
        <v/>
      </c>
    </row>
    <row r="13" customFormat="false" ht="15" hidden="false" customHeight="false" outlineLevel="0" collapsed="false">
      <c r="A13" s="29"/>
      <c r="B13" s="19"/>
      <c r="C13" s="19"/>
      <c r="D13" s="19"/>
      <c r="E13" s="17" t="str">
        <f aca="false">IF(A13="","",IFERROR(ROUND(D13/Settings!$B$14,2),0))</f>
        <v/>
      </c>
      <c r="F13" s="18" t="str">
        <f aca="false">IF(A13="","",IFERROR(ROUND(B13/E13,2),0))</f>
        <v/>
      </c>
      <c r="G13" s="18" t="str">
        <f aca="false">IF(A13="","",IFERROR(ROUND(C13/E13,2),0))</f>
        <v/>
      </c>
      <c r="H13" s="18" t="str">
        <f aca="false">IF(A13="","",F13+G13)</f>
        <v/>
      </c>
      <c r="I13" s="17" t="str">
        <f aca="false">IF(A13="","",B13+C13)</f>
        <v/>
      </c>
      <c r="J13" s="17" t="str">
        <f aca="false">IF(A13="","",IFERROR(ROUND(I13/H13,2),0))</f>
        <v/>
      </c>
      <c r="K13" s="25" t="str">
        <f aca="false">IF(OR(A13="",A12=""),"",ROUND(H13-H12,2))</f>
        <v/>
      </c>
    </row>
    <row r="14" customFormat="false" ht="15" hidden="false" customHeight="false" outlineLevel="0" collapsed="false">
      <c r="A14" s="29"/>
      <c r="B14" s="19"/>
      <c r="C14" s="19"/>
      <c r="D14" s="19"/>
      <c r="E14" s="17" t="str">
        <f aca="false">IF(A14="","",IFERROR(ROUND(D14/Settings!$B$14,2),0))</f>
        <v/>
      </c>
      <c r="F14" s="18" t="str">
        <f aca="false">IF(A14="","",IFERROR(ROUND(B14/E14,2),0))</f>
        <v/>
      </c>
      <c r="G14" s="18" t="str">
        <f aca="false">IF(A14="","",IFERROR(ROUND(C14/E14,2),0))</f>
        <v/>
      </c>
      <c r="H14" s="18" t="str">
        <f aca="false">IF(A14="","",F14+G14)</f>
        <v/>
      </c>
      <c r="I14" s="17" t="str">
        <f aca="false">IF(A14="","",B14+C14)</f>
        <v/>
      </c>
      <c r="J14" s="17" t="str">
        <f aca="false">IF(A14="","",IFERROR(ROUND(I14/H14,2),0))</f>
        <v/>
      </c>
      <c r="K14" s="25" t="str">
        <f aca="false">IF(OR(A14="",A13=""),"",ROUND(H14-H13,2))</f>
        <v/>
      </c>
    </row>
    <row r="15" customFormat="false" ht="15" hidden="false" customHeight="false" outlineLevel="0" collapsed="false">
      <c r="A15" s="29"/>
      <c r="B15" s="19"/>
      <c r="C15" s="19"/>
      <c r="D15" s="19"/>
      <c r="E15" s="17" t="str">
        <f aca="false">IF(A15="","",IFERROR(ROUND(D15/Settings!$B$14,2),0))</f>
        <v/>
      </c>
      <c r="F15" s="18" t="str">
        <f aca="false">IF(A15="","",IFERROR(ROUND(B15/E15,2),0))</f>
        <v/>
      </c>
      <c r="G15" s="18" t="str">
        <f aca="false">IF(A15="","",IFERROR(ROUND(C15/E15,2),0))</f>
        <v/>
      </c>
      <c r="H15" s="18" t="str">
        <f aca="false">IF(A15="","",F15+G15)</f>
        <v/>
      </c>
      <c r="I15" s="17" t="str">
        <f aca="false">IF(A15="","",B15+C15)</f>
        <v/>
      </c>
      <c r="J15" s="17" t="str">
        <f aca="false">IF(A15="","",IFERROR(ROUND(I15/H15,2),0))</f>
        <v/>
      </c>
      <c r="K15" s="25" t="str">
        <f aca="false">IF(OR(A15="",A14=""),"",ROUND(H15-H14,2))</f>
        <v/>
      </c>
    </row>
    <row r="16" customFormat="false" ht="15" hidden="false" customHeight="false" outlineLevel="0" collapsed="false">
      <c r="A16" s="29"/>
      <c r="B16" s="19"/>
      <c r="C16" s="19"/>
      <c r="D16" s="19"/>
      <c r="E16" s="17" t="str">
        <f aca="false">IF(A16="","",IFERROR(ROUND(D16/Settings!$B$14,2),0))</f>
        <v/>
      </c>
      <c r="F16" s="18" t="str">
        <f aca="false">IF(A16="","",IFERROR(ROUND(B16/E16,2),0))</f>
        <v/>
      </c>
      <c r="G16" s="18" t="str">
        <f aca="false">IF(A16="","",IFERROR(ROUND(C16/E16,2),0))</f>
        <v/>
      </c>
      <c r="H16" s="18" t="str">
        <f aca="false">IF(A16="","",F16+G16)</f>
        <v/>
      </c>
      <c r="I16" s="17" t="str">
        <f aca="false">IF(A16="","",B16+C16)</f>
        <v/>
      </c>
      <c r="J16" s="17" t="str">
        <f aca="false">IF(A16="","",IFERROR(ROUND(I16/H16,2),0))</f>
        <v/>
      </c>
      <c r="K16" s="25" t="str">
        <f aca="false">IF(OR(A16="",A15=""),"",ROUND(H16-H15,2))</f>
        <v/>
      </c>
    </row>
    <row r="19" customFormat="false" ht="15" hidden="false" customHeight="false" outlineLevel="0" collapsed="false">
      <c r="A19" s="5" t="s">
        <v>182</v>
      </c>
    </row>
    <row r="20" customFormat="false" ht="15" hidden="false" customHeight="false" outlineLevel="0" collapsed="false">
      <c r="A20" s="3" t="s">
        <v>183</v>
      </c>
    </row>
    <row r="21" customFormat="false" ht="64.9" hidden="false" customHeight="false" outlineLevel="0" collapsed="false">
      <c r="A21" s="14" t="s">
        <v>99</v>
      </c>
      <c r="B21" s="14" t="s">
        <v>184</v>
      </c>
      <c r="C21" s="14" t="s">
        <v>185</v>
      </c>
      <c r="D21" s="14" t="s">
        <v>186</v>
      </c>
      <c r="E21" s="14" t="s">
        <v>187</v>
      </c>
      <c r="F21" s="14" t="s">
        <v>188</v>
      </c>
      <c r="G21" s="14" t="s">
        <v>189</v>
      </c>
      <c r="H21" s="14" t="s">
        <v>190</v>
      </c>
      <c r="I21" s="14" t="s">
        <v>191</v>
      </c>
      <c r="J21" s="14" t="s">
        <v>192</v>
      </c>
      <c r="K21" s="14" t="s">
        <v>193</v>
      </c>
      <c r="L21" s="14" t="s">
        <v>194</v>
      </c>
      <c r="M21" s="14" t="s">
        <v>195</v>
      </c>
      <c r="N21" s="14" t="s">
        <v>196</v>
      </c>
      <c r="O21" s="14" t="s">
        <v>116</v>
      </c>
    </row>
    <row r="22" customFormat="false" ht="15" hidden="false" customHeight="false" outlineLevel="0" collapsed="false">
      <c r="A22" s="15" t="s">
        <v>160</v>
      </c>
      <c r="B22" s="6" t="n">
        <v>120000</v>
      </c>
      <c r="C22" s="8" t="n">
        <v>30</v>
      </c>
      <c r="D22" s="19" t="n">
        <v>8000</v>
      </c>
      <c r="E22" s="15" t="s">
        <v>197</v>
      </c>
      <c r="F22" s="16" t="n">
        <f aca="false">IF(A22="","",Settings!$B$15)</f>
        <v>0</v>
      </c>
      <c r="G22" s="11"/>
      <c r="H22" s="16" t="n">
        <f aca="false">IF(A22="","",IF(G22&lt;&gt;"",G22,F22))</f>
        <v>0</v>
      </c>
      <c r="I22" s="23" t="n">
        <v>95</v>
      </c>
      <c r="J22" s="17" t="n">
        <f aca="false">IF(A22="","",IF(E22="yes",B22-D22,B22))</f>
        <v>112000</v>
      </c>
      <c r="K22" s="17" t="n">
        <f aca="false">IF(A22="","",ROUND(J22*C22/100,2))</f>
        <v>33600</v>
      </c>
      <c r="L22" s="17" t="n">
        <f aca="false">IF(A22="","",ROUND(K22*H22/100,2))</f>
        <v>0</v>
      </c>
      <c r="M22" s="17" t="n">
        <f aca="false">IF(A22="","",K22-L22)</f>
        <v>33600</v>
      </c>
      <c r="N22" s="17" t="n">
        <f aca="false">IF(A22="","",ROUND(B22-K22-D22,2))</f>
        <v>78400</v>
      </c>
      <c r="O22" s="17" t="n">
        <f aca="false">IF(A22="","",IFERROR(ROUND(M22/I22,2),0))</f>
        <v>353.68</v>
      </c>
    </row>
    <row r="23" customFormat="false" ht="15" hidden="false" customHeight="false" outlineLevel="0" collapsed="false">
      <c r="A23" s="15" t="s">
        <v>198</v>
      </c>
      <c r="B23" s="6" t="n">
        <v>45000</v>
      </c>
      <c r="C23" s="8" t="n">
        <v>33.33</v>
      </c>
      <c r="D23" s="19" t="n">
        <v>3000</v>
      </c>
      <c r="E23" s="15" t="s">
        <v>199</v>
      </c>
      <c r="F23" s="16" t="n">
        <f aca="false">IF(A23="","",Settings!$B$15)</f>
        <v>0</v>
      </c>
      <c r="G23" s="11" t="n">
        <v>25</v>
      </c>
      <c r="H23" s="16" t="n">
        <f aca="false">IF(A23="","",IF(G23&lt;&gt;"",G23,F23))</f>
        <v>25</v>
      </c>
      <c r="I23" s="23" t="n">
        <v>60</v>
      </c>
      <c r="J23" s="17" t="n">
        <f aca="false">IF(A23="","",IF(E23="yes",B23-D23,B23))</f>
        <v>45000</v>
      </c>
      <c r="K23" s="17" t="n">
        <f aca="false">IF(A23="","",ROUND(J23*C23/100,2))</f>
        <v>14998.5</v>
      </c>
      <c r="L23" s="17" t="n">
        <f aca="false">IF(A23="","",ROUND(K23*H23/100,2))</f>
        <v>3749.63</v>
      </c>
      <c r="M23" s="17" t="n">
        <f aca="false">IF(A23="","",K23-L23)</f>
        <v>11248.87</v>
      </c>
      <c r="N23" s="17" t="n">
        <f aca="false">IF(A23="","",ROUND(B23-K23-D23,2))</f>
        <v>27001.5</v>
      </c>
      <c r="O23" s="17" t="n">
        <f aca="false">IF(A23="","",IFERROR(ROUND(M23/I23,2),0))</f>
        <v>187.48</v>
      </c>
    </row>
    <row r="24" customFormat="false" ht="15" hidden="false" customHeight="false" outlineLevel="0" collapsed="false">
      <c r="A24" s="15" t="s">
        <v>200</v>
      </c>
      <c r="B24" s="6" t="n">
        <v>250000</v>
      </c>
      <c r="C24" s="8" t="n">
        <v>25</v>
      </c>
      <c r="D24" s="19" t="n">
        <v>22000</v>
      </c>
      <c r="E24" s="15" t="s">
        <v>197</v>
      </c>
      <c r="F24" s="16" t="n">
        <f aca="false">IF(A24="","",Settings!$B$15)</f>
        <v>0</v>
      </c>
      <c r="G24" s="11"/>
      <c r="H24" s="16" t="n">
        <f aca="false">IF(A24="","",IF(G24&lt;&gt;"",G24,F24))</f>
        <v>0</v>
      </c>
      <c r="I24" s="23" t="n">
        <v>310</v>
      </c>
      <c r="J24" s="17" t="n">
        <f aca="false">IF(A24="","",IF(E24="yes",B24-D24,B24))</f>
        <v>228000</v>
      </c>
      <c r="K24" s="17" t="n">
        <f aca="false">IF(A24="","",ROUND(J24*C24/100,2))</f>
        <v>57000</v>
      </c>
      <c r="L24" s="17" t="n">
        <f aca="false">IF(A24="","",ROUND(K24*H24/100,2))</f>
        <v>0</v>
      </c>
      <c r="M24" s="17" t="n">
        <f aca="false">IF(A24="","",K24-L24)</f>
        <v>57000</v>
      </c>
      <c r="N24" s="17" t="n">
        <f aca="false">IF(A24="","",ROUND(B24-K24-D24,2))</f>
        <v>171000</v>
      </c>
      <c r="O24" s="17" t="n">
        <f aca="false">IF(A24="","",IFERROR(ROUND(M24/I24,2),0))</f>
        <v>183.87</v>
      </c>
    </row>
    <row r="25" customFormat="false" ht="15" hidden="false" customHeight="false" outlineLevel="0" collapsed="false">
      <c r="A25" s="15"/>
      <c r="B25" s="19"/>
      <c r="C25" s="11"/>
      <c r="D25" s="19"/>
      <c r="E25" s="15"/>
      <c r="F25" s="16" t="str">
        <f aca="false">IF(A25="","",Settings!$B$15)</f>
        <v/>
      </c>
      <c r="G25" s="11"/>
      <c r="H25" s="16" t="str">
        <f aca="false">IF(A25="","",IF(G25&lt;&gt;"",G25,F25))</f>
        <v/>
      </c>
      <c r="I25" s="23"/>
      <c r="J25" s="17" t="str">
        <f aca="false">IF(A25="","",IF(E25="yes",B25-D25,B25))</f>
        <v/>
      </c>
      <c r="K25" s="17" t="str">
        <f aca="false">IF(A25="","",ROUND(J25*C25/100,2))</f>
        <v/>
      </c>
      <c r="L25" s="17" t="str">
        <f aca="false">IF(A25="","",ROUND(K25*H25/100,2))</f>
        <v/>
      </c>
      <c r="M25" s="17" t="str">
        <f aca="false">IF(A25="","",K25-L25)</f>
        <v/>
      </c>
      <c r="N25" s="17" t="str">
        <f aca="false">IF(A25="","",ROUND(B25-K25-D25,2))</f>
        <v/>
      </c>
      <c r="O25" s="17" t="str">
        <f aca="false">IF(A25="","",IFERROR(ROUND(M25/I25,2),0))</f>
        <v/>
      </c>
    </row>
    <row r="26" customFormat="false" ht="15" hidden="false" customHeight="false" outlineLevel="0" collapsed="false">
      <c r="A26" s="15"/>
      <c r="B26" s="19"/>
      <c r="C26" s="11"/>
      <c r="D26" s="19"/>
      <c r="E26" s="15"/>
      <c r="F26" s="16" t="str">
        <f aca="false">IF(A26="","",Settings!$B$15)</f>
        <v/>
      </c>
      <c r="G26" s="11"/>
      <c r="H26" s="16" t="str">
        <f aca="false">IF(A26="","",IF(G26&lt;&gt;"",G26,F26))</f>
        <v/>
      </c>
      <c r="I26" s="23"/>
      <c r="J26" s="17" t="str">
        <f aca="false">IF(A26="","",IF(E26="yes",B26-D26,B26))</f>
        <v/>
      </c>
      <c r="K26" s="17" t="str">
        <f aca="false">IF(A26="","",ROUND(J26*C26/100,2))</f>
        <v/>
      </c>
      <c r="L26" s="17" t="str">
        <f aca="false">IF(A26="","",ROUND(K26*H26/100,2))</f>
        <v/>
      </c>
      <c r="M26" s="17" t="str">
        <f aca="false">IF(A26="","",K26-L26)</f>
        <v/>
      </c>
      <c r="N26" s="17" t="str">
        <f aca="false">IF(A26="","",ROUND(B26-K26-D26,2))</f>
        <v/>
      </c>
      <c r="O26" s="17" t="str">
        <f aca="false">IF(A26="","",IFERROR(ROUND(M26/I26,2),0))</f>
        <v/>
      </c>
    </row>
    <row r="27" customFormat="false" ht="15" hidden="false" customHeight="false" outlineLevel="0" collapsed="false">
      <c r="A27" s="15"/>
      <c r="B27" s="19"/>
      <c r="C27" s="11"/>
      <c r="D27" s="19"/>
      <c r="E27" s="15"/>
      <c r="F27" s="16" t="str">
        <f aca="false">IF(A27="","",Settings!$B$15)</f>
        <v/>
      </c>
      <c r="G27" s="11"/>
      <c r="H27" s="16" t="str">
        <f aca="false">IF(A27="","",IF(G27&lt;&gt;"",G27,F27))</f>
        <v/>
      </c>
      <c r="I27" s="23"/>
      <c r="J27" s="17" t="str">
        <f aca="false">IF(A27="","",IF(E27="yes",B27-D27,B27))</f>
        <v/>
      </c>
      <c r="K27" s="17" t="str">
        <f aca="false">IF(A27="","",ROUND(J27*C27/100,2))</f>
        <v/>
      </c>
      <c r="L27" s="17" t="str">
        <f aca="false">IF(A27="","",ROUND(K27*H27/100,2))</f>
        <v/>
      </c>
      <c r="M27" s="17" t="str">
        <f aca="false">IF(A27="","",K27-L27)</f>
        <v/>
      </c>
      <c r="N27" s="17" t="str">
        <f aca="false">IF(A27="","",ROUND(B27-K27-D27,2))</f>
        <v/>
      </c>
      <c r="O27" s="17" t="str">
        <f aca="false">IF(A27="","",IFERROR(ROUND(M27/I27,2),0))</f>
        <v/>
      </c>
    </row>
    <row r="28" customFormat="false" ht="15" hidden="false" customHeight="false" outlineLevel="0" collapsed="false">
      <c r="A28" s="15"/>
      <c r="B28" s="19"/>
      <c r="C28" s="11"/>
      <c r="D28" s="19"/>
      <c r="E28" s="15"/>
      <c r="F28" s="16" t="str">
        <f aca="false">IF(A28="","",Settings!$B$15)</f>
        <v/>
      </c>
      <c r="G28" s="11"/>
      <c r="H28" s="16" t="str">
        <f aca="false">IF(A28="","",IF(G28&lt;&gt;"",G28,F28))</f>
        <v/>
      </c>
      <c r="I28" s="23"/>
      <c r="J28" s="17" t="str">
        <f aca="false">IF(A28="","",IF(E28="yes",B28-D28,B28))</f>
        <v/>
      </c>
      <c r="K28" s="17" t="str">
        <f aca="false">IF(A28="","",ROUND(J28*C28/100,2))</f>
        <v/>
      </c>
      <c r="L28" s="17" t="str">
        <f aca="false">IF(A28="","",ROUND(K28*H28/100,2))</f>
        <v/>
      </c>
      <c r="M28" s="17" t="str">
        <f aca="false">IF(A28="","",K28-L28)</f>
        <v/>
      </c>
      <c r="N28" s="17" t="str">
        <f aca="false">IF(A28="","",ROUND(B28-K28-D28,2))</f>
        <v/>
      </c>
      <c r="O28" s="17" t="str">
        <f aca="false">IF(A28="","",IFERROR(ROUND(M28/I28,2),0))</f>
        <v/>
      </c>
    </row>
    <row r="29" customFormat="false" ht="15" hidden="false" customHeight="false" outlineLevel="0" collapsed="false">
      <c r="A29" s="15"/>
      <c r="B29" s="19"/>
      <c r="C29" s="11"/>
      <c r="D29" s="19"/>
      <c r="E29" s="15"/>
      <c r="F29" s="16" t="str">
        <f aca="false">IF(A29="","",Settings!$B$15)</f>
        <v/>
      </c>
      <c r="G29" s="11"/>
      <c r="H29" s="16" t="str">
        <f aca="false">IF(A29="","",IF(G29&lt;&gt;"",G29,F29))</f>
        <v/>
      </c>
      <c r="I29" s="23"/>
      <c r="J29" s="17" t="str">
        <f aca="false">IF(A29="","",IF(E29="yes",B29-D29,B29))</f>
        <v/>
      </c>
      <c r="K29" s="17" t="str">
        <f aca="false">IF(A29="","",ROUND(J29*C29/100,2))</f>
        <v/>
      </c>
      <c r="L29" s="17" t="str">
        <f aca="false">IF(A29="","",ROUND(K29*H29/100,2))</f>
        <v/>
      </c>
      <c r="M29" s="17" t="str">
        <f aca="false">IF(A29="","",K29-L29)</f>
        <v/>
      </c>
      <c r="N29" s="17" t="str">
        <f aca="false">IF(A29="","",ROUND(B29-K29-D29,2))</f>
        <v/>
      </c>
      <c r="O29" s="17" t="str">
        <f aca="false">IF(A29="","",IFERROR(ROUND(M29/I29,2),0))</f>
        <v/>
      </c>
    </row>
    <row r="30" customFormat="false" ht="15" hidden="false" customHeight="false" outlineLevel="0" collapsed="false">
      <c r="A30" s="15"/>
      <c r="B30" s="19"/>
      <c r="C30" s="11"/>
      <c r="D30" s="19"/>
      <c r="E30" s="15"/>
      <c r="F30" s="16" t="str">
        <f aca="false">IF(A30="","",Settings!$B$15)</f>
        <v/>
      </c>
      <c r="G30" s="11"/>
      <c r="H30" s="16" t="str">
        <f aca="false">IF(A30="","",IF(G30&lt;&gt;"",G30,F30))</f>
        <v/>
      </c>
      <c r="I30" s="23"/>
      <c r="J30" s="17" t="str">
        <f aca="false">IF(A30="","",IF(E30="yes",B30-D30,B30))</f>
        <v/>
      </c>
      <c r="K30" s="17" t="str">
        <f aca="false">IF(A30="","",ROUND(J30*C30/100,2))</f>
        <v/>
      </c>
      <c r="L30" s="17" t="str">
        <f aca="false">IF(A30="","",ROUND(K30*H30/100,2))</f>
        <v/>
      </c>
      <c r="M30" s="17" t="str">
        <f aca="false">IF(A30="","",K30-L30)</f>
        <v/>
      </c>
      <c r="N30" s="17" t="str">
        <f aca="false">IF(A30="","",ROUND(B30-K30-D30,2))</f>
        <v/>
      </c>
      <c r="O30" s="17" t="str">
        <f aca="false">IF(A30="","",IFERROR(ROUND(M30/I30,2),0))</f>
        <v/>
      </c>
    </row>
    <row r="31" customFormat="false" ht="15" hidden="false" customHeight="false" outlineLevel="0" collapsed="false">
      <c r="A31" s="15"/>
      <c r="B31" s="19"/>
      <c r="C31" s="11"/>
      <c r="D31" s="19"/>
      <c r="E31" s="15"/>
      <c r="F31" s="16" t="str">
        <f aca="false">IF(A31="","",Settings!$B$15)</f>
        <v/>
      </c>
      <c r="G31" s="11"/>
      <c r="H31" s="16" t="str">
        <f aca="false">IF(A31="","",IF(G31&lt;&gt;"",G31,F31))</f>
        <v/>
      </c>
      <c r="I31" s="23"/>
      <c r="J31" s="17" t="str">
        <f aca="false">IF(A31="","",IF(E31="yes",B31-D31,B31))</f>
        <v/>
      </c>
      <c r="K31" s="17" t="str">
        <f aca="false">IF(A31="","",ROUND(J31*C31/100,2))</f>
        <v/>
      </c>
      <c r="L31" s="17" t="str">
        <f aca="false">IF(A31="","",ROUND(K31*H31/100,2))</f>
        <v/>
      </c>
      <c r="M31" s="17" t="str">
        <f aca="false">IF(A31="","",K31-L31)</f>
        <v/>
      </c>
      <c r="N31" s="17" t="str">
        <f aca="false">IF(A31="","",ROUND(B31-K31-D31,2))</f>
        <v/>
      </c>
      <c r="O31" s="17" t="str">
        <f aca="false">IF(A31="","",IFERROR(ROUND(M31/I31,2),0))</f>
        <v/>
      </c>
    </row>
    <row r="32" customFormat="false" ht="15" hidden="false" customHeight="false" outlineLevel="0" collapsed="false">
      <c r="A32" s="5" t="s">
        <v>93</v>
      </c>
      <c r="B32" s="7" t="n">
        <f aca="false">SUM(B22:B31)</f>
        <v>415000</v>
      </c>
      <c r="D32" s="7" t="n">
        <f aca="false">SUM(D22:D31)</f>
        <v>33000</v>
      </c>
      <c r="I32" s="24" t="n">
        <f aca="false">SUM(I22:I31)</f>
        <v>465</v>
      </c>
      <c r="K32" s="7" t="n">
        <f aca="false">SUM(K22:K31)</f>
        <v>105598.5</v>
      </c>
      <c r="L32" s="7" t="n">
        <f aca="false">SUM(L22:L31)</f>
        <v>3749.63</v>
      </c>
      <c r="M32" s="7" t="n">
        <f aca="false">SUM(M22:M31)</f>
        <v>101848.87</v>
      </c>
      <c r="N32" s="7" t="n">
        <f aca="false">SUM(N22:N31)</f>
        <v>276401.5</v>
      </c>
      <c r="O32" s="7" t="n">
        <f aca="false">IFERROR(ROUND(M32/I32,2),0)</f>
        <v>219.03</v>
      </c>
    </row>
  </sheetData>
  <dataValidations count="1">
    <dataValidation allowBlank="true" errorStyle="stop" operator="between" showDropDown="false" showErrorMessage="false" showInputMessage="false" sqref="E22:E3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20"/>
    <col collapsed="false" customWidth="true" hidden="false" outlineLevel="0" max="3" min="3" style="1" width="70"/>
  </cols>
  <sheetData>
    <row r="1" customFormat="false" ht="17.35" hidden="false" customHeight="false" outlineLevel="0" collapsed="false">
      <c r="A1" s="2" t="s">
        <v>201</v>
      </c>
    </row>
    <row r="2" customFormat="false" ht="15" hidden="false" customHeight="false" outlineLevel="0" collapsed="false">
      <c r="A2" s="5" t="s">
        <v>64</v>
      </c>
      <c r="B2" s="12" t="n">
        <f aca="false">Settings!$B$17</f>
        <v>6</v>
      </c>
      <c r="C2" s="3" t="s">
        <v>202</v>
      </c>
    </row>
    <row r="3" customFormat="false" ht="15" hidden="false" customHeight="false" outlineLevel="0" collapsed="false">
      <c r="A3" s="5" t="s">
        <v>203</v>
      </c>
      <c r="B3" s="7" t="n">
        <f aca="false">IFERROR(ROUND(AVERAGE(Timekeepers!$N$5:$N$24),2),0)</f>
        <v>113.29</v>
      </c>
      <c r="C3" s="3" t="s">
        <v>204</v>
      </c>
    </row>
    <row r="4" customFormat="false" ht="15" hidden="false" customHeight="false" outlineLevel="0" collapsed="false">
      <c r="A4" s="5" t="s">
        <v>205</v>
      </c>
      <c r="B4" s="7" t="n">
        <f aca="false">IFERROR(ROUND(AVERAGE(Timekeepers!$J$5:$J$24),2),0)</f>
        <v>291.67</v>
      </c>
      <c r="C4" s="3" t="s">
        <v>206</v>
      </c>
    </row>
    <row r="5" customFormat="false" ht="15" hidden="false" customHeight="false" outlineLevel="0" collapsed="false">
      <c r="A5" s="5" t="s">
        <v>207</v>
      </c>
      <c r="B5" s="12" t="n">
        <f aca="false">COUNTIF(Timekeepers!$O$5:$O$24,"&lt;0")</f>
        <v>0</v>
      </c>
      <c r="C5" s="3" t="s">
        <v>208</v>
      </c>
    </row>
    <row r="6" customFormat="false" ht="15" hidden="false" customHeight="false" outlineLevel="0" collapsed="false">
      <c r="A6" s="5" t="s">
        <v>209</v>
      </c>
      <c r="B6" s="7" t="n">
        <f aca="false">Timekeepers!M25</f>
        <v>962250.02</v>
      </c>
      <c r="C6" s="3" t="s">
        <v>210</v>
      </c>
    </row>
    <row r="7" customFormat="false" ht="15" hidden="false" customHeight="false" outlineLevel="0" collapsed="false">
      <c r="A7" s="5" t="s">
        <v>211</v>
      </c>
      <c r="B7" s="12" t="n">
        <f aca="false">COUNTIF('Flat Fee Pricer'!$T$5:$T$24,"&lt;0")</f>
        <v>1</v>
      </c>
      <c r="C7" s="3" t="s">
        <v>212</v>
      </c>
    </row>
    <row r="8" customFormat="false" ht="15" hidden="false" customHeight="false" outlineLevel="0" collapsed="false">
      <c r="A8" s="5" t="s">
        <v>213</v>
      </c>
      <c r="B8" s="7" t="n">
        <f aca="false">-SUMIF('Flat Fee Pricer'!$T$5:$T$24,"&lt;0",'Flat Fee Pricer'!$T$5:$T$24)</f>
        <v>509.69</v>
      </c>
      <c r="C8" s="3" t="s">
        <v>214</v>
      </c>
    </row>
    <row r="9" customFormat="false" ht="15" hidden="false" customHeight="false" outlineLevel="0" collapsed="false">
      <c r="A9" s="5" t="s">
        <v>215</v>
      </c>
      <c r="B9" s="12" t="n">
        <f aca="false">COUNTIF('Matter Tracker'!$R$5:$R$34,"Over budget")</f>
        <v>4</v>
      </c>
      <c r="C9" s="3" t="s">
        <v>216</v>
      </c>
    </row>
    <row r="10" customFormat="false" ht="15" hidden="false" customHeight="false" outlineLevel="0" collapsed="false">
      <c r="A10" s="5" t="s">
        <v>217</v>
      </c>
      <c r="B10" s="7" t="n">
        <f aca="false">'Matter Tracker'!P35</f>
        <v>3500</v>
      </c>
      <c r="C10" s="3" t="s">
        <v>218</v>
      </c>
    </row>
    <row r="11" customFormat="false" ht="15" hidden="false" customHeight="false" outlineLevel="0" collapsed="false">
      <c r="A11" s="5" t="s">
        <v>219</v>
      </c>
      <c r="B11" s="28" t="n">
        <f aca="false">'Matter Tracker'!Q35</f>
        <v>100.68</v>
      </c>
      <c r="C11" s="3" t="s">
        <v>220</v>
      </c>
    </row>
    <row r="12" customFormat="false" ht="15" hidden="false" customHeight="false" outlineLevel="0" collapsed="false">
      <c r="A12" s="5" t="s">
        <v>221</v>
      </c>
      <c r="B12" s="30" t="n">
        <f aca="false">IFERROR(INDEX('Lock-Up &amp; Contingency'!$H$5:$H$16,MATCH(MAX('Lock-Up &amp; Contingency'!$A$5:$A$16),'Lock-Up &amp; Contingency'!$A$5:$A$16,0)),0)</f>
        <v>66.01</v>
      </c>
      <c r="C12" s="3" t="s">
        <v>222</v>
      </c>
    </row>
    <row r="13" customFormat="false" ht="15" hidden="false" customHeight="false" outlineLevel="0" collapsed="false">
      <c r="A13" s="5" t="s">
        <v>223</v>
      </c>
      <c r="B13" s="7" t="n">
        <f aca="false">IFERROR(INDEX('Lock-Up &amp; Contingency'!$I$5:$I$16,MATCH(MAX('Lock-Up &amp; Contingency'!$A$5:$A$16),'Lock-Up &amp; Contingency'!$A$5:$A$16,0)),0)</f>
        <v>340000</v>
      </c>
      <c r="C13" s="3" t="s">
        <v>224</v>
      </c>
    </row>
    <row r="14" customFormat="false" ht="15" hidden="false" customHeight="false" outlineLevel="0" collapsed="false">
      <c r="A14" s="5" t="s">
        <v>225</v>
      </c>
      <c r="B14" s="27" t="n">
        <f aca="false">IFERROR(ROUND(B12-'Lock-Up &amp; Contingency'!H5,2),0)</f>
        <v>-15.1</v>
      </c>
      <c r="C14" s="3" t="s">
        <v>226</v>
      </c>
    </row>
    <row r="15" customFormat="false" ht="15" hidden="false" customHeight="false" outlineLevel="0" collapsed="false">
      <c r="A15" s="5" t="s">
        <v>227</v>
      </c>
      <c r="B15" s="7" t="n">
        <f aca="false">'Lock-Up &amp; Contingency'!M32</f>
        <v>101848.87</v>
      </c>
      <c r="C15" s="3" t="s">
        <v>228</v>
      </c>
    </row>
    <row r="16" customFormat="false" ht="15" hidden="false" customHeight="false" outlineLevel="0" collapsed="false">
      <c r="A16" s="5" t="s">
        <v>229</v>
      </c>
      <c r="B16" s="7" t="n">
        <f aca="false">'Lock-Up &amp; Contingency'!O32</f>
        <v>219.03</v>
      </c>
      <c r="C16" s="3"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2026-10-07T06:18:35Z</dcterms:created>
  <dc:creator>openpyxl</dc:creator>
  <dc:description/>
  <dc:language>en-US</dc:language>
  <cp:lastModifiedBy/>
  <dcterms:modified xsi:type="dcterms:W3CDTF">2026-10-07T06:18:35Z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