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6.vml" ContentType="application/vnd.openxmlformats-officedocument.vmlDrawing"/>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comments7.xml" ContentType="application/vnd.openxmlformats-officedocument.spreadsheetml.comments+xml"/>
  <Override PartName="/xl/comments5.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Service Rates" sheetId="3" state="visible" r:id="rId5"/>
    <sheet name="Caregivers" sheetId="4" state="visible" r:id="rId6"/>
    <sheet name="Clients &amp; Quotes" sheetId="5" state="visible" r:id="rId7"/>
    <sheet name="Capacity &amp; Turnover"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Knackdesk</author>
  </authors>
  <commentList>
    <comment ref="B2" authorId="0">
      <text>
        <r>
          <rPr>
            <sz val="10"/>
            <rFont val="Arial"/>
            <family val="2"/>
          </rPr>
          <t xml:space="preserve">Assumption: 16.00 is an example pay rate; use what you actually pay your caregivers.</t>
        </r>
      </text>
    </comment>
    <comment ref="B3" authorId="0">
      <text>
        <r>
          <rPr>
            <sz val="10"/>
            <rFont val="Arial"/>
            <family val="2"/>
          </rPr>
          <t xml:space="preserve">Assumption: 22% is a placeholder. On-costs depend on your country, state and the caregiver's contract; use your payroll provider's figures.</t>
        </r>
      </text>
    </comment>
    <comment ref="B4" authorId="0">
      <text>
        <r>
          <rPr>
            <sz val="10"/>
            <rFont val="Arial"/>
            <family val="2"/>
          </rPr>
          <t xml:space="preserve">Assumption: 10% is a placeholder. Compare paid hours with billed hours on your last few payrolls to set it.</t>
        </r>
      </text>
    </comment>
    <comment ref="B12" authorId="0">
      <text>
        <r>
          <rPr>
            <sz val="10"/>
            <rFont val="Arial"/>
            <family val="2"/>
          </rPr>
          <t xml:space="preserve">Your own placeholder, not a recommendation and not an industry benchmark. Margin is on the bill rate, not a markup on cost.</t>
        </r>
      </text>
    </comment>
    <comment ref="B14" authorId="0">
      <text>
        <r>
          <rPr>
            <sz val="10"/>
            <rFont val="Arial"/>
            <family val="2"/>
          </rPr>
          <t xml:space="preserve">Assumption: overnight hours are billed at this flat hourly rate instead of the service level's bill rate. 0 means overnight care is not offered.</t>
        </r>
      </text>
    </comment>
    <comment ref="B17" authorId="0">
      <text>
        <r>
          <rPr>
            <sz val="10"/>
            <rFont val="Arial"/>
            <family val="2"/>
          </rPr>
          <t xml:space="preserve">Your own placeholder, not a recommendation and not an industry benchmark. Look at Caregivers for the utilization you actually reach.</t>
        </r>
      </text>
    </comment>
    <comment ref="B18" authorId="0">
      <text>
        <r>
          <rPr>
            <sz val="10"/>
            <rFont val="Arial"/>
            <family val="2"/>
          </rPr>
          <t xml:space="preserve">Assumption: 4 weeks per period. Use 4.33 for a calendar month or 1 for a weekly quote.</t>
        </r>
      </text>
    </comment>
    <comment ref="B21" authorId="0">
      <text>
        <r>
          <rPr>
            <sz val="10"/>
            <rFont val="Arial"/>
            <family val="2"/>
          </rPr>
          <t xml:space="preserve">Assumption: a month is 52 ÷ 12 = 4.33 weeks. Only caregivers with status active count.</t>
        </r>
      </text>
    </comment>
  </commentList>
</comments>
</file>

<file path=xl/comments3.xml><?xml version="1.0" encoding="utf-8"?>
<comments xmlns="http://schemas.openxmlformats.org/spreadsheetml/2006/main" xmlns:xdr="http://schemas.openxmlformats.org/drawingml/2006/spreadsheetDrawing">
  <authors>
    <author>Knackdesk</author>
  </authors>
  <commentList>
    <comment ref="A10" authorId="0">
      <text>
        <r>
          <rPr>
            <sz val="10"/>
            <rFont val="Arial"/>
            <family val="2"/>
          </rPr>
          <t xml:space="preserve">Add your own service levels in the empty rows; Clients &amp; Quotes lists every name typed here.</t>
        </r>
      </text>
    </comment>
    <comment ref="C5" authorId="0">
      <text>
        <r>
          <rPr>
            <sz val="10"/>
            <rFont val="Arial"/>
            <family val="2"/>
          </rPr>
          <t xml:space="preserve">Example override: companion care pays a little less than personal care.</t>
        </r>
      </text>
    </comment>
    <comment ref="I7" authorId="0">
      <text>
        <r>
          <rPr>
            <sz val="10"/>
            <rFont val="Arial"/>
            <family val="2"/>
          </rPr>
          <t xml:space="preserve">Example override: a higher margin on dementia care for the extra supervision and training it needs.</t>
        </r>
      </text>
    </comment>
    <comment ref="M5" authorId="0">
      <text>
        <r>
          <rPr>
            <sz val="10"/>
            <rFont val="Arial"/>
            <family val="2"/>
          </rPr>
          <t xml:space="preserve">Assumption: overhead is spread evenly over every billable hour, whatever the service level.</t>
        </r>
      </text>
    </comment>
    <comment ref="O5" authorId="0">
      <text>
        <r>
          <rPr>
            <sz val="10"/>
            <rFont val="Arial"/>
            <family val="2"/>
          </rPr>
          <t xml:space="preserve">Bill rate at margin = cost per billable hour ÷ (1 − margin %). Clients &amp; Quotes prices each client at this rate.</t>
        </r>
      </text>
    </comment>
    <comment ref="Q8" authorId="0">
      <text>
        <r>
          <rPr>
            <sz val="10"/>
            <rFont val="Arial"/>
            <family val="2"/>
          </rPr>
          <t xml:space="preserve">Example: respite is charged below the computed rate, so the gap is negative and the Summary counts it.</t>
        </r>
      </text>
    </comment>
    <comment ref="R5" authorId="0">
      <text>
        <r>
          <rPr>
            <sz val="10"/>
            <rFont val="Arial"/>
            <family val="2"/>
          </rPr>
          <t xml:space="preserve">Negative = you charge less than the rate that reaches your margin %. Blank when no current bill rate is typed.</t>
        </r>
      </text>
    </comment>
  </commentList>
</comments>
</file>

<file path=xl/comments4.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Hours you pay this caregiver in a typical week, including travel, training and waiting time.</t>
        </r>
      </text>
    </comment>
    <comment ref="D5" authorId="0">
      <text>
        <r>
          <rPr>
            <sz val="10"/>
            <rFont val="Arial"/>
            <family val="2"/>
          </rPr>
          <t xml:space="preserve">Hours billed to clients in a typical week.</t>
        </r>
      </text>
    </comment>
    <comment ref="H10" authorId="0">
      <text>
        <r>
          <rPr>
            <sz val="10"/>
            <rFont val="Arial"/>
            <family val="2"/>
          </rPr>
          <t xml:space="preserve">Example override: a senior caregiver on a higher pay rate.</t>
        </r>
      </text>
    </comment>
    <comment ref="K5" authorId="0">
      <text>
        <r>
          <rPr>
            <sz val="10"/>
            <rFont val="Arial"/>
            <family val="2"/>
          </rPr>
          <t xml:space="preserve">Utilization = billable hours ÷ paid hours. 0 when there are no paid hours.</t>
        </r>
      </text>
    </comment>
    <comment ref="K35" authorId="0">
      <text>
        <r>
          <rPr>
            <sz val="10"/>
            <rFont val="Arial"/>
            <family val="2"/>
          </rPr>
          <t xml:space="preserve">Team utilization from the totals of active caregivers, not an average of the rows.</t>
        </r>
      </text>
    </comment>
    <comment ref="M5" authorId="0">
      <text>
        <r>
          <rPr>
            <sz val="10"/>
            <rFont val="Arial"/>
            <family val="2"/>
          </rPr>
          <t xml:space="preserve">Assumption: non-billable hours × pay rate × (1 + on-costs % from Settings).</t>
        </r>
      </text>
    </comment>
  </commentList>
</comments>
</file>

<file path=xl/comments5.xml><?xml version="1.0" encoding="utf-8"?>
<comments xmlns="http://schemas.openxmlformats.org/spreadsheetml/2006/main" xmlns:xdr="http://schemas.openxmlformats.org/drawingml/2006/spreadsheetDrawing">
  <authors>
    <author>Knackdesk</author>
  </authors>
  <commentList>
    <comment ref="C5" authorId="0">
      <text>
        <r>
          <rPr>
            <sz val="10"/>
            <rFont val="Arial"/>
            <family val="2"/>
          </rPr>
          <t xml:space="preserve">All hours of care in a typical week, including the weekend and overnight hours in the next two columns.</t>
        </r>
      </text>
    </comment>
    <comment ref="H8" authorId="0">
      <text>
        <r>
          <rPr>
            <sz val="10"/>
            <rFont val="Arial"/>
            <family val="2"/>
          </rPr>
          <t xml:space="preserve">Example override: a six-week respite package.</t>
        </r>
      </text>
    </comment>
    <comment ref="K5" authorId="0">
      <text>
        <r>
          <rPr>
            <sz val="10"/>
            <rFont val="Arial"/>
            <family val="2"/>
          </rPr>
          <t xml:space="preserve">Bill rate at margin for this service level on Service Rates. If the level is blank or not found, the default bill rate from Settings is used.</t>
        </r>
      </text>
    </comment>
    <comment ref="L5" authorId="0">
      <text>
        <r>
          <rPr>
            <sz val="10"/>
            <rFont val="Arial"/>
            <family val="2"/>
          </rPr>
          <t xml:space="preserve">Hours per week − weekend hours − overnight hours, never below 0.</t>
        </r>
      </text>
    </comment>
    <comment ref="N5" authorId="0">
      <text>
        <r>
          <rPr>
            <sz val="10"/>
            <rFont val="Arial"/>
            <family val="2"/>
          </rPr>
          <t xml:space="preserve">Assumption: weekend hours are billed at the bill rate × (1 + weekend uplift % from Settings).</t>
        </r>
      </text>
    </comment>
    <comment ref="O5" authorId="0">
      <text>
        <r>
          <rPr>
            <sz val="10"/>
            <rFont val="Arial"/>
            <family val="2"/>
          </rPr>
          <t xml:space="preserve">Assumption: overnight hours are billed at the flat overnight rate from Settings, not the service level's bill rate.</t>
        </r>
      </text>
    </comment>
    <comment ref="S5" authorId="0">
      <text>
        <r>
          <rPr>
            <sz val="10"/>
            <rFont val="Arial"/>
            <family val="2"/>
          </rPr>
          <t xml:space="preserve">Weekly total ÷ hours per week, including uplifts and mileage.</t>
        </r>
      </text>
    </comment>
    <comment ref="S25" authorId="0">
      <text>
        <r>
          <rPr>
            <sz val="10"/>
            <rFont val="Arial"/>
            <family val="2"/>
          </rPr>
          <t xml:space="preserve">Weekly total ÷ hours per week for active clients, not an average of the rows.</t>
        </r>
      </text>
    </comment>
  </commentList>
</comments>
</file>

<file path=xl/comments6.xml><?xml version="1.0" encoding="utf-8"?>
<comments xmlns="http://schemas.openxmlformats.org/spreadsheetml/2006/main" xmlns:xdr="http://schemas.openxmlformats.org/drawingml/2006/spreadsheetDrawing">
  <authors>
    <author>Knackdesk</author>
  </authors>
  <commentList>
    <comment ref="B6" authorId="0">
      <text>
        <r>
          <rPr>
            <sz val="10"/>
            <rFont val="Arial"/>
            <family val="2"/>
          </rPr>
          <t xml:space="preserve">Assumption: active caregivers × hours per caregiver per week (Settings). The Caregivers sheet shows the hours actually paid.</t>
        </r>
      </text>
    </comment>
    <comment ref="B9" authorId="0">
      <text>
        <r>
          <rPr>
            <sz val="10"/>
            <rFont val="Arial"/>
            <family val="2"/>
          </rPr>
          <t xml:space="preserve">Billable capacity − hours committed. Negative means more hours are promised than your team can bill at your target utilization.</t>
        </r>
      </text>
    </comment>
    <comment ref="B12" authorId="0">
      <text>
        <r>
          <rPr>
            <sz val="10"/>
            <rFont val="Arial"/>
            <family val="2"/>
          </rPr>
          <t xml:space="preserve">Billable capacity × the average hourly revenue of active clients (weekly revenue ÷ hours committed); the default bill rate from Settings if no client is active.</t>
        </r>
      </text>
    </comment>
    <comment ref="B13" authorId="0">
      <text>
        <r>
          <rPr>
            <sz val="10"/>
            <rFont val="Arial"/>
            <family val="2"/>
          </rPr>
          <t xml:space="preserve">Example default 30.00 an hour. Loaded cost of the person who trains and shadows new caregivers; each month can override it.</t>
        </r>
      </text>
    </comment>
    <comment ref="B28" authorId="0">
      <text>
        <r>
          <rPr>
            <sz val="10"/>
            <rFont val="Arial"/>
            <family val="2"/>
          </rPr>
          <t xml:space="preserve">Average headcount: the average of caregivers at the start and at the end across the months entered.</t>
        </r>
      </text>
    </comment>
    <comment ref="E16" authorId="0">
      <text>
        <r>
          <rPr>
            <sz val="10"/>
            <rFont val="Arial"/>
            <family val="2"/>
          </rPr>
          <t xml:space="preserve">Job ads, background checks, drug tests and agency fees spent on replacing caregivers this month.</t>
        </r>
      </text>
    </comment>
    <comment ref="F16" authorId="0">
      <text>
        <r>
          <rPr>
            <sz val="10"/>
            <rFont val="Arial"/>
            <family val="2"/>
          </rPr>
          <t xml:space="preserve">Assumption: trainer hours spent onboarding and shadowing this month's new hires.</t>
        </r>
      </text>
    </comment>
    <comment ref="J16" authorId="0">
      <text>
        <r>
          <rPr>
            <sz val="10"/>
            <rFont val="Arial"/>
            <family val="2"/>
          </rPr>
          <t xml:space="preserve">Client hours you could not staff this month because of a vacancy, so the margin on them was lost.</t>
        </r>
      </text>
    </comment>
    <comment ref="K16" authorId="0">
      <text>
        <r>
          <rPr>
            <sz val="10"/>
            <rFont val="Arial"/>
            <family val="2"/>
          </rPr>
          <t xml:space="preserve">Default bill rate − cost per billable hour, both from Settings: the margin lost on each unfilled hour.</t>
        </r>
      </text>
    </comment>
    <comment ref="N28" authorId="0">
      <text>
        <r>
          <rPr>
            <sz val="10"/>
            <rFont val="Arial"/>
            <family val="2"/>
          </rPr>
          <t xml:space="preserve">Year-to-date turnover % = leavers ÷ average headcount, not a sum of the monthly rates.</t>
        </r>
      </text>
    </comment>
    <comment ref="P16" authorId="0">
      <text>
        <r>
          <rPr>
            <sz val="10"/>
            <rFont val="Arial"/>
            <family val="2"/>
          </rPr>
          <t xml:space="preserve">Assumption: turnover cost = recruiting cost + onboarding hours × trainer cost per hour + unfilled hours × margin per billable hour.</t>
        </r>
      </text>
    </comment>
  </commentList>
</comments>
</file>

<file path=xl/comments7.xml><?xml version="1.0" encoding="utf-8"?>
<comments xmlns="http://schemas.openxmlformats.org/spreadsheetml/2006/main" xmlns:xdr="http://schemas.openxmlformats.org/drawingml/2006/spreadsheetDrawing">
  <authors>
    <author>Knackdesk</author>
  </authors>
  <commentList>
    <comment ref="B4" authorId="0">
      <text>
        <r>
          <rPr>
            <sz val="10"/>
            <rFont val="Arial"/>
            <family val="2"/>
          </rPr>
          <t xml:space="preserve">Count of service levels with a negative gap on Service Rates. Raise those rates or accept a lower margin knowingly.</t>
        </r>
      </text>
    </comment>
    <comment ref="B15" authorId="0">
      <text>
        <r>
          <rPr>
            <sz val="10"/>
            <rFont val="Arial"/>
            <family val="2"/>
          </rPr>
          <t xml:space="preserve">Turnover for the months entered so far, not annualised.</t>
        </r>
      </text>
    </comment>
  </commentList>
</comments>
</file>

<file path=xl/sharedStrings.xml><?xml version="1.0" encoding="utf-8"?>
<sst xmlns="http://schemas.openxmlformats.org/spreadsheetml/2006/main" count="249" uniqueCount="209">
  <si>
    <t xml:space="preserve">Home Care Agency Pricing Workbook</t>
  </si>
  <si>
    <t xml:space="preserve">by Knackdesk · knackdesk.com</t>
  </si>
  <si>
    <t xml:space="preserve">HOW TO USE</t>
  </si>
  <si>
    <t xml:space="preserve">1. Settings: default caregiver pay rate, on-costs %, non-billable paid hours %, six monthly overhead lines, your target margin % on the bill rate, weekend uplift %, overnight rate, mileage rate, hours per caregiver per week, your target utilization % and weeks per quote period. Loaded pay rate, labour cost and overhead per billable hour, cost per billable hour and the default bill rate at your target margin follow and every other sheet reads them.</t>
  </si>
  <si>
    <t xml:space="preserve">2. Service Rates: one row per service level (companion, personal care, dementia care, respite, live-in and your own), with pay rate, on-costs % and margin % (defaults from Settings, type your own to override) and the bill rate you charge today. Cost per billable hour, the bill rate at your margin, margin per hour and the gap between what you charge and the computed rate are calculated.</t>
  </si>
  <si>
    <t xml:space="preserve">3. Caregivers: one row per caregiver with status (active, on leave, left), paid hours, billable hours, travel hours and training hours per week, and pay rate (default from Settings, type your own to override). Non-billable hours, utilization %, other non-billable hours, the weekly cost of non-billable time and the gap to your target utilization are calculated, with totals for active caregivers.</t>
  </si>
  <si>
    <t xml:space="preserve">4. Clients &amp; Quotes: one row per client or quote with service level, hours per week, weekend hours, overnight hours, miles per week, weeks (default from Settings, type your own to override) and status (active, pending, ended). The bill rate is looked up from Service Rates; standard, weekend, overnight and mileage charges, the weekly and period total and the effective hourly rate are calculated, with totals for active clients.</t>
  </si>
  <si>
    <t xml:space="preserve">5. Capacity &amp; Turnover: the top block compares the hours your active caregivers can bill at your target utilization with the hours committed to active clients, and shows spare hours, weekly revenue committed and the revenue ceiling. The lower block takes one row per month with caregivers at the start, leavers, hires, recruiting cost, onboarding hours, trainer cost per hour, unfilled hours and margin per billable hour (defaults you can override), and calculates turnover %, turnover cost, cost per leaver and caregivers at the end.</t>
  </si>
  <si>
    <t xml:space="preserve">6. Summary: cost per billable hour, default bill rate, service levels priced below the computed rate, active caregivers and utilization against your target, active clients, hours committed and spare hours, weekly and period revenue committed, year-to-date leavers, turnover % and turnover cost, and the client with the highest weekly total.</t>
  </si>
  <si>
    <t xml:space="preserve">LEGEND</t>
  </si>
  <si>
    <t xml:space="preserve">Blue text = a cell you type into.   Black text = a formula, leave it alone.   Yellow fill = key inputs.</t>
  </si>
  <si>
    <t xml:space="preserve">DEFINITIONS</t>
  </si>
  <si>
    <t xml:space="preserve">Pay rate vs bill rate: the pay rate is what you pay the caregiver per hour; the bill rate is what you charge the client per hour. The difference has to cover on-costs, non-billable time, overhead and margin.</t>
  </si>
  <si>
    <t xml:space="preserve">On-costs: what a caregiver costs you on top of their pay rate: employer payroll taxes, workers' compensation, holiday pay, pension and payroll fees. Loaded pay rate = pay rate × (1 + on-costs %).</t>
  </si>
  <si>
    <t xml:space="preserve">Non-billable paid hours: hours you pay for but cannot bill, such as travel between visits, training, supervision and waiting time, entered as a % of billable hours. Labour cost per billable hour = loaded pay rate × (1 + non-billable %).</t>
  </si>
  <si>
    <t xml:space="preserve">Cost per billable hour: labour cost per billable hour plus overhead per billable hour (monthly overhead ÷ planned billable hours per month).</t>
  </si>
  <si>
    <t xml:space="preserve">Margin on bill rate: profit as a share of the bill rate, not a markup on cost. Bill rate at margin = cost per billable hour ÷ (1 − margin %). A 25% margin on a 30.00 cost is a 40.00 bill rate, not 37.50.</t>
  </si>
  <si>
    <t xml:space="preserve">Utilization: billable hours ÷ paid hours, as a %. The total for the team is computed from the totals, not averaged across caregivers.</t>
  </si>
  <si>
    <t xml:space="preserve">Capacity: the hours your active caregivers can bill in a week at your target utilization = active caregivers × hours per caregiver per week × target utilization %.</t>
  </si>
  <si>
    <t xml:space="preserve">Care plan quote: the weekly and period price for one client's care plan: standard hours at the service level's bill rate, weekend hours with the uplift, overnight hours at the overnight rate, and mileage.</t>
  </si>
  <si>
    <t xml:space="preserve">Turnover cost: recruiting cost + onboarding hours × trainer cost per hour + unfilled hours × margin per billable hour lost. Turnover % for the year = leavers ÷ average headcount.</t>
  </si>
  <si>
    <t xml:space="preserve">The targets in this workbook are your own; it does not supply industry benchmarks. Set them from your own history and plan.</t>
  </si>
  <si>
    <t xml:space="preserve">Support: hello@knackdesk.com</t>
  </si>
  <si>
    <t xml:space="preserve">Arithmetic only; not financial or care advice.</t>
  </si>
  <si>
    <t xml:space="preserve">Settings</t>
  </si>
  <si>
    <t xml:space="preserve">Default caregiver pay rate (per hour)</t>
  </si>
  <si>
    <t xml:space="preserve">Example default 16.00 an hour. What you pay a caregiver per hour before on-costs; each service level and caregiver can override it.</t>
  </si>
  <si>
    <t xml:space="preserve">On-costs %</t>
  </si>
  <si>
    <t xml:space="preserve">Default 22. Employer payroll taxes, workers' compensation, holiday pay and payroll fees on top of pay; each service level can override it.</t>
  </si>
  <si>
    <t xml:space="preserve">Non-billable paid % of billable hours</t>
  </si>
  <si>
    <t xml:space="preserve">Default 10. Paid travel, training, supervision and waiting time, as a % of billable hours.</t>
  </si>
  <si>
    <t xml:space="preserve">Overhead: office (monthly)</t>
  </si>
  <si>
    <t xml:space="preserve">Example default 1,200 a month. Rent, utilities, phones and office supplies.</t>
  </si>
  <si>
    <t xml:space="preserve">Overhead: scheduling software (monthly)</t>
  </si>
  <si>
    <t xml:space="preserve">Example default 300 a month. Scheduling, visit verification and care management software.</t>
  </si>
  <si>
    <t xml:space="preserve">Overhead: insurance (monthly)</t>
  </si>
  <si>
    <t xml:space="preserve">Example default 900 a month. Liability, bonding and other business insurance.</t>
  </si>
  <si>
    <t xml:space="preserve">Overhead: recruiting and training (monthly)</t>
  </si>
  <si>
    <t xml:space="preserve">Example default 1,000 a month. Job ads, background checks and ongoing training not costed on Capacity &amp; Turnover.</t>
  </si>
  <si>
    <t xml:space="preserve">Overhead: management salaries (monthly)</t>
  </si>
  <si>
    <t xml:space="preserve">Example default 3,500 a month. Owner, care manager, scheduler and office staff pay, loaded.</t>
  </si>
  <si>
    <t xml:space="preserve">Overhead: other (monthly)</t>
  </si>
  <si>
    <t xml:space="preserve">Example default 700 a month. Accounting, marketing, licences and everything else.</t>
  </si>
  <si>
    <t xml:space="preserve">Total monthly overhead</t>
  </si>
  <si>
    <t xml:space="preserve">formula: sum of the six overhead lines above</t>
  </si>
  <si>
    <t xml:space="preserve">Target margin % on bill rate (your own)</t>
  </si>
  <si>
    <t xml:space="preserve">Default 25. Your own placeholder, not a recommendation or an industry benchmark; each service level can override it.</t>
  </si>
  <si>
    <t xml:space="preserve">Weekend uplift %</t>
  </si>
  <si>
    <t xml:space="preserve">Default 15. Added to the bill rate for weekend hours on Clients &amp; Quotes.</t>
  </si>
  <si>
    <t xml:space="preserve">Overnight rate (per overnight hour)</t>
  </si>
  <si>
    <t xml:space="preserve">Example default 20.00 an hour. Flat rate billed per overnight hour on Clients &amp; Quotes; type 0 if you do not offer overnight care.</t>
  </si>
  <si>
    <t xml:space="preserve">Mileage rate (per mile)</t>
  </si>
  <si>
    <t xml:space="preserve">Default 0.50 a mile. Charged to the client for miles driven on their errands or visits.</t>
  </si>
  <si>
    <t xml:space="preserve">Hours per caregiver per week</t>
  </si>
  <si>
    <t xml:space="preserve">Default 32. Planned paid hours per active caregiver, used for capacity on Capacity &amp; Turnover.</t>
  </si>
  <si>
    <t xml:space="preserve">Target utilization % (your own)</t>
  </si>
  <si>
    <t xml:space="preserve">Default 85. Your own placeholder, not a recommendation or an industry benchmark; the share of paid hours you plan to bill.</t>
  </si>
  <si>
    <t xml:space="preserve">Weeks per period</t>
  </si>
  <si>
    <t xml:space="preserve">Default 4. Weeks in a quote or billing period on Clients &amp; Quotes; each client can override it.</t>
  </si>
  <si>
    <t xml:space="preserve">Loaded pay rate</t>
  </si>
  <si>
    <t xml:space="preserve">formula: pay rate × (1 + on-costs %)</t>
  </si>
  <si>
    <t xml:space="preserve">Labour cost per billable hour</t>
  </si>
  <si>
    <t xml:space="preserve">formula: loaded pay rate × (1 + non-billable paid %)</t>
  </si>
  <si>
    <t xml:space="preserve">Planned billable hours per month</t>
  </si>
  <si>
    <t xml:space="preserve">formula: billable hours per week of active caregivers (Caregivers totals) × 52 ÷ 12</t>
  </si>
  <si>
    <t xml:space="preserve">Overhead per billable hour</t>
  </si>
  <si>
    <t xml:space="preserve">formula: total monthly overhead ÷ planned billable hours per month</t>
  </si>
  <si>
    <t xml:space="preserve">Cost per billable hour</t>
  </si>
  <si>
    <t xml:space="preserve">formula: labour cost per billable hour + overhead per billable hour</t>
  </si>
  <si>
    <t xml:space="preserve">Default bill rate at target margin</t>
  </si>
  <si>
    <t xml:space="preserve">formula: cost per billable hour ÷ (1 − target margin %)</t>
  </si>
  <si>
    <t xml:space="preserve">Service Rates</t>
  </si>
  <si>
    <t xml:space="preserve">One row per service level. Pay rate, on-costs % and margin % default from Settings; type your own to override them. Type the bill rate you charge today to see the gap to the computed rate.</t>
  </si>
  <si>
    <t xml:space="preserve">Service level</t>
  </si>
  <si>
    <t xml:space="preserve">Default pay rate (Settings)</t>
  </si>
  <si>
    <t xml:space="preserve">or type your own pay rate</t>
  </si>
  <si>
    <t xml:space="preserve">Pay rate used</t>
  </si>
  <si>
    <t xml:space="preserve">Default on-costs % (Settings)</t>
  </si>
  <si>
    <t xml:space="preserve">or type your own on-costs %</t>
  </si>
  <si>
    <t xml:space="preserve">On-costs % used</t>
  </si>
  <si>
    <t xml:space="preserve">Default margin % (Settings)</t>
  </si>
  <si>
    <t xml:space="preserve">or type your own margin %</t>
  </si>
  <si>
    <t xml:space="preserve">Margin % used</t>
  </si>
  <si>
    <t xml:space="preserve">Bill rate at margin</t>
  </si>
  <si>
    <t xml:space="preserve">Margin per hour</t>
  </si>
  <si>
    <t xml:space="preserve">Current bill rate charged</t>
  </si>
  <si>
    <t xml:space="preserve">Gap (current − computed)</t>
  </si>
  <si>
    <t xml:space="preserve">Companion</t>
  </si>
  <si>
    <t xml:space="preserve">Personal care</t>
  </si>
  <si>
    <t xml:space="preserve">Dementia care</t>
  </si>
  <si>
    <t xml:space="preserve">Respite</t>
  </si>
  <si>
    <t xml:space="preserve">Live-in</t>
  </si>
  <si>
    <t xml:space="preserve">Other</t>
  </si>
  <si>
    <t xml:space="preserve">Caregivers</t>
  </si>
  <si>
    <t xml:space="preserve">One row per caregiver, with typical weekly hours. Pay rate defaults from Settings; type your own to override it. Totals count active caregivers only.</t>
  </si>
  <si>
    <t xml:space="preserve">Caregiver</t>
  </si>
  <si>
    <t xml:space="preserve">Status</t>
  </si>
  <si>
    <t xml:space="preserve">Paid hours per week</t>
  </si>
  <si>
    <t xml:space="preserve">Billable hours per week</t>
  </si>
  <si>
    <t xml:space="preserve">Travel hours per week</t>
  </si>
  <si>
    <t xml:space="preserve">Training hours per week</t>
  </si>
  <si>
    <t xml:space="preserve">Non-billable hours</t>
  </si>
  <si>
    <t xml:space="preserve">Utilization %</t>
  </si>
  <si>
    <t xml:space="preserve">Other non-billable hours</t>
  </si>
  <si>
    <t xml:space="preserve">Non-billable cost per week</t>
  </si>
  <si>
    <t xml:space="preserve">vs target utilization (points)</t>
  </si>
  <si>
    <t xml:space="preserve">Ana R.</t>
  </si>
  <si>
    <t xml:space="preserve">active</t>
  </si>
  <si>
    <t xml:space="preserve">Ben O.</t>
  </si>
  <si>
    <t xml:space="preserve">Carla M.</t>
  </si>
  <si>
    <t xml:space="preserve">Dev P.</t>
  </si>
  <si>
    <t xml:space="preserve">Erin K.</t>
  </si>
  <si>
    <t xml:space="preserve">Femi A.</t>
  </si>
  <si>
    <t xml:space="preserve">Grace L.</t>
  </si>
  <si>
    <t xml:space="preserve">Hugo S.</t>
  </si>
  <si>
    <t xml:space="preserve">on leave</t>
  </si>
  <si>
    <t xml:space="preserve">Ines T.</t>
  </si>
  <si>
    <t xml:space="preserve">Jamal W.</t>
  </si>
  <si>
    <t xml:space="preserve">left</t>
  </si>
  <si>
    <t xml:space="preserve">Kim N.</t>
  </si>
  <si>
    <t xml:space="preserve">Luis G.</t>
  </si>
  <si>
    <t xml:space="preserve">Total (active)</t>
  </si>
  <si>
    <t xml:space="preserve">Clients &amp; Quotes</t>
  </si>
  <si>
    <t xml:space="preserve">One row per client or care plan quote. Weekend and overnight hours are part of hours per week. The bill rate comes from Service Rates for the service level chosen. Weeks default from Settings; type your own to override. Totals count active clients only.</t>
  </si>
  <si>
    <t xml:space="preserve">Client</t>
  </si>
  <si>
    <t xml:space="preserve">Hours per week</t>
  </si>
  <si>
    <t xml:space="preserve">Weekend hours</t>
  </si>
  <si>
    <t xml:space="preserve">Overnight hours</t>
  </si>
  <si>
    <t xml:space="preserve">Miles per week</t>
  </si>
  <si>
    <t xml:space="preserve">Default weeks (Settings)</t>
  </si>
  <si>
    <t xml:space="preserve">or type your own weeks</t>
  </si>
  <si>
    <t xml:space="preserve">Weeks used</t>
  </si>
  <si>
    <t xml:space="preserve">Bill rate</t>
  </si>
  <si>
    <t xml:space="preserve">Standard hours</t>
  </si>
  <si>
    <t xml:space="preserve">Standard hours charge</t>
  </si>
  <si>
    <t xml:space="preserve">Weekend charge</t>
  </si>
  <si>
    <t xml:space="preserve">Overnight charge</t>
  </si>
  <si>
    <t xml:space="preserve">Mileage charge</t>
  </si>
  <si>
    <t xml:space="preserve">Weekly total</t>
  </si>
  <si>
    <t xml:space="preserve">Period total</t>
  </si>
  <si>
    <t xml:space="preserve">Effective hourly rate</t>
  </si>
  <si>
    <t xml:space="preserve">Mrs. Alvarez</t>
  </si>
  <si>
    <t xml:space="preserve">Mr. Brennan</t>
  </si>
  <si>
    <t xml:space="preserve">Mrs. Chen</t>
  </si>
  <si>
    <t xml:space="preserve">Mr. Dlamini</t>
  </si>
  <si>
    <t xml:space="preserve">Mrs. Evans</t>
  </si>
  <si>
    <t xml:space="preserve">Mr. Fischer</t>
  </si>
  <si>
    <t xml:space="preserve">Mrs. Gupta</t>
  </si>
  <si>
    <t xml:space="preserve">pending</t>
  </si>
  <si>
    <t xml:space="preserve">Mr. Harris</t>
  </si>
  <si>
    <t xml:space="preserve">ended</t>
  </si>
  <si>
    <t xml:space="preserve">Capacity &amp; Turnover</t>
  </si>
  <si>
    <t xml:space="preserve">Top: weekly capacity of active caregivers against hours committed to active clients. Below: one row per month of caregiver turnover, filled top down.</t>
  </si>
  <si>
    <t xml:space="preserve">CAPACITY (per week)</t>
  </si>
  <si>
    <t xml:space="preserve">Active caregivers</t>
  </si>
  <si>
    <t xml:space="preserve">Paid capacity per week (hours)</t>
  </si>
  <si>
    <t xml:space="preserve">Billable capacity at target utilization (hours)</t>
  </si>
  <si>
    <t xml:space="preserve">Hours committed to active clients</t>
  </si>
  <si>
    <t xml:space="preserve">Spare hours</t>
  </si>
  <si>
    <t xml:space="preserve">Weekly revenue committed</t>
  </si>
  <si>
    <t xml:space="preserve">Weekly revenue ceiling</t>
  </si>
  <si>
    <t xml:space="preserve">Default trainer cost per hour</t>
  </si>
  <si>
    <t xml:space="preserve">Month</t>
  </si>
  <si>
    <t xml:space="preserve">Caregivers at start</t>
  </si>
  <si>
    <t xml:space="preserve">Leavers</t>
  </si>
  <si>
    <t xml:space="preserve">Hires</t>
  </si>
  <si>
    <t xml:space="preserve">Recruiting cost</t>
  </si>
  <si>
    <t xml:space="preserve">Onboarding hours</t>
  </si>
  <si>
    <t xml:space="preserve">or type your own trainer cost</t>
  </si>
  <si>
    <t xml:space="preserve">Trainer cost per hour used</t>
  </si>
  <si>
    <t xml:space="preserve">Unfilled hours</t>
  </si>
  <si>
    <t xml:space="preserve">Default margin per billable hour (Settings)</t>
  </si>
  <si>
    <t xml:space="preserve">or type your own margin per hour</t>
  </si>
  <si>
    <t xml:space="preserve">Margin per billable hour used</t>
  </si>
  <si>
    <t xml:space="preserve">Turnover % for the month</t>
  </si>
  <si>
    <t xml:space="preserve">Cost per leaver</t>
  </si>
  <si>
    <t xml:space="preserve">Turnover cost for the month</t>
  </si>
  <si>
    <t xml:space="preserve">Caregivers at end</t>
  </si>
  <si>
    <t xml:space="preserve">Total</t>
  </si>
  <si>
    <t xml:space="preserve">Summary</t>
  </si>
  <si>
    <t xml:space="preserve">from Settings: labour cost + overhead per billable hour</t>
  </si>
  <si>
    <t xml:space="preserve">from Settings: cost per billable hour ÷ (1 − target margin %)</t>
  </si>
  <si>
    <t xml:space="preserve">Service levels priced below the computed rate</t>
  </si>
  <si>
    <t xml:space="preserve">Service Rates rows where the current bill rate is below the bill rate at margin</t>
  </si>
  <si>
    <t xml:space="preserve">Caregivers with status active</t>
  </si>
  <si>
    <t xml:space="preserve">Team utilization %</t>
  </si>
  <si>
    <t xml:space="preserve">billable ÷ paid hours of active caregivers, from the Caregivers totals</t>
  </si>
  <si>
    <t xml:space="preserve">from Settings; your own placeholder, not a benchmark</t>
  </si>
  <si>
    <t xml:space="preserve">Utilization vs target (points)</t>
  </si>
  <si>
    <t xml:space="preserve">negative = below your own target</t>
  </si>
  <si>
    <t xml:space="preserve">Active clients</t>
  </si>
  <si>
    <t xml:space="preserve">Clients &amp; Quotes with status active</t>
  </si>
  <si>
    <t xml:space="preserve">Weekly hours committed</t>
  </si>
  <si>
    <t xml:space="preserve">hours per week for active clients</t>
  </si>
  <si>
    <t xml:space="preserve">Spare hours per week</t>
  </si>
  <si>
    <t xml:space="preserve">billable capacity at target utilization − hours committed</t>
  </si>
  <si>
    <t xml:space="preserve">weekly totals for active clients</t>
  </si>
  <si>
    <t xml:space="preserve">Period revenue committed</t>
  </si>
  <si>
    <t xml:space="preserve">period totals for active clients</t>
  </si>
  <si>
    <t xml:space="preserve">Year-to-date leavers</t>
  </si>
  <si>
    <t xml:space="preserve">Capacity &amp; Turnover totals</t>
  </si>
  <si>
    <t xml:space="preserve">Year-to-date turnover %</t>
  </si>
  <si>
    <t xml:space="preserve">leavers ÷ average headcount</t>
  </si>
  <si>
    <t xml:space="preserve">Year-to-date turnover cost</t>
  </si>
  <si>
    <t xml:space="preserve">recruiting + onboarding + margin lost on unfilled hours</t>
  </si>
  <si>
    <t xml:space="preserve">Client with the highest weekly total</t>
  </si>
  <si>
    <t xml:space="preserve">largest weekly total on Clients &amp; Quotes, any status</t>
  </si>
  <si>
    <t xml:space="preserve">Its weekly total</t>
  </si>
  <si>
    <t xml:space="preserve">highest weekly total on Clients &amp; Quotes</t>
  </si>
</sst>
</file>

<file path=xl/styles.xml><?xml version="1.0" encoding="utf-8"?>
<styleSheet xmlns="http://schemas.openxmlformats.org/spreadsheetml/2006/main">
  <numFmts count="8">
    <numFmt numFmtId="164" formatCode="General"/>
    <numFmt numFmtId="165" formatCode="#,##0.00;\(#,##0.00\);\-"/>
    <numFmt numFmtId="166" formatCode="0.00\%"/>
    <numFmt numFmtId="167" formatCode="0.0"/>
    <numFmt numFmtId="168" formatCode="0&quot; active&quot;"/>
    <numFmt numFmtId="169" formatCode="0"/>
    <numFmt numFmtId="170" formatCode="mmm\ yyyy"/>
    <numFmt numFmtId="171"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0" xfId="0" applyFont="true" applyBorder="false" applyAlignment="true" applyProtection="true">
      <alignment horizontal="general" vertical="bottom" textRotation="0" wrapText="false" indent="0" shrinkToFit="false"/>
      <protection locked="true" hidden="false"/>
    </xf>
    <xf numFmtId="166" fontId="8" fillId="2"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9" fontId="8" fillId="2"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35"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row>
    <row r="12" customFormat="false" ht="15" hidden="false" customHeight="false" outlineLevel="0" collapsed="false">
      <c r="A12" s="5"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row r="26" customFormat="false" ht="15" hidden="false" customHeight="false" outlineLevel="0" collapsed="false">
      <c r="A26" s="4" t="s">
        <v>22</v>
      </c>
    </row>
    <row r="27" customFormat="false" ht="15" hidden="false" customHeight="false" outlineLevel="0" collapsed="false">
      <c r="A27"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90"/>
  </cols>
  <sheetData>
    <row r="1" customFormat="false" ht="17.35" hidden="false" customHeight="false" outlineLevel="0" collapsed="false">
      <c r="A1" s="2" t="s">
        <v>24</v>
      </c>
    </row>
    <row r="2" customFormat="false" ht="15" hidden="false" customHeight="false" outlineLevel="0" collapsed="false">
      <c r="A2" s="4" t="s">
        <v>25</v>
      </c>
      <c r="B2" s="6" t="n">
        <v>16</v>
      </c>
      <c r="C2" s="3" t="s">
        <v>26</v>
      </c>
    </row>
    <row r="3" customFormat="false" ht="15" hidden="false" customHeight="false" outlineLevel="0" collapsed="false">
      <c r="A3" s="4" t="s">
        <v>27</v>
      </c>
      <c r="B3" s="7" t="n">
        <v>22</v>
      </c>
      <c r="C3" s="3" t="s">
        <v>28</v>
      </c>
    </row>
    <row r="4" customFormat="false" ht="15" hidden="false" customHeight="false" outlineLevel="0" collapsed="false">
      <c r="A4" s="4" t="s">
        <v>29</v>
      </c>
      <c r="B4" s="8" t="n">
        <v>10</v>
      </c>
      <c r="C4" s="3" t="s">
        <v>30</v>
      </c>
    </row>
    <row r="5" customFormat="false" ht="15" hidden="false" customHeight="false" outlineLevel="0" collapsed="false">
      <c r="A5" s="4" t="s">
        <v>31</v>
      </c>
      <c r="B5" s="9" t="n">
        <v>1200</v>
      </c>
      <c r="C5" s="3" t="s">
        <v>32</v>
      </c>
    </row>
    <row r="6" customFormat="false" ht="15" hidden="false" customHeight="false" outlineLevel="0" collapsed="false">
      <c r="A6" s="4" t="s">
        <v>33</v>
      </c>
      <c r="B6" s="9" t="n">
        <v>300</v>
      </c>
      <c r="C6" s="3" t="s">
        <v>34</v>
      </c>
    </row>
    <row r="7" customFormat="false" ht="15" hidden="false" customHeight="false" outlineLevel="0" collapsed="false">
      <c r="A7" s="4" t="s">
        <v>35</v>
      </c>
      <c r="B7" s="9" t="n">
        <v>900</v>
      </c>
      <c r="C7" s="3" t="s">
        <v>36</v>
      </c>
    </row>
    <row r="8" customFormat="false" ht="15" hidden="false" customHeight="false" outlineLevel="0" collapsed="false">
      <c r="A8" s="4" t="s">
        <v>37</v>
      </c>
      <c r="B8" s="9" t="n">
        <v>1000</v>
      </c>
      <c r="C8" s="3" t="s">
        <v>38</v>
      </c>
    </row>
    <row r="9" customFormat="false" ht="15" hidden="false" customHeight="false" outlineLevel="0" collapsed="false">
      <c r="A9" s="4" t="s">
        <v>39</v>
      </c>
      <c r="B9" s="6" t="n">
        <v>3500</v>
      </c>
      <c r="C9" s="3" t="s">
        <v>40</v>
      </c>
    </row>
    <row r="10" customFormat="false" ht="15" hidden="false" customHeight="false" outlineLevel="0" collapsed="false">
      <c r="A10" s="4" t="s">
        <v>41</v>
      </c>
      <c r="B10" s="9" t="n">
        <v>700</v>
      </c>
      <c r="C10" s="3" t="s">
        <v>42</v>
      </c>
    </row>
    <row r="11" customFormat="false" ht="15" hidden="false" customHeight="false" outlineLevel="0" collapsed="false">
      <c r="A11" s="5" t="s">
        <v>43</v>
      </c>
      <c r="B11" s="10" t="n">
        <f aca="false">SUM(B5:B10)</f>
        <v>7600</v>
      </c>
      <c r="C11" s="3" t="s">
        <v>44</v>
      </c>
    </row>
    <row r="12" customFormat="false" ht="15" hidden="false" customHeight="false" outlineLevel="0" collapsed="false">
      <c r="A12" s="4" t="s">
        <v>45</v>
      </c>
      <c r="B12" s="7" t="n">
        <v>25</v>
      </c>
      <c r="C12" s="3" t="s">
        <v>46</v>
      </c>
    </row>
    <row r="13" customFormat="false" ht="15" hidden="false" customHeight="false" outlineLevel="0" collapsed="false">
      <c r="A13" s="4" t="s">
        <v>47</v>
      </c>
      <c r="B13" s="8" t="n">
        <v>15</v>
      </c>
      <c r="C13" s="3" t="s">
        <v>48</v>
      </c>
    </row>
    <row r="14" customFormat="false" ht="15" hidden="false" customHeight="false" outlineLevel="0" collapsed="false">
      <c r="A14" s="4" t="s">
        <v>49</v>
      </c>
      <c r="B14" s="9" t="n">
        <v>20</v>
      </c>
      <c r="C14" s="3" t="s">
        <v>50</v>
      </c>
    </row>
    <row r="15" customFormat="false" ht="15" hidden="false" customHeight="false" outlineLevel="0" collapsed="false">
      <c r="A15" s="4" t="s">
        <v>51</v>
      </c>
      <c r="B15" s="9" t="n">
        <v>0.5</v>
      </c>
      <c r="C15" s="3" t="s">
        <v>52</v>
      </c>
    </row>
    <row r="16" customFormat="false" ht="15" hidden="false" customHeight="false" outlineLevel="0" collapsed="false">
      <c r="A16" s="4" t="s">
        <v>53</v>
      </c>
      <c r="B16" s="11" t="n">
        <v>32</v>
      </c>
      <c r="C16" s="3" t="s">
        <v>54</v>
      </c>
    </row>
    <row r="17" customFormat="false" ht="15" hidden="false" customHeight="false" outlineLevel="0" collapsed="false">
      <c r="A17" s="4" t="s">
        <v>55</v>
      </c>
      <c r="B17" s="7" t="n">
        <v>85</v>
      </c>
      <c r="C17" s="3" t="s">
        <v>56</v>
      </c>
    </row>
    <row r="18" customFormat="false" ht="15" hidden="false" customHeight="false" outlineLevel="0" collapsed="false">
      <c r="A18" s="4" t="s">
        <v>57</v>
      </c>
      <c r="B18" s="11" t="n">
        <v>4</v>
      </c>
      <c r="C18" s="3" t="s">
        <v>58</v>
      </c>
    </row>
    <row r="19" customFormat="false" ht="15" hidden="false" customHeight="false" outlineLevel="0" collapsed="false">
      <c r="A19" s="4" t="s">
        <v>59</v>
      </c>
      <c r="B19" s="12" t="n">
        <f aca="false">ROUND(B2*(1+B3/100),2)</f>
        <v>19.52</v>
      </c>
      <c r="C19" s="3" t="s">
        <v>60</v>
      </c>
    </row>
    <row r="20" customFormat="false" ht="15" hidden="false" customHeight="false" outlineLevel="0" collapsed="false">
      <c r="A20" s="4" t="s">
        <v>61</v>
      </c>
      <c r="B20" s="12" t="n">
        <f aca="false">ROUND(B19*(1+B4/100),2)</f>
        <v>21.47</v>
      </c>
      <c r="C20" s="3" t="s">
        <v>62</v>
      </c>
    </row>
    <row r="21" customFormat="false" ht="15" hidden="false" customHeight="false" outlineLevel="0" collapsed="false">
      <c r="A21" s="4" t="s">
        <v>63</v>
      </c>
      <c r="B21" s="13" t="n">
        <f aca="false">ROUND(Caregivers!$D$35*52/12,2)</f>
        <v>1196</v>
      </c>
      <c r="C21" s="3" t="s">
        <v>64</v>
      </c>
    </row>
    <row r="22" customFormat="false" ht="15" hidden="false" customHeight="false" outlineLevel="0" collapsed="false">
      <c r="A22" s="4" t="s">
        <v>65</v>
      </c>
      <c r="B22" s="12" t="n">
        <f aca="false">IFERROR(ROUND(B11/B21,2),0)</f>
        <v>6.35</v>
      </c>
      <c r="C22" s="3" t="s">
        <v>66</v>
      </c>
    </row>
    <row r="23" customFormat="false" ht="15" hidden="false" customHeight="false" outlineLevel="0" collapsed="false">
      <c r="A23" s="5" t="s">
        <v>67</v>
      </c>
      <c r="B23" s="10" t="n">
        <f aca="false">ROUND(B20+B22,2)</f>
        <v>27.82</v>
      </c>
      <c r="C23" s="3" t="s">
        <v>68</v>
      </c>
    </row>
    <row r="24" customFormat="false" ht="15" hidden="false" customHeight="false" outlineLevel="0" collapsed="false">
      <c r="A24" s="5" t="s">
        <v>69</v>
      </c>
      <c r="B24" s="10" t="n">
        <f aca="false">IFERROR(ROUND(B23/(1-B12/100),2),0)</f>
        <v>37.09</v>
      </c>
      <c r="C24" s="3"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3" min="2" style="1" width="11"/>
    <col collapsed="false" customWidth="true" hidden="false" outlineLevel="0" max="4" min="4" style="1" width="10"/>
    <col collapsed="false" customWidth="true" hidden="false" outlineLevel="0" max="6" min="5" style="1" width="11"/>
    <col collapsed="false" customWidth="true" hidden="false" outlineLevel="0" max="7" min="7" style="1" width="10"/>
    <col collapsed="false" customWidth="true" hidden="false" outlineLevel="0" max="9" min="8" style="1" width="11"/>
    <col collapsed="false" customWidth="true" hidden="false" outlineLevel="0" max="10" min="10" style="1" width="10"/>
    <col collapsed="false" customWidth="true" hidden="false" outlineLevel="0" max="11" min="11" style="1" width="11"/>
    <col collapsed="false" customWidth="true" hidden="false" outlineLevel="0" max="14" min="12" style="1" width="12"/>
    <col collapsed="false" customWidth="true" hidden="false" outlineLevel="0" max="16" min="15" style="1" width="11"/>
    <col collapsed="false" customWidth="true" hidden="false" outlineLevel="0" max="18" min="17" style="1" width="12"/>
  </cols>
  <sheetData>
    <row r="1" customFormat="false" ht="17.35" hidden="false" customHeight="false" outlineLevel="0" collapsed="false">
      <c r="A1" s="2" t="s">
        <v>71</v>
      </c>
    </row>
    <row r="2" customFormat="false" ht="15" hidden="false" customHeight="false" outlineLevel="0" collapsed="false">
      <c r="A2" s="3" t="s">
        <v>72</v>
      </c>
    </row>
    <row r="4" customFormat="false" ht="52.2" hidden="false" customHeight="false" outlineLevel="0" collapsed="false">
      <c r="A4" s="14" t="s">
        <v>73</v>
      </c>
      <c r="B4" s="14" t="s">
        <v>74</v>
      </c>
      <c r="C4" s="14" t="s">
        <v>75</v>
      </c>
      <c r="D4" s="14" t="s">
        <v>76</v>
      </c>
      <c r="E4" s="14" t="s">
        <v>77</v>
      </c>
      <c r="F4" s="14" t="s">
        <v>78</v>
      </c>
      <c r="G4" s="14" t="s">
        <v>79</v>
      </c>
      <c r="H4" s="14" t="s">
        <v>80</v>
      </c>
      <c r="I4" s="14" t="s">
        <v>81</v>
      </c>
      <c r="J4" s="14" t="s">
        <v>82</v>
      </c>
      <c r="K4" s="14" t="s">
        <v>59</v>
      </c>
      <c r="L4" s="14" t="s">
        <v>61</v>
      </c>
      <c r="M4" s="14" t="s">
        <v>65</v>
      </c>
      <c r="N4" s="14" t="s">
        <v>67</v>
      </c>
      <c r="O4" s="14" t="s">
        <v>83</v>
      </c>
      <c r="P4" s="14" t="s">
        <v>84</v>
      </c>
      <c r="Q4" s="14" t="s">
        <v>85</v>
      </c>
      <c r="R4" s="14" t="s">
        <v>86</v>
      </c>
    </row>
    <row r="5" customFormat="false" ht="15" hidden="false" customHeight="false" outlineLevel="0" collapsed="false">
      <c r="A5" s="15" t="s">
        <v>87</v>
      </c>
      <c r="B5" s="12" t="n">
        <f aca="false">IF(A5="","",Settings!$B$2)</f>
        <v>16</v>
      </c>
      <c r="C5" s="9" t="n">
        <v>15</v>
      </c>
      <c r="D5" s="12" t="n">
        <f aca="false">IF(A5="","",IF(C5&lt;&gt;"",C5,B5))</f>
        <v>15</v>
      </c>
      <c r="E5" s="16" t="n">
        <f aca="false">IF(A5="","",Settings!$B$3)</f>
        <v>22</v>
      </c>
      <c r="F5" s="8"/>
      <c r="G5" s="16" t="n">
        <f aca="false">IF(A5="","",IF(F5&lt;&gt;"",F5,E5))</f>
        <v>22</v>
      </c>
      <c r="H5" s="16" t="n">
        <f aca="false">IF(A5="","",Settings!$B$12)</f>
        <v>25</v>
      </c>
      <c r="I5" s="8"/>
      <c r="J5" s="16" t="n">
        <f aca="false">IF(A5="","",IF(I5&lt;&gt;"",I5,H5))</f>
        <v>25</v>
      </c>
      <c r="K5" s="12" t="n">
        <f aca="false">IF(A5="","",ROUND(D5*(1+G5/100),2))</f>
        <v>18.3</v>
      </c>
      <c r="L5" s="12" t="n">
        <f aca="false">IF(A5="","",ROUND(K5*(1+Settings!$B$4/100),2))</f>
        <v>20.13</v>
      </c>
      <c r="M5" s="12" t="n">
        <f aca="false">IF(A5="","",Settings!$B$22)</f>
        <v>6.35</v>
      </c>
      <c r="N5" s="12" t="n">
        <f aca="false">IF(A5="","",ROUND(L5+M5,2))</f>
        <v>26.48</v>
      </c>
      <c r="O5" s="12" t="n">
        <f aca="false">IF(A5="","",IFERROR(ROUND(N5/(1-J5/100),2),0))</f>
        <v>35.31</v>
      </c>
      <c r="P5" s="12" t="n">
        <f aca="false">IF(A5="","",ROUND(O5-N5,2))</f>
        <v>8.83</v>
      </c>
      <c r="Q5" s="6" t="n">
        <v>36</v>
      </c>
      <c r="R5" s="12" t="n">
        <f aca="false">IF(OR(A5="",Q5=""),"",ROUND(Q5-O5,2))</f>
        <v>0.69</v>
      </c>
    </row>
    <row r="6" customFormat="false" ht="15" hidden="false" customHeight="false" outlineLevel="0" collapsed="false">
      <c r="A6" s="15" t="s">
        <v>88</v>
      </c>
      <c r="B6" s="12" t="n">
        <f aca="false">IF(A6="","",Settings!$B$2)</f>
        <v>16</v>
      </c>
      <c r="C6" s="9"/>
      <c r="D6" s="12" t="n">
        <f aca="false">IF(A6="","",IF(C6&lt;&gt;"",C6,B6))</f>
        <v>16</v>
      </c>
      <c r="E6" s="16" t="n">
        <f aca="false">IF(A6="","",Settings!$B$3)</f>
        <v>22</v>
      </c>
      <c r="F6" s="8"/>
      <c r="G6" s="16" t="n">
        <f aca="false">IF(A6="","",IF(F6&lt;&gt;"",F6,E6))</f>
        <v>22</v>
      </c>
      <c r="H6" s="16" t="n">
        <f aca="false">IF(A6="","",Settings!$B$12)</f>
        <v>25</v>
      </c>
      <c r="I6" s="8"/>
      <c r="J6" s="16" t="n">
        <f aca="false">IF(A6="","",IF(I6&lt;&gt;"",I6,H6))</f>
        <v>25</v>
      </c>
      <c r="K6" s="12" t="n">
        <f aca="false">IF(A6="","",ROUND(D6*(1+G6/100),2))</f>
        <v>19.52</v>
      </c>
      <c r="L6" s="12" t="n">
        <f aca="false">IF(A6="","",ROUND(K6*(1+Settings!$B$4/100),2))</f>
        <v>21.47</v>
      </c>
      <c r="M6" s="12" t="n">
        <f aca="false">IF(A6="","",Settings!$B$22)</f>
        <v>6.35</v>
      </c>
      <c r="N6" s="12" t="n">
        <f aca="false">IF(A6="","",ROUND(L6+M6,2))</f>
        <v>27.82</v>
      </c>
      <c r="O6" s="12" t="n">
        <f aca="false">IF(A6="","",IFERROR(ROUND(N6/(1-J6/100),2),0))</f>
        <v>37.09</v>
      </c>
      <c r="P6" s="12" t="n">
        <f aca="false">IF(A6="","",ROUND(O6-N6,2))</f>
        <v>9.27</v>
      </c>
      <c r="Q6" s="6" t="n">
        <v>38</v>
      </c>
      <c r="R6" s="12" t="n">
        <f aca="false">IF(OR(A6="",Q6=""),"",ROUND(Q6-O6,2))</f>
        <v>0.91</v>
      </c>
    </row>
    <row r="7" customFormat="false" ht="15" hidden="false" customHeight="false" outlineLevel="0" collapsed="false">
      <c r="A7" s="15" t="s">
        <v>89</v>
      </c>
      <c r="B7" s="12" t="n">
        <f aca="false">IF(A7="","",Settings!$B$2)</f>
        <v>16</v>
      </c>
      <c r="C7" s="9" t="n">
        <v>18</v>
      </c>
      <c r="D7" s="12" t="n">
        <f aca="false">IF(A7="","",IF(C7&lt;&gt;"",C7,B7))</f>
        <v>18</v>
      </c>
      <c r="E7" s="16" t="n">
        <f aca="false">IF(A7="","",Settings!$B$3)</f>
        <v>22</v>
      </c>
      <c r="F7" s="8"/>
      <c r="G7" s="16" t="n">
        <f aca="false">IF(A7="","",IF(F7&lt;&gt;"",F7,E7))</f>
        <v>22</v>
      </c>
      <c r="H7" s="16" t="n">
        <f aca="false">IF(A7="","",Settings!$B$12)</f>
        <v>25</v>
      </c>
      <c r="I7" s="8" t="n">
        <v>28</v>
      </c>
      <c r="J7" s="16" t="n">
        <f aca="false">IF(A7="","",IF(I7&lt;&gt;"",I7,H7))</f>
        <v>28</v>
      </c>
      <c r="K7" s="12" t="n">
        <f aca="false">IF(A7="","",ROUND(D7*(1+G7/100),2))</f>
        <v>21.96</v>
      </c>
      <c r="L7" s="12" t="n">
        <f aca="false">IF(A7="","",ROUND(K7*(1+Settings!$B$4/100),2))</f>
        <v>24.16</v>
      </c>
      <c r="M7" s="12" t="n">
        <f aca="false">IF(A7="","",Settings!$B$22)</f>
        <v>6.35</v>
      </c>
      <c r="N7" s="12" t="n">
        <f aca="false">IF(A7="","",ROUND(L7+M7,2))</f>
        <v>30.51</v>
      </c>
      <c r="O7" s="12" t="n">
        <f aca="false">IF(A7="","",IFERROR(ROUND(N7/(1-J7/100),2),0))</f>
        <v>42.38</v>
      </c>
      <c r="P7" s="12" t="n">
        <f aca="false">IF(A7="","",ROUND(O7-N7,2))</f>
        <v>11.87</v>
      </c>
      <c r="Q7" s="6" t="n">
        <v>44</v>
      </c>
      <c r="R7" s="12" t="n">
        <f aca="false">IF(OR(A7="",Q7=""),"",ROUND(Q7-O7,2))</f>
        <v>1.62</v>
      </c>
    </row>
    <row r="8" customFormat="false" ht="15" hidden="false" customHeight="false" outlineLevel="0" collapsed="false">
      <c r="A8" s="15" t="s">
        <v>90</v>
      </c>
      <c r="B8" s="12" t="n">
        <f aca="false">IF(A8="","",Settings!$B$2)</f>
        <v>16</v>
      </c>
      <c r="C8" s="9"/>
      <c r="D8" s="12" t="n">
        <f aca="false">IF(A8="","",IF(C8&lt;&gt;"",C8,B8))</f>
        <v>16</v>
      </c>
      <c r="E8" s="16" t="n">
        <f aca="false">IF(A8="","",Settings!$B$3)</f>
        <v>22</v>
      </c>
      <c r="F8" s="8"/>
      <c r="G8" s="16" t="n">
        <f aca="false">IF(A8="","",IF(F8&lt;&gt;"",F8,E8))</f>
        <v>22</v>
      </c>
      <c r="H8" s="16" t="n">
        <f aca="false">IF(A8="","",Settings!$B$12)</f>
        <v>25</v>
      </c>
      <c r="I8" s="8"/>
      <c r="J8" s="16" t="n">
        <f aca="false">IF(A8="","",IF(I8&lt;&gt;"",I8,H8))</f>
        <v>25</v>
      </c>
      <c r="K8" s="12" t="n">
        <f aca="false">IF(A8="","",ROUND(D8*(1+G8/100),2))</f>
        <v>19.52</v>
      </c>
      <c r="L8" s="12" t="n">
        <f aca="false">IF(A8="","",ROUND(K8*(1+Settings!$B$4/100),2))</f>
        <v>21.47</v>
      </c>
      <c r="M8" s="12" t="n">
        <f aca="false">IF(A8="","",Settings!$B$22)</f>
        <v>6.35</v>
      </c>
      <c r="N8" s="12" t="n">
        <f aca="false">IF(A8="","",ROUND(L8+M8,2))</f>
        <v>27.82</v>
      </c>
      <c r="O8" s="12" t="n">
        <f aca="false">IF(A8="","",IFERROR(ROUND(N8/(1-J8/100),2),0))</f>
        <v>37.09</v>
      </c>
      <c r="P8" s="12" t="n">
        <f aca="false">IF(A8="","",ROUND(O8-N8,2))</f>
        <v>9.27</v>
      </c>
      <c r="Q8" s="6" t="n">
        <v>34</v>
      </c>
      <c r="R8" s="12" t="n">
        <f aca="false">IF(OR(A8="",Q8=""),"",ROUND(Q8-O8,2))</f>
        <v>-3.09</v>
      </c>
    </row>
    <row r="9" customFormat="false" ht="15" hidden="false" customHeight="false" outlineLevel="0" collapsed="false">
      <c r="A9" s="15" t="s">
        <v>91</v>
      </c>
      <c r="B9" s="12" t="n">
        <f aca="false">IF(A9="","",Settings!$B$2)</f>
        <v>16</v>
      </c>
      <c r="C9" s="9" t="n">
        <v>14</v>
      </c>
      <c r="D9" s="12" t="n">
        <f aca="false">IF(A9="","",IF(C9&lt;&gt;"",C9,B9))</f>
        <v>14</v>
      </c>
      <c r="E9" s="16" t="n">
        <f aca="false">IF(A9="","",Settings!$B$3)</f>
        <v>22</v>
      </c>
      <c r="F9" s="8"/>
      <c r="G9" s="16" t="n">
        <f aca="false">IF(A9="","",IF(F9&lt;&gt;"",F9,E9))</f>
        <v>22</v>
      </c>
      <c r="H9" s="16" t="n">
        <f aca="false">IF(A9="","",Settings!$B$12)</f>
        <v>25</v>
      </c>
      <c r="I9" s="8"/>
      <c r="J9" s="16" t="n">
        <f aca="false">IF(A9="","",IF(I9&lt;&gt;"",I9,H9))</f>
        <v>25</v>
      </c>
      <c r="K9" s="12" t="n">
        <f aca="false">IF(A9="","",ROUND(D9*(1+G9/100),2))</f>
        <v>17.08</v>
      </c>
      <c r="L9" s="12" t="n">
        <f aca="false">IF(A9="","",ROUND(K9*(1+Settings!$B$4/100),2))</f>
        <v>18.79</v>
      </c>
      <c r="M9" s="12" t="n">
        <f aca="false">IF(A9="","",Settings!$B$22)</f>
        <v>6.35</v>
      </c>
      <c r="N9" s="12" t="n">
        <f aca="false">IF(A9="","",ROUND(L9+M9,2))</f>
        <v>25.14</v>
      </c>
      <c r="O9" s="12" t="n">
        <f aca="false">IF(A9="","",IFERROR(ROUND(N9/(1-J9/100),2),0))</f>
        <v>33.52</v>
      </c>
      <c r="P9" s="12" t="n">
        <f aca="false">IF(A9="","",ROUND(O9-N9,2))</f>
        <v>8.38</v>
      </c>
      <c r="Q9" s="6" t="n">
        <v>34</v>
      </c>
      <c r="R9" s="12" t="n">
        <f aca="false">IF(OR(A9="",Q9=""),"",ROUND(Q9-O9,2))</f>
        <v>0.48</v>
      </c>
    </row>
    <row r="10" customFormat="false" ht="15" hidden="false" customHeight="false" outlineLevel="0" collapsed="false">
      <c r="A10" s="15" t="s">
        <v>92</v>
      </c>
      <c r="B10" s="12" t="n">
        <f aca="false">IF(A10="","",Settings!$B$2)</f>
        <v>16</v>
      </c>
      <c r="C10" s="9"/>
      <c r="D10" s="12" t="n">
        <f aca="false">IF(A10="","",IF(C10&lt;&gt;"",C10,B10))</f>
        <v>16</v>
      </c>
      <c r="E10" s="16" t="n">
        <f aca="false">IF(A10="","",Settings!$B$3)</f>
        <v>22</v>
      </c>
      <c r="F10" s="8"/>
      <c r="G10" s="16" t="n">
        <f aca="false">IF(A10="","",IF(F10&lt;&gt;"",F10,E10))</f>
        <v>22</v>
      </c>
      <c r="H10" s="16" t="n">
        <f aca="false">IF(A10="","",Settings!$B$12)</f>
        <v>25</v>
      </c>
      <c r="I10" s="8"/>
      <c r="J10" s="16" t="n">
        <f aca="false">IF(A10="","",IF(I10&lt;&gt;"",I10,H10))</f>
        <v>25</v>
      </c>
      <c r="K10" s="12" t="n">
        <f aca="false">IF(A10="","",ROUND(D10*(1+G10/100),2))</f>
        <v>19.52</v>
      </c>
      <c r="L10" s="12" t="n">
        <f aca="false">IF(A10="","",ROUND(K10*(1+Settings!$B$4/100),2))</f>
        <v>21.47</v>
      </c>
      <c r="M10" s="12" t="n">
        <f aca="false">IF(A10="","",Settings!$B$22)</f>
        <v>6.35</v>
      </c>
      <c r="N10" s="12" t="n">
        <f aca="false">IF(A10="","",ROUND(L10+M10,2))</f>
        <v>27.82</v>
      </c>
      <c r="O10" s="12" t="n">
        <f aca="false">IF(A10="","",IFERROR(ROUND(N10/(1-J10/100),2),0))</f>
        <v>37.09</v>
      </c>
      <c r="P10" s="12" t="n">
        <f aca="false">IF(A10="","",ROUND(O10-N10,2))</f>
        <v>9.27</v>
      </c>
      <c r="Q10" s="9"/>
      <c r="R10" s="12" t="str">
        <f aca="false">IF(OR(A10="",Q10=""),"",ROUND(Q10-O10,2))</f>
        <v/>
      </c>
    </row>
    <row r="11" customFormat="false" ht="15" hidden="false" customHeight="false" outlineLevel="0" collapsed="false">
      <c r="A11" s="15"/>
      <c r="B11" s="12" t="str">
        <f aca="false">IF(A11="","",Settings!$B$2)</f>
        <v/>
      </c>
      <c r="C11" s="9"/>
      <c r="D11" s="12" t="str">
        <f aca="false">IF(A11="","",IF(C11&lt;&gt;"",C11,B11))</f>
        <v/>
      </c>
      <c r="E11" s="16" t="str">
        <f aca="false">IF(A11="","",Settings!$B$3)</f>
        <v/>
      </c>
      <c r="F11" s="8"/>
      <c r="G11" s="16" t="str">
        <f aca="false">IF(A11="","",IF(F11&lt;&gt;"",F11,E11))</f>
        <v/>
      </c>
      <c r="H11" s="16" t="str">
        <f aca="false">IF(A11="","",Settings!$B$12)</f>
        <v/>
      </c>
      <c r="I11" s="8"/>
      <c r="J11" s="16" t="str">
        <f aca="false">IF(A11="","",IF(I11&lt;&gt;"",I11,H11))</f>
        <v/>
      </c>
      <c r="K11" s="12" t="str">
        <f aca="false">IF(A11="","",ROUND(D11*(1+G11/100),2))</f>
        <v/>
      </c>
      <c r="L11" s="12" t="str">
        <f aca="false">IF(A11="","",ROUND(K11*(1+Settings!$B$4/100),2))</f>
        <v/>
      </c>
      <c r="M11" s="12" t="str">
        <f aca="false">IF(A11="","",Settings!$B$22)</f>
        <v/>
      </c>
      <c r="N11" s="12" t="str">
        <f aca="false">IF(A11="","",ROUND(L11+M11,2))</f>
        <v/>
      </c>
      <c r="O11" s="12" t="str">
        <f aca="false">IF(A11="","",IFERROR(ROUND(N11/(1-J11/100),2),0))</f>
        <v/>
      </c>
      <c r="P11" s="12" t="str">
        <f aca="false">IF(A11="","",ROUND(O11-N11,2))</f>
        <v/>
      </c>
      <c r="Q11" s="9"/>
      <c r="R11" s="12" t="str">
        <f aca="false">IF(OR(A11="",Q11=""),"",ROUND(Q11-O11,2))</f>
        <v/>
      </c>
    </row>
    <row r="12" customFormat="false" ht="15" hidden="false" customHeight="false" outlineLevel="0" collapsed="false">
      <c r="A12" s="15"/>
      <c r="B12" s="12" t="str">
        <f aca="false">IF(A12="","",Settings!$B$2)</f>
        <v/>
      </c>
      <c r="C12" s="9"/>
      <c r="D12" s="12" t="str">
        <f aca="false">IF(A12="","",IF(C12&lt;&gt;"",C12,B12))</f>
        <v/>
      </c>
      <c r="E12" s="16" t="str">
        <f aca="false">IF(A12="","",Settings!$B$3)</f>
        <v/>
      </c>
      <c r="F12" s="8"/>
      <c r="G12" s="16" t="str">
        <f aca="false">IF(A12="","",IF(F12&lt;&gt;"",F12,E12))</f>
        <v/>
      </c>
      <c r="H12" s="16" t="str">
        <f aca="false">IF(A12="","",Settings!$B$12)</f>
        <v/>
      </c>
      <c r="I12" s="8"/>
      <c r="J12" s="16" t="str">
        <f aca="false">IF(A12="","",IF(I12&lt;&gt;"",I12,H12))</f>
        <v/>
      </c>
      <c r="K12" s="12" t="str">
        <f aca="false">IF(A12="","",ROUND(D12*(1+G12/100),2))</f>
        <v/>
      </c>
      <c r="L12" s="12" t="str">
        <f aca="false">IF(A12="","",ROUND(K12*(1+Settings!$B$4/100),2))</f>
        <v/>
      </c>
      <c r="M12" s="12" t="str">
        <f aca="false">IF(A12="","",Settings!$B$22)</f>
        <v/>
      </c>
      <c r="N12" s="12" t="str">
        <f aca="false">IF(A12="","",ROUND(L12+M12,2))</f>
        <v/>
      </c>
      <c r="O12" s="12" t="str">
        <f aca="false">IF(A12="","",IFERROR(ROUND(N12/(1-J12/100),2),0))</f>
        <v/>
      </c>
      <c r="P12" s="12" t="str">
        <f aca="false">IF(A12="","",ROUND(O12-N12,2))</f>
        <v/>
      </c>
      <c r="Q12" s="9"/>
      <c r="R12" s="12" t="str">
        <f aca="false">IF(OR(A12="",Q12=""),"",ROUND(Q12-O12,2))</f>
        <v/>
      </c>
    </row>
    <row r="13" customFormat="false" ht="15" hidden="false" customHeight="false" outlineLevel="0" collapsed="false">
      <c r="A13" s="15"/>
      <c r="B13" s="12" t="str">
        <f aca="false">IF(A13="","",Settings!$B$2)</f>
        <v/>
      </c>
      <c r="C13" s="9"/>
      <c r="D13" s="12" t="str">
        <f aca="false">IF(A13="","",IF(C13&lt;&gt;"",C13,B13))</f>
        <v/>
      </c>
      <c r="E13" s="16" t="str">
        <f aca="false">IF(A13="","",Settings!$B$3)</f>
        <v/>
      </c>
      <c r="F13" s="8"/>
      <c r="G13" s="16" t="str">
        <f aca="false">IF(A13="","",IF(F13&lt;&gt;"",F13,E13))</f>
        <v/>
      </c>
      <c r="H13" s="16" t="str">
        <f aca="false">IF(A13="","",Settings!$B$12)</f>
        <v/>
      </c>
      <c r="I13" s="8"/>
      <c r="J13" s="16" t="str">
        <f aca="false">IF(A13="","",IF(I13&lt;&gt;"",I13,H13))</f>
        <v/>
      </c>
      <c r="K13" s="12" t="str">
        <f aca="false">IF(A13="","",ROUND(D13*(1+G13/100),2))</f>
        <v/>
      </c>
      <c r="L13" s="12" t="str">
        <f aca="false">IF(A13="","",ROUND(K13*(1+Settings!$B$4/100),2))</f>
        <v/>
      </c>
      <c r="M13" s="12" t="str">
        <f aca="false">IF(A13="","",Settings!$B$22)</f>
        <v/>
      </c>
      <c r="N13" s="12" t="str">
        <f aca="false">IF(A13="","",ROUND(L13+M13,2))</f>
        <v/>
      </c>
      <c r="O13" s="12" t="str">
        <f aca="false">IF(A13="","",IFERROR(ROUND(N13/(1-J13/100),2),0))</f>
        <v/>
      </c>
      <c r="P13" s="12" t="str">
        <f aca="false">IF(A13="","",ROUND(O13-N13,2))</f>
        <v/>
      </c>
      <c r="Q13" s="9"/>
      <c r="R13" s="12" t="str">
        <f aca="false">IF(OR(A13="",Q13=""),"",ROUND(Q13-O13,2))</f>
        <v/>
      </c>
    </row>
    <row r="14" customFormat="false" ht="15" hidden="false" customHeight="false" outlineLevel="0" collapsed="false">
      <c r="A14" s="15"/>
      <c r="B14" s="12" t="str">
        <f aca="false">IF(A14="","",Settings!$B$2)</f>
        <v/>
      </c>
      <c r="C14" s="9"/>
      <c r="D14" s="12" t="str">
        <f aca="false">IF(A14="","",IF(C14&lt;&gt;"",C14,B14))</f>
        <v/>
      </c>
      <c r="E14" s="16" t="str">
        <f aca="false">IF(A14="","",Settings!$B$3)</f>
        <v/>
      </c>
      <c r="F14" s="8"/>
      <c r="G14" s="16" t="str">
        <f aca="false">IF(A14="","",IF(F14&lt;&gt;"",F14,E14))</f>
        <v/>
      </c>
      <c r="H14" s="16" t="str">
        <f aca="false">IF(A14="","",Settings!$B$12)</f>
        <v/>
      </c>
      <c r="I14" s="8"/>
      <c r="J14" s="16" t="str">
        <f aca="false">IF(A14="","",IF(I14&lt;&gt;"",I14,H14))</f>
        <v/>
      </c>
      <c r="K14" s="12" t="str">
        <f aca="false">IF(A14="","",ROUND(D14*(1+G14/100),2))</f>
        <v/>
      </c>
      <c r="L14" s="12" t="str">
        <f aca="false">IF(A14="","",ROUND(K14*(1+Settings!$B$4/100),2))</f>
        <v/>
      </c>
      <c r="M14" s="12" t="str">
        <f aca="false">IF(A14="","",Settings!$B$22)</f>
        <v/>
      </c>
      <c r="N14" s="12" t="str">
        <f aca="false">IF(A14="","",ROUND(L14+M14,2))</f>
        <v/>
      </c>
      <c r="O14" s="12" t="str">
        <f aca="false">IF(A14="","",IFERROR(ROUND(N14/(1-J14/100),2),0))</f>
        <v/>
      </c>
      <c r="P14" s="12" t="str">
        <f aca="false">IF(A14="","",ROUND(O14-N14,2))</f>
        <v/>
      </c>
      <c r="Q14" s="9"/>
      <c r="R14" s="12" t="str">
        <f aca="false">IF(OR(A14="",Q14=""),"",ROUND(Q14-O14,2))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1"/>
    <col collapsed="false" customWidth="true" hidden="false" outlineLevel="0" max="6" min="3" style="1" width="10"/>
    <col collapsed="false" customWidth="true" hidden="false" outlineLevel="0" max="8" min="7" style="1" width="11"/>
    <col collapsed="false" customWidth="true" hidden="false" outlineLevel="0" max="9" min="9" style="1" width="10"/>
    <col collapsed="false" customWidth="true" hidden="false" outlineLevel="0" max="12" min="10" style="1" width="11"/>
    <col collapsed="false" customWidth="true" hidden="false" outlineLevel="0" max="14" min="13" style="1" width="12"/>
  </cols>
  <sheetData>
    <row r="1" customFormat="false" ht="17.35" hidden="false" customHeight="false" outlineLevel="0" collapsed="false">
      <c r="A1" s="2" t="s">
        <v>93</v>
      </c>
    </row>
    <row r="2" customFormat="false" ht="15" hidden="false" customHeight="false" outlineLevel="0" collapsed="false">
      <c r="A2" s="3" t="s">
        <v>94</v>
      </c>
    </row>
    <row r="4" customFormat="false" ht="52.2" hidden="false" customHeight="false" outlineLevel="0" collapsed="false">
      <c r="A4" s="14" t="s">
        <v>95</v>
      </c>
      <c r="B4" s="14" t="s">
        <v>96</v>
      </c>
      <c r="C4" s="14" t="s">
        <v>97</v>
      </c>
      <c r="D4" s="14" t="s">
        <v>98</v>
      </c>
      <c r="E4" s="14" t="s">
        <v>99</v>
      </c>
      <c r="F4" s="14" t="s">
        <v>100</v>
      </c>
      <c r="G4" s="14" t="s">
        <v>74</v>
      </c>
      <c r="H4" s="14" t="s">
        <v>75</v>
      </c>
      <c r="I4" s="14" t="s">
        <v>76</v>
      </c>
      <c r="J4" s="14" t="s">
        <v>101</v>
      </c>
      <c r="K4" s="14" t="s">
        <v>102</v>
      </c>
      <c r="L4" s="14" t="s">
        <v>103</v>
      </c>
      <c r="M4" s="14" t="s">
        <v>104</v>
      </c>
      <c r="N4" s="14" t="s">
        <v>105</v>
      </c>
    </row>
    <row r="5" customFormat="false" ht="15" hidden="false" customHeight="false" outlineLevel="0" collapsed="false">
      <c r="A5" s="15" t="s">
        <v>106</v>
      </c>
      <c r="B5" s="15" t="s">
        <v>107</v>
      </c>
      <c r="C5" s="17" t="n">
        <v>38</v>
      </c>
      <c r="D5" s="17" t="n">
        <v>32</v>
      </c>
      <c r="E5" s="11" t="n">
        <v>3</v>
      </c>
      <c r="F5" s="11" t="n">
        <v>1</v>
      </c>
      <c r="G5" s="12" t="n">
        <f aca="false">IF(A5="","",Settings!$B$2)</f>
        <v>16</v>
      </c>
      <c r="H5" s="9"/>
      <c r="I5" s="12" t="n">
        <f aca="false">IF(A5="","",IF(H5&lt;&gt;"",H5,G5))</f>
        <v>16</v>
      </c>
      <c r="J5" s="13" t="n">
        <f aca="false">IF(A5="","",C5-D5)</f>
        <v>6</v>
      </c>
      <c r="K5" s="16" t="n">
        <f aca="false">IF(A5="","",IFERROR(ROUND(D5/C5*100,2),0))</f>
        <v>84.21</v>
      </c>
      <c r="L5" s="13" t="n">
        <f aca="false">IF(A5="","",J5-E5-F5)</f>
        <v>2</v>
      </c>
      <c r="M5" s="12" t="n">
        <f aca="false">IF(A5="","",ROUND(J5*I5*(1+Settings!$B$3/100),2))</f>
        <v>117.12</v>
      </c>
      <c r="N5" s="16" t="n">
        <f aca="false">IF(A5="","",ROUND(K5-Settings!$B$17,2))</f>
        <v>-0.79</v>
      </c>
    </row>
    <row r="6" customFormat="false" ht="15" hidden="false" customHeight="false" outlineLevel="0" collapsed="false">
      <c r="A6" s="15" t="s">
        <v>108</v>
      </c>
      <c r="B6" s="15" t="s">
        <v>107</v>
      </c>
      <c r="C6" s="17" t="n">
        <v>36</v>
      </c>
      <c r="D6" s="17" t="n">
        <v>30</v>
      </c>
      <c r="E6" s="11" t="n">
        <v>4</v>
      </c>
      <c r="F6" s="11" t="n">
        <v>0</v>
      </c>
      <c r="G6" s="12" t="n">
        <f aca="false">IF(A6="","",Settings!$B$2)</f>
        <v>16</v>
      </c>
      <c r="H6" s="9"/>
      <c r="I6" s="12" t="n">
        <f aca="false">IF(A6="","",IF(H6&lt;&gt;"",H6,G6))</f>
        <v>16</v>
      </c>
      <c r="J6" s="13" t="n">
        <f aca="false">IF(A6="","",C6-D6)</f>
        <v>6</v>
      </c>
      <c r="K6" s="16" t="n">
        <f aca="false">IF(A6="","",IFERROR(ROUND(D6/C6*100,2),0))</f>
        <v>83.33</v>
      </c>
      <c r="L6" s="13" t="n">
        <f aca="false">IF(A6="","",J6-E6-F6)</f>
        <v>2</v>
      </c>
      <c r="M6" s="12" t="n">
        <f aca="false">IF(A6="","",ROUND(J6*I6*(1+Settings!$B$3/100),2))</f>
        <v>117.12</v>
      </c>
      <c r="N6" s="16" t="n">
        <f aca="false">IF(A6="","",ROUND(K6-Settings!$B$17,2))</f>
        <v>-1.67</v>
      </c>
    </row>
    <row r="7" customFormat="false" ht="15" hidden="false" customHeight="false" outlineLevel="0" collapsed="false">
      <c r="A7" s="15" t="s">
        <v>109</v>
      </c>
      <c r="B7" s="15" t="s">
        <v>107</v>
      </c>
      <c r="C7" s="17" t="n">
        <v>32</v>
      </c>
      <c r="D7" s="17" t="n">
        <v>28</v>
      </c>
      <c r="E7" s="11" t="n">
        <v>2</v>
      </c>
      <c r="F7" s="11" t="n">
        <v>1</v>
      </c>
      <c r="G7" s="12" t="n">
        <f aca="false">IF(A7="","",Settings!$B$2)</f>
        <v>16</v>
      </c>
      <c r="H7" s="9"/>
      <c r="I7" s="12" t="n">
        <f aca="false">IF(A7="","",IF(H7&lt;&gt;"",H7,G7))</f>
        <v>16</v>
      </c>
      <c r="J7" s="13" t="n">
        <f aca="false">IF(A7="","",C7-D7)</f>
        <v>4</v>
      </c>
      <c r="K7" s="16" t="n">
        <f aca="false">IF(A7="","",IFERROR(ROUND(D7/C7*100,2),0))</f>
        <v>87.5</v>
      </c>
      <c r="L7" s="13" t="n">
        <f aca="false">IF(A7="","",J7-E7-F7)</f>
        <v>1</v>
      </c>
      <c r="M7" s="12" t="n">
        <f aca="false">IF(A7="","",ROUND(J7*I7*(1+Settings!$B$3/100),2))</f>
        <v>78.08</v>
      </c>
      <c r="N7" s="16" t="n">
        <f aca="false">IF(A7="","",ROUND(K7-Settings!$B$17,2))</f>
        <v>2.5</v>
      </c>
    </row>
    <row r="8" customFormat="false" ht="15" hidden="false" customHeight="false" outlineLevel="0" collapsed="false">
      <c r="A8" s="15" t="s">
        <v>110</v>
      </c>
      <c r="B8" s="15" t="s">
        <v>107</v>
      </c>
      <c r="C8" s="17" t="n">
        <v>40</v>
      </c>
      <c r="D8" s="17" t="n">
        <v>33</v>
      </c>
      <c r="E8" s="11" t="n">
        <v>5</v>
      </c>
      <c r="F8" s="11" t="n">
        <v>1</v>
      </c>
      <c r="G8" s="12" t="n">
        <f aca="false">IF(A8="","",Settings!$B$2)</f>
        <v>16</v>
      </c>
      <c r="H8" s="9"/>
      <c r="I8" s="12" t="n">
        <f aca="false">IF(A8="","",IF(H8&lt;&gt;"",H8,G8))</f>
        <v>16</v>
      </c>
      <c r="J8" s="13" t="n">
        <f aca="false">IF(A8="","",C8-D8)</f>
        <v>7</v>
      </c>
      <c r="K8" s="16" t="n">
        <f aca="false">IF(A8="","",IFERROR(ROUND(D8/C8*100,2),0))</f>
        <v>82.5</v>
      </c>
      <c r="L8" s="13" t="n">
        <f aca="false">IF(A8="","",J8-E8-F8)</f>
        <v>1</v>
      </c>
      <c r="M8" s="12" t="n">
        <f aca="false">IF(A8="","",ROUND(J8*I8*(1+Settings!$B$3/100),2))</f>
        <v>136.64</v>
      </c>
      <c r="N8" s="16" t="n">
        <f aca="false">IF(A8="","",ROUND(K8-Settings!$B$17,2))</f>
        <v>-2.5</v>
      </c>
    </row>
    <row r="9" customFormat="false" ht="15" hidden="false" customHeight="false" outlineLevel="0" collapsed="false">
      <c r="A9" s="15" t="s">
        <v>111</v>
      </c>
      <c r="B9" s="15" t="s">
        <v>107</v>
      </c>
      <c r="C9" s="17" t="n">
        <v>24</v>
      </c>
      <c r="D9" s="17" t="n">
        <v>20</v>
      </c>
      <c r="E9" s="11" t="n">
        <v>2</v>
      </c>
      <c r="F9" s="11" t="n">
        <v>0</v>
      </c>
      <c r="G9" s="12" t="n">
        <f aca="false">IF(A9="","",Settings!$B$2)</f>
        <v>16</v>
      </c>
      <c r="H9" s="9"/>
      <c r="I9" s="12" t="n">
        <f aca="false">IF(A9="","",IF(H9&lt;&gt;"",H9,G9))</f>
        <v>16</v>
      </c>
      <c r="J9" s="13" t="n">
        <f aca="false">IF(A9="","",C9-D9)</f>
        <v>4</v>
      </c>
      <c r="K9" s="16" t="n">
        <f aca="false">IF(A9="","",IFERROR(ROUND(D9/C9*100,2),0))</f>
        <v>83.33</v>
      </c>
      <c r="L9" s="13" t="n">
        <f aca="false">IF(A9="","",J9-E9-F9)</f>
        <v>2</v>
      </c>
      <c r="M9" s="12" t="n">
        <f aca="false">IF(A9="","",ROUND(J9*I9*(1+Settings!$B$3/100),2))</f>
        <v>78.08</v>
      </c>
      <c r="N9" s="16" t="n">
        <f aca="false">IF(A9="","",ROUND(K9-Settings!$B$17,2))</f>
        <v>-1.67</v>
      </c>
    </row>
    <row r="10" customFormat="false" ht="15" hidden="false" customHeight="false" outlineLevel="0" collapsed="false">
      <c r="A10" s="15" t="s">
        <v>112</v>
      </c>
      <c r="B10" s="15" t="s">
        <v>107</v>
      </c>
      <c r="C10" s="17" t="n">
        <v>35</v>
      </c>
      <c r="D10" s="17" t="n">
        <v>29</v>
      </c>
      <c r="E10" s="11" t="n">
        <v>3</v>
      </c>
      <c r="F10" s="11" t="n">
        <v>2</v>
      </c>
      <c r="G10" s="12" t="n">
        <f aca="false">IF(A10="","",Settings!$B$2)</f>
        <v>16</v>
      </c>
      <c r="H10" s="9" t="n">
        <v>18</v>
      </c>
      <c r="I10" s="12" t="n">
        <f aca="false">IF(A10="","",IF(H10&lt;&gt;"",H10,G10))</f>
        <v>18</v>
      </c>
      <c r="J10" s="13" t="n">
        <f aca="false">IF(A10="","",C10-D10)</f>
        <v>6</v>
      </c>
      <c r="K10" s="16" t="n">
        <f aca="false">IF(A10="","",IFERROR(ROUND(D10/C10*100,2),0))</f>
        <v>82.86</v>
      </c>
      <c r="L10" s="13" t="n">
        <f aca="false">IF(A10="","",J10-E10-F10)</f>
        <v>1</v>
      </c>
      <c r="M10" s="12" t="n">
        <f aca="false">IF(A10="","",ROUND(J10*I10*(1+Settings!$B$3/100),2))</f>
        <v>131.76</v>
      </c>
      <c r="N10" s="16" t="n">
        <f aca="false">IF(A10="","",ROUND(K10-Settings!$B$17,2))</f>
        <v>-2.14</v>
      </c>
    </row>
    <row r="11" customFormat="false" ht="15" hidden="false" customHeight="false" outlineLevel="0" collapsed="false">
      <c r="A11" s="15" t="s">
        <v>113</v>
      </c>
      <c r="B11" s="15" t="s">
        <v>107</v>
      </c>
      <c r="C11" s="17" t="n">
        <v>30</v>
      </c>
      <c r="D11" s="17" t="n">
        <v>24</v>
      </c>
      <c r="E11" s="11" t="n">
        <v>4</v>
      </c>
      <c r="F11" s="11" t="n">
        <v>0</v>
      </c>
      <c r="G11" s="12" t="n">
        <f aca="false">IF(A11="","",Settings!$B$2)</f>
        <v>16</v>
      </c>
      <c r="H11" s="9"/>
      <c r="I11" s="12" t="n">
        <f aca="false">IF(A11="","",IF(H11&lt;&gt;"",H11,G11))</f>
        <v>16</v>
      </c>
      <c r="J11" s="13" t="n">
        <f aca="false">IF(A11="","",C11-D11)</f>
        <v>6</v>
      </c>
      <c r="K11" s="16" t="n">
        <f aca="false">IF(A11="","",IFERROR(ROUND(D11/C11*100,2),0))</f>
        <v>80</v>
      </c>
      <c r="L11" s="13" t="n">
        <f aca="false">IF(A11="","",J11-E11-F11)</f>
        <v>2</v>
      </c>
      <c r="M11" s="12" t="n">
        <f aca="false">IF(A11="","",ROUND(J11*I11*(1+Settings!$B$3/100),2))</f>
        <v>117.12</v>
      </c>
      <c r="N11" s="16" t="n">
        <f aca="false">IF(A11="","",ROUND(K11-Settings!$B$17,2))</f>
        <v>-5</v>
      </c>
    </row>
    <row r="12" customFormat="false" ht="15" hidden="false" customHeight="false" outlineLevel="0" collapsed="false">
      <c r="A12" s="15" t="s">
        <v>114</v>
      </c>
      <c r="B12" s="15" t="s">
        <v>115</v>
      </c>
      <c r="C12" s="17" t="n">
        <v>0</v>
      </c>
      <c r="D12" s="17" t="n">
        <v>0</v>
      </c>
      <c r="E12" s="11" t="n">
        <v>0</v>
      </c>
      <c r="F12" s="11" t="n">
        <v>0</v>
      </c>
      <c r="G12" s="12" t="n">
        <f aca="false">IF(A12="","",Settings!$B$2)</f>
        <v>16</v>
      </c>
      <c r="H12" s="9"/>
      <c r="I12" s="12" t="n">
        <f aca="false">IF(A12="","",IF(H12&lt;&gt;"",H12,G12))</f>
        <v>16</v>
      </c>
      <c r="J12" s="13" t="n">
        <f aca="false">IF(A12="","",C12-D12)</f>
        <v>0</v>
      </c>
      <c r="K12" s="16" t="n">
        <f aca="false">IF(A12="","",IFERROR(ROUND(D12/C12*100,2),0))</f>
        <v>0</v>
      </c>
      <c r="L12" s="13" t="n">
        <f aca="false">IF(A12="","",J12-E12-F12)</f>
        <v>0</v>
      </c>
      <c r="M12" s="12" t="n">
        <f aca="false">IF(A12="","",ROUND(J12*I12*(1+Settings!$B$3/100),2))</f>
        <v>0</v>
      </c>
      <c r="N12" s="16" t="n">
        <f aca="false">IF(A12="","",ROUND(K12-Settings!$B$17,2))</f>
        <v>-85</v>
      </c>
    </row>
    <row r="13" customFormat="false" ht="15" hidden="false" customHeight="false" outlineLevel="0" collapsed="false">
      <c r="A13" s="15" t="s">
        <v>116</v>
      </c>
      <c r="B13" s="15" t="s">
        <v>107</v>
      </c>
      <c r="C13" s="17" t="n">
        <v>38</v>
      </c>
      <c r="D13" s="17" t="n">
        <v>31</v>
      </c>
      <c r="E13" s="11" t="n">
        <v>4</v>
      </c>
      <c r="F13" s="11" t="n">
        <v>1</v>
      </c>
      <c r="G13" s="12" t="n">
        <f aca="false">IF(A13="","",Settings!$B$2)</f>
        <v>16</v>
      </c>
      <c r="H13" s="9"/>
      <c r="I13" s="12" t="n">
        <f aca="false">IF(A13="","",IF(H13&lt;&gt;"",H13,G13))</f>
        <v>16</v>
      </c>
      <c r="J13" s="13" t="n">
        <f aca="false">IF(A13="","",C13-D13)</f>
        <v>7</v>
      </c>
      <c r="K13" s="16" t="n">
        <f aca="false">IF(A13="","",IFERROR(ROUND(D13/C13*100,2),0))</f>
        <v>81.58</v>
      </c>
      <c r="L13" s="13" t="n">
        <f aca="false">IF(A13="","",J13-E13-F13)</f>
        <v>2</v>
      </c>
      <c r="M13" s="12" t="n">
        <f aca="false">IF(A13="","",ROUND(J13*I13*(1+Settings!$B$3/100),2))</f>
        <v>136.64</v>
      </c>
      <c r="N13" s="16" t="n">
        <f aca="false">IF(A13="","",ROUND(K13-Settings!$B$17,2))</f>
        <v>-3.42</v>
      </c>
    </row>
    <row r="14" customFormat="false" ht="15" hidden="false" customHeight="false" outlineLevel="0" collapsed="false">
      <c r="A14" s="15" t="s">
        <v>117</v>
      </c>
      <c r="B14" s="15" t="s">
        <v>118</v>
      </c>
      <c r="C14" s="17" t="n">
        <v>0</v>
      </c>
      <c r="D14" s="17" t="n">
        <v>0</v>
      </c>
      <c r="E14" s="11" t="n">
        <v>0</v>
      </c>
      <c r="F14" s="11" t="n">
        <v>0</v>
      </c>
      <c r="G14" s="12" t="n">
        <f aca="false">IF(A14="","",Settings!$B$2)</f>
        <v>16</v>
      </c>
      <c r="H14" s="9"/>
      <c r="I14" s="12" t="n">
        <f aca="false">IF(A14="","",IF(H14&lt;&gt;"",H14,G14))</f>
        <v>16</v>
      </c>
      <c r="J14" s="13" t="n">
        <f aca="false">IF(A14="","",C14-D14)</f>
        <v>0</v>
      </c>
      <c r="K14" s="16" t="n">
        <f aca="false">IF(A14="","",IFERROR(ROUND(D14/C14*100,2),0))</f>
        <v>0</v>
      </c>
      <c r="L14" s="13" t="n">
        <f aca="false">IF(A14="","",J14-E14-F14)</f>
        <v>0</v>
      </c>
      <c r="M14" s="12" t="n">
        <f aca="false">IF(A14="","",ROUND(J14*I14*(1+Settings!$B$3/100),2))</f>
        <v>0</v>
      </c>
      <c r="N14" s="16" t="n">
        <f aca="false">IF(A14="","",ROUND(K14-Settings!$B$17,2))</f>
        <v>-85</v>
      </c>
    </row>
    <row r="15" customFormat="false" ht="15" hidden="false" customHeight="false" outlineLevel="0" collapsed="false">
      <c r="A15" s="15" t="s">
        <v>119</v>
      </c>
      <c r="B15" s="15" t="s">
        <v>107</v>
      </c>
      <c r="C15" s="17" t="n">
        <v>28</v>
      </c>
      <c r="D15" s="17" t="n">
        <v>22</v>
      </c>
      <c r="E15" s="11" t="n">
        <v>3</v>
      </c>
      <c r="F15" s="11" t="n">
        <v>1</v>
      </c>
      <c r="G15" s="12" t="n">
        <f aca="false">IF(A15="","",Settings!$B$2)</f>
        <v>16</v>
      </c>
      <c r="H15" s="9"/>
      <c r="I15" s="12" t="n">
        <f aca="false">IF(A15="","",IF(H15&lt;&gt;"",H15,G15))</f>
        <v>16</v>
      </c>
      <c r="J15" s="13" t="n">
        <f aca="false">IF(A15="","",C15-D15)</f>
        <v>6</v>
      </c>
      <c r="K15" s="16" t="n">
        <f aca="false">IF(A15="","",IFERROR(ROUND(D15/C15*100,2),0))</f>
        <v>78.57</v>
      </c>
      <c r="L15" s="13" t="n">
        <f aca="false">IF(A15="","",J15-E15-F15)</f>
        <v>2</v>
      </c>
      <c r="M15" s="12" t="n">
        <f aca="false">IF(A15="","",ROUND(J15*I15*(1+Settings!$B$3/100),2))</f>
        <v>117.12</v>
      </c>
      <c r="N15" s="16" t="n">
        <f aca="false">IF(A15="","",ROUND(K15-Settings!$B$17,2))</f>
        <v>-6.43</v>
      </c>
    </row>
    <row r="16" customFormat="false" ht="15" hidden="false" customHeight="false" outlineLevel="0" collapsed="false">
      <c r="A16" s="15" t="s">
        <v>120</v>
      </c>
      <c r="B16" s="15" t="s">
        <v>107</v>
      </c>
      <c r="C16" s="17" t="n">
        <v>36</v>
      </c>
      <c r="D16" s="17" t="n">
        <v>27</v>
      </c>
      <c r="E16" s="11" t="n">
        <v>5</v>
      </c>
      <c r="F16" s="11" t="n">
        <v>2</v>
      </c>
      <c r="G16" s="12" t="n">
        <f aca="false">IF(A16="","",Settings!$B$2)</f>
        <v>16</v>
      </c>
      <c r="H16" s="9"/>
      <c r="I16" s="12" t="n">
        <f aca="false">IF(A16="","",IF(H16&lt;&gt;"",H16,G16))</f>
        <v>16</v>
      </c>
      <c r="J16" s="13" t="n">
        <f aca="false">IF(A16="","",C16-D16)</f>
        <v>9</v>
      </c>
      <c r="K16" s="16" t="n">
        <f aca="false">IF(A16="","",IFERROR(ROUND(D16/C16*100,2),0))</f>
        <v>75</v>
      </c>
      <c r="L16" s="13" t="n">
        <f aca="false">IF(A16="","",J16-E16-F16)</f>
        <v>2</v>
      </c>
      <c r="M16" s="12" t="n">
        <f aca="false">IF(A16="","",ROUND(J16*I16*(1+Settings!$B$3/100),2))</f>
        <v>175.68</v>
      </c>
      <c r="N16" s="16" t="n">
        <f aca="false">IF(A16="","",ROUND(K16-Settings!$B$17,2))</f>
        <v>-10</v>
      </c>
    </row>
    <row r="17" customFormat="false" ht="15" hidden="false" customHeight="false" outlineLevel="0" collapsed="false">
      <c r="A17" s="15"/>
      <c r="B17" s="15"/>
      <c r="C17" s="11"/>
      <c r="D17" s="11"/>
      <c r="E17" s="11"/>
      <c r="F17" s="11"/>
      <c r="G17" s="12" t="str">
        <f aca="false">IF(A17="","",Settings!$B$2)</f>
        <v/>
      </c>
      <c r="H17" s="9"/>
      <c r="I17" s="12" t="str">
        <f aca="false">IF(A17="","",IF(H17&lt;&gt;"",H17,G17))</f>
        <v/>
      </c>
      <c r="J17" s="13" t="str">
        <f aca="false">IF(A17="","",C17-D17)</f>
        <v/>
      </c>
      <c r="K17" s="16" t="str">
        <f aca="false">IF(A17="","",IFERROR(ROUND(D17/C17*100,2),0))</f>
        <v/>
      </c>
      <c r="L17" s="13" t="str">
        <f aca="false">IF(A17="","",J17-E17-F17)</f>
        <v/>
      </c>
      <c r="M17" s="12" t="str">
        <f aca="false">IF(A17="","",ROUND(J17*I17*(1+Settings!$B$3/100),2))</f>
        <v/>
      </c>
      <c r="N17" s="16" t="str">
        <f aca="false">IF(A17="","",ROUND(K17-Settings!$B$17,2))</f>
        <v/>
      </c>
    </row>
    <row r="18" customFormat="false" ht="15" hidden="false" customHeight="false" outlineLevel="0" collapsed="false">
      <c r="A18" s="15"/>
      <c r="B18" s="15"/>
      <c r="C18" s="11"/>
      <c r="D18" s="11"/>
      <c r="E18" s="11"/>
      <c r="F18" s="11"/>
      <c r="G18" s="12" t="str">
        <f aca="false">IF(A18="","",Settings!$B$2)</f>
        <v/>
      </c>
      <c r="H18" s="9"/>
      <c r="I18" s="12" t="str">
        <f aca="false">IF(A18="","",IF(H18&lt;&gt;"",H18,G18))</f>
        <v/>
      </c>
      <c r="J18" s="13" t="str">
        <f aca="false">IF(A18="","",C18-D18)</f>
        <v/>
      </c>
      <c r="K18" s="16" t="str">
        <f aca="false">IF(A18="","",IFERROR(ROUND(D18/C18*100,2),0))</f>
        <v/>
      </c>
      <c r="L18" s="13" t="str">
        <f aca="false">IF(A18="","",J18-E18-F18)</f>
        <v/>
      </c>
      <c r="M18" s="12" t="str">
        <f aca="false">IF(A18="","",ROUND(J18*I18*(1+Settings!$B$3/100),2))</f>
        <v/>
      </c>
      <c r="N18" s="16" t="str">
        <f aca="false">IF(A18="","",ROUND(K18-Settings!$B$17,2))</f>
        <v/>
      </c>
    </row>
    <row r="19" customFormat="false" ht="15" hidden="false" customHeight="false" outlineLevel="0" collapsed="false">
      <c r="A19" s="15"/>
      <c r="B19" s="15"/>
      <c r="C19" s="11"/>
      <c r="D19" s="11"/>
      <c r="E19" s="11"/>
      <c r="F19" s="11"/>
      <c r="G19" s="12" t="str">
        <f aca="false">IF(A19="","",Settings!$B$2)</f>
        <v/>
      </c>
      <c r="H19" s="9"/>
      <c r="I19" s="12" t="str">
        <f aca="false">IF(A19="","",IF(H19&lt;&gt;"",H19,G19))</f>
        <v/>
      </c>
      <c r="J19" s="13" t="str">
        <f aca="false">IF(A19="","",C19-D19)</f>
        <v/>
      </c>
      <c r="K19" s="16" t="str">
        <f aca="false">IF(A19="","",IFERROR(ROUND(D19/C19*100,2),0))</f>
        <v/>
      </c>
      <c r="L19" s="13" t="str">
        <f aca="false">IF(A19="","",J19-E19-F19)</f>
        <v/>
      </c>
      <c r="M19" s="12" t="str">
        <f aca="false">IF(A19="","",ROUND(J19*I19*(1+Settings!$B$3/100),2))</f>
        <v/>
      </c>
      <c r="N19" s="16" t="str">
        <f aca="false">IF(A19="","",ROUND(K19-Settings!$B$17,2))</f>
        <v/>
      </c>
    </row>
    <row r="20" customFormat="false" ht="15" hidden="false" customHeight="false" outlineLevel="0" collapsed="false">
      <c r="A20" s="15"/>
      <c r="B20" s="15"/>
      <c r="C20" s="11"/>
      <c r="D20" s="11"/>
      <c r="E20" s="11"/>
      <c r="F20" s="11"/>
      <c r="G20" s="12" t="str">
        <f aca="false">IF(A20="","",Settings!$B$2)</f>
        <v/>
      </c>
      <c r="H20" s="9"/>
      <c r="I20" s="12" t="str">
        <f aca="false">IF(A20="","",IF(H20&lt;&gt;"",H20,G20))</f>
        <v/>
      </c>
      <c r="J20" s="13" t="str">
        <f aca="false">IF(A20="","",C20-D20)</f>
        <v/>
      </c>
      <c r="K20" s="16" t="str">
        <f aca="false">IF(A20="","",IFERROR(ROUND(D20/C20*100,2),0))</f>
        <v/>
      </c>
      <c r="L20" s="13" t="str">
        <f aca="false">IF(A20="","",J20-E20-F20)</f>
        <v/>
      </c>
      <c r="M20" s="12" t="str">
        <f aca="false">IF(A20="","",ROUND(J20*I20*(1+Settings!$B$3/100),2))</f>
        <v/>
      </c>
      <c r="N20" s="16" t="str">
        <f aca="false">IF(A20="","",ROUND(K20-Settings!$B$17,2))</f>
        <v/>
      </c>
    </row>
    <row r="21" customFormat="false" ht="15" hidden="false" customHeight="false" outlineLevel="0" collapsed="false">
      <c r="A21" s="15"/>
      <c r="B21" s="15"/>
      <c r="C21" s="11"/>
      <c r="D21" s="11"/>
      <c r="E21" s="11"/>
      <c r="F21" s="11"/>
      <c r="G21" s="12" t="str">
        <f aca="false">IF(A21="","",Settings!$B$2)</f>
        <v/>
      </c>
      <c r="H21" s="9"/>
      <c r="I21" s="12" t="str">
        <f aca="false">IF(A21="","",IF(H21&lt;&gt;"",H21,G21))</f>
        <v/>
      </c>
      <c r="J21" s="13" t="str">
        <f aca="false">IF(A21="","",C21-D21)</f>
        <v/>
      </c>
      <c r="K21" s="16" t="str">
        <f aca="false">IF(A21="","",IFERROR(ROUND(D21/C21*100,2),0))</f>
        <v/>
      </c>
      <c r="L21" s="13" t="str">
        <f aca="false">IF(A21="","",J21-E21-F21)</f>
        <v/>
      </c>
      <c r="M21" s="12" t="str">
        <f aca="false">IF(A21="","",ROUND(J21*I21*(1+Settings!$B$3/100),2))</f>
        <v/>
      </c>
      <c r="N21" s="16" t="str">
        <f aca="false">IF(A21="","",ROUND(K21-Settings!$B$17,2))</f>
        <v/>
      </c>
    </row>
    <row r="22" customFormat="false" ht="15" hidden="false" customHeight="false" outlineLevel="0" collapsed="false">
      <c r="A22" s="15"/>
      <c r="B22" s="15"/>
      <c r="C22" s="11"/>
      <c r="D22" s="11"/>
      <c r="E22" s="11"/>
      <c r="F22" s="11"/>
      <c r="G22" s="12" t="str">
        <f aca="false">IF(A22="","",Settings!$B$2)</f>
        <v/>
      </c>
      <c r="H22" s="9"/>
      <c r="I22" s="12" t="str">
        <f aca="false">IF(A22="","",IF(H22&lt;&gt;"",H22,G22))</f>
        <v/>
      </c>
      <c r="J22" s="13" t="str">
        <f aca="false">IF(A22="","",C22-D22)</f>
        <v/>
      </c>
      <c r="K22" s="16" t="str">
        <f aca="false">IF(A22="","",IFERROR(ROUND(D22/C22*100,2),0))</f>
        <v/>
      </c>
      <c r="L22" s="13" t="str">
        <f aca="false">IF(A22="","",J22-E22-F22)</f>
        <v/>
      </c>
      <c r="M22" s="12" t="str">
        <f aca="false">IF(A22="","",ROUND(J22*I22*(1+Settings!$B$3/100),2))</f>
        <v/>
      </c>
      <c r="N22" s="16" t="str">
        <f aca="false">IF(A22="","",ROUND(K22-Settings!$B$17,2))</f>
        <v/>
      </c>
    </row>
    <row r="23" customFormat="false" ht="15" hidden="false" customHeight="false" outlineLevel="0" collapsed="false">
      <c r="A23" s="15"/>
      <c r="B23" s="15"/>
      <c r="C23" s="11"/>
      <c r="D23" s="11"/>
      <c r="E23" s="11"/>
      <c r="F23" s="11"/>
      <c r="G23" s="12" t="str">
        <f aca="false">IF(A23="","",Settings!$B$2)</f>
        <v/>
      </c>
      <c r="H23" s="9"/>
      <c r="I23" s="12" t="str">
        <f aca="false">IF(A23="","",IF(H23&lt;&gt;"",H23,G23))</f>
        <v/>
      </c>
      <c r="J23" s="13" t="str">
        <f aca="false">IF(A23="","",C23-D23)</f>
        <v/>
      </c>
      <c r="K23" s="16" t="str">
        <f aca="false">IF(A23="","",IFERROR(ROUND(D23/C23*100,2),0))</f>
        <v/>
      </c>
      <c r="L23" s="13" t="str">
        <f aca="false">IF(A23="","",J23-E23-F23)</f>
        <v/>
      </c>
      <c r="M23" s="12" t="str">
        <f aca="false">IF(A23="","",ROUND(J23*I23*(1+Settings!$B$3/100),2))</f>
        <v/>
      </c>
      <c r="N23" s="16" t="str">
        <f aca="false">IF(A23="","",ROUND(K23-Settings!$B$17,2))</f>
        <v/>
      </c>
    </row>
    <row r="24" customFormat="false" ht="15" hidden="false" customHeight="false" outlineLevel="0" collapsed="false">
      <c r="A24" s="15"/>
      <c r="B24" s="15"/>
      <c r="C24" s="11"/>
      <c r="D24" s="11"/>
      <c r="E24" s="11"/>
      <c r="F24" s="11"/>
      <c r="G24" s="12" t="str">
        <f aca="false">IF(A24="","",Settings!$B$2)</f>
        <v/>
      </c>
      <c r="H24" s="9"/>
      <c r="I24" s="12" t="str">
        <f aca="false">IF(A24="","",IF(H24&lt;&gt;"",H24,G24))</f>
        <v/>
      </c>
      <c r="J24" s="13" t="str">
        <f aca="false">IF(A24="","",C24-D24)</f>
        <v/>
      </c>
      <c r="K24" s="16" t="str">
        <f aca="false">IF(A24="","",IFERROR(ROUND(D24/C24*100,2),0))</f>
        <v/>
      </c>
      <c r="L24" s="13" t="str">
        <f aca="false">IF(A24="","",J24-E24-F24)</f>
        <v/>
      </c>
      <c r="M24" s="12" t="str">
        <f aca="false">IF(A24="","",ROUND(J24*I24*(1+Settings!$B$3/100),2))</f>
        <v/>
      </c>
      <c r="N24" s="16" t="str">
        <f aca="false">IF(A24="","",ROUND(K24-Settings!$B$17,2))</f>
        <v/>
      </c>
    </row>
    <row r="25" customFormat="false" ht="15" hidden="false" customHeight="false" outlineLevel="0" collapsed="false">
      <c r="A25" s="15"/>
      <c r="B25" s="15"/>
      <c r="C25" s="11"/>
      <c r="D25" s="11"/>
      <c r="E25" s="11"/>
      <c r="F25" s="11"/>
      <c r="G25" s="12" t="str">
        <f aca="false">IF(A25="","",Settings!$B$2)</f>
        <v/>
      </c>
      <c r="H25" s="9"/>
      <c r="I25" s="12" t="str">
        <f aca="false">IF(A25="","",IF(H25&lt;&gt;"",H25,G25))</f>
        <v/>
      </c>
      <c r="J25" s="13" t="str">
        <f aca="false">IF(A25="","",C25-D25)</f>
        <v/>
      </c>
      <c r="K25" s="16" t="str">
        <f aca="false">IF(A25="","",IFERROR(ROUND(D25/C25*100,2),0))</f>
        <v/>
      </c>
      <c r="L25" s="13" t="str">
        <f aca="false">IF(A25="","",J25-E25-F25)</f>
        <v/>
      </c>
      <c r="M25" s="12" t="str">
        <f aca="false">IF(A25="","",ROUND(J25*I25*(1+Settings!$B$3/100),2))</f>
        <v/>
      </c>
      <c r="N25" s="16" t="str">
        <f aca="false">IF(A25="","",ROUND(K25-Settings!$B$17,2))</f>
        <v/>
      </c>
    </row>
    <row r="26" customFormat="false" ht="15" hidden="false" customHeight="false" outlineLevel="0" collapsed="false">
      <c r="A26" s="15"/>
      <c r="B26" s="15"/>
      <c r="C26" s="11"/>
      <c r="D26" s="11"/>
      <c r="E26" s="11"/>
      <c r="F26" s="11"/>
      <c r="G26" s="12" t="str">
        <f aca="false">IF(A26="","",Settings!$B$2)</f>
        <v/>
      </c>
      <c r="H26" s="9"/>
      <c r="I26" s="12" t="str">
        <f aca="false">IF(A26="","",IF(H26&lt;&gt;"",H26,G26))</f>
        <v/>
      </c>
      <c r="J26" s="13" t="str">
        <f aca="false">IF(A26="","",C26-D26)</f>
        <v/>
      </c>
      <c r="K26" s="16" t="str">
        <f aca="false">IF(A26="","",IFERROR(ROUND(D26/C26*100,2),0))</f>
        <v/>
      </c>
      <c r="L26" s="13" t="str">
        <f aca="false">IF(A26="","",J26-E26-F26)</f>
        <v/>
      </c>
      <c r="M26" s="12" t="str">
        <f aca="false">IF(A26="","",ROUND(J26*I26*(1+Settings!$B$3/100),2))</f>
        <v/>
      </c>
      <c r="N26" s="16" t="str">
        <f aca="false">IF(A26="","",ROUND(K26-Settings!$B$17,2))</f>
        <v/>
      </c>
    </row>
    <row r="27" customFormat="false" ht="15" hidden="false" customHeight="false" outlineLevel="0" collapsed="false">
      <c r="A27" s="15"/>
      <c r="B27" s="15"/>
      <c r="C27" s="11"/>
      <c r="D27" s="11"/>
      <c r="E27" s="11"/>
      <c r="F27" s="11"/>
      <c r="G27" s="12" t="str">
        <f aca="false">IF(A27="","",Settings!$B$2)</f>
        <v/>
      </c>
      <c r="H27" s="9"/>
      <c r="I27" s="12" t="str">
        <f aca="false">IF(A27="","",IF(H27&lt;&gt;"",H27,G27))</f>
        <v/>
      </c>
      <c r="J27" s="13" t="str">
        <f aca="false">IF(A27="","",C27-D27)</f>
        <v/>
      </c>
      <c r="K27" s="16" t="str">
        <f aca="false">IF(A27="","",IFERROR(ROUND(D27/C27*100,2),0))</f>
        <v/>
      </c>
      <c r="L27" s="13" t="str">
        <f aca="false">IF(A27="","",J27-E27-F27)</f>
        <v/>
      </c>
      <c r="M27" s="12" t="str">
        <f aca="false">IF(A27="","",ROUND(J27*I27*(1+Settings!$B$3/100),2))</f>
        <v/>
      </c>
      <c r="N27" s="16" t="str">
        <f aca="false">IF(A27="","",ROUND(K27-Settings!$B$17,2))</f>
        <v/>
      </c>
    </row>
    <row r="28" customFormat="false" ht="15" hidden="false" customHeight="false" outlineLevel="0" collapsed="false">
      <c r="A28" s="15"/>
      <c r="B28" s="15"/>
      <c r="C28" s="11"/>
      <c r="D28" s="11"/>
      <c r="E28" s="11"/>
      <c r="F28" s="11"/>
      <c r="G28" s="12" t="str">
        <f aca="false">IF(A28="","",Settings!$B$2)</f>
        <v/>
      </c>
      <c r="H28" s="9"/>
      <c r="I28" s="12" t="str">
        <f aca="false">IF(A28="","",IF(H28&lt;&gt;"",H28,G28))</f>
        <v/>
      </c>
      <c r="J28" s="13" t="str">
        <f aca="false">IF(A28="","",C28-D28)</f>
        <v/>
      </c>
      <c r="K28" s="16" t="str">
        <f aca="false">IF(A28="","",IFERROR(ROUND(D28/C28*100,2),0))</f>
        <v/>
      </c>
      <c r="L28" s="13" t="str">
        <f aca="false">IF(A28="","",J28-E28-F28)</f>
        <v/>
      </c>
      <c r="M28" s="12" t="str">
        <f aca="false">IF(A28="","",ROUND(J28*I28*(1+Settings!$B$3/100),2))</f>
        <v/>
      </c>
      <c r="N28" s="16" t="str">
        <f aca="false">IF(A28="","",ROUND(K28-Settings!$B$17,2))</f>
        <v/>
      </c>
    </row>
    <row r="29" customFormat="false" ht="15" hidden="false" customHeight="false" outlineLevel="0" collapsed="false">
      <c r="A29" s="15"/>
      <c r="B29" s="15"/>
      <c r="C29" s="11"/>
      <c r="D29" s="11"/>
      <c r="E29" s="11"/>
      <c r="F29" s="11"/>
      <c r="G29" s="12" t="str">
        <f aca="false">IF(A29="","",Settings!$B$2)</f>
        <v/>
      </c>
      <c r="H29" s="9"/>
      <c r="I29" s="12" t="str">
        <f aca="false">IF(A29="","",IF(H29&lt;&gt;"",H29,G29))</f>
        <v/>
      </c>
      <c r="J29" s="13" t="str">
        <f aca="false">IF(A29="","",C29-D29)</f>
        <v/>
      </c>
      <c r="K29" s="16" t="str">
        <f aca="false">IF(A29="","",IFERROR(ROUND(D29/C29*100,2),0))</f>
        <v/>
      </c>
      <c r="L29" s="13" t="str">
        <f aca="false">IF(A29="","",J29-E29-F29)</f>
        <v/>
      </c>
      <c r="M29" s="12" t="str">
        <f aca="false">IF(A29="","",ROUND(J29*I29*(1+Settings!$B$3/100),2))</f>
        <v/>
      </c>
      <c r="N29" s="16" t="str">
        <f aca="false">IF(A29="","",ROUND(K29-Settings!$B$17,2))</f>
        <v/>
      </c>
    </row>
    <row r="30" customFormat="false" ht="15" hidden="false" customHeight="false" outlineLevel="0" collapsed="false">
      <c r="A30" s="15"/>
      <c r="B30" s="15"/>
      <c r="C30" s="11"/>
      <c r="D30" s="11"/>
      <c r="E30" s="11"/>
      <c r="F30" s="11"/>
      <c r="G30" s="12" t="str">
        <f aca="false">IF(A30="","",Settings!$B$2)</f>
        <v/>
      </c>
      <c r="H30" s="9"/>
      <c r="I30" s="12" t="str">
        <f aca="false">IF(A30="","",IF(H30&lt;&gt;"",H30,G30))</f>
        <v/>
      </c>
      <c r="J30" s="13" t="str">
        <f aca="false">IF(A30="","",C30-D30)</f>
        <v/>
      </c>
      <c r="K30" s="16" t="str">
        <f aca="false">IF(A30="","",IFERROR(ROUND(D30/C30*100,2),0))</f>
        <v/>
      </c>
      <c r="L30" s="13" t="str">
        <f aca="false">IF(A30="","",J30-E30-F30)</f>
        <v/>
      </c>
      <c r="M30" s="12" t="str">
        <f aca="false">IF(A30="","",ROUND(J30*I30*(1+Settings!$B$3/100),2))</f>
        <v/>
      </c>
      <c r="N30" s="16" t="str">
        <f aca="false">IF(A30="","",ROUND(K30-Settings!$B$17,2))</f>
        <v/>
      </c>
    </row>
    <row r="31" customFormat="false" ht="15" hidden="false" customHeight="false" outlineLevel="0" collapsed="false">
      <c r="A31" s="15"/>
      <c r="B31" s="15"/>
      <c r="C31" s="11"/>
      <c r="D31" s="11"/>
      <c r="E31" s="11"/>
      <c r="F31" s="11"/>
      <c r="G31" s="12" t="str">
        <f aca="false">IF(A31="","",Settings!$B$2)</f>
        <v/>
      </c>
      <c r="H31" s="9"/>
      <c r="I31" s="12" t="str">
        <f aca="false">IF(A31="","",IF(H31&lt;&gt;"",H31,G31))</f>
        <v/>
      </c>
      <c r="J31" s="13" t="str">
        <f aca="false">IF(A31="","",C31-D31)</f>
        <v/>
      </c>
      <c r="K31" s="16" t="str">
        <f aca="false">IF(A31="","",IFERROR(ROUND(D31/C31*100,2),0))</f>
        <v/>
      </c>
      <c r="L31" s="13" t="str">
        <f aca="false">IF(A31="","",J31-E31-F31)</f>
        <v/>
      </c>
      <c r="M31" s="12" t="str">
        <f aca="false">IF(A31="","",ROUND(J31*I31*(1+Settings!$B$3/100),2))</f>
        <v/>
      </c>
      <c r="N31" s="16" t="str">
        <f aca="false">IF(A31="","",ROUND(K31-Settings!$B$17,2))</f>
        <v/>
      </c>
    </row>
    <row r="32" customFormat="false" ht="15" hidden="false" customHeight="false" outlineLevel="0" collapsed="false">
      <c r="A32" s="15"/>
      <c r="B32" s="15"/>
      <c r="C32" s="11"/>
      <c r="D32" s="11"/>
      <c r="E32" s="11"/>
      <c r="F32" s="11"/>
      <c r="G32" s="12" t="str">
        <f aca="false">IF(A32="","",Settings!$B$2)</f>
        <v/>
      </c>
      <c r="H32" s="9"/>
      <c r="I32" s="12" t="str">
        <f aca="false">IF(A32="","",IF(H32&lt;&gt;"",H32,G32))</f>
        <v/>
      </c>
      <c r="J32" s="13" t="str">
        <f aca="false">IF(A32="","",C32-D32)</f>
        <v/>
      </c>
      <c r="K32" s="16" t="str">
        <f aca="false">IF(A32="","",IFERROR(ROUND(D32/C32*100,2),0))</f>
        <v/>
      </c>
      <c r="L32" s="13" t="str">
        <f aca="false">IF(A32="","",J32-E32-F32)</f>
        <v/>
      </c>
      <c r="M32" s="12" t="str">
        <f aca="false">IF(A32="","",ROUND(J32*I32*(1+Settings!$B$3/100),2))</f>
        <v/>
      </c>
      <c r="N32" s="16" t="str">
        <f aca="false">IF(A32="","",ROUND(K32-Settings!$B$17,2))</f>
        <v/>
      </c>
    </row>
    <row r="33" customFormat="false" ht="15" hidden="false" customHeight="false" outlineLevel="0" collapsed="false">
      <c r="A33" s="15"/>
      <c r="B33" s="15"/>
      <c r="C33" s="11"/>
      <c r="D33" s="11"/>
      <c r="E33" s="11"/>
      <c r="F33" s="11"/>
      <c r="G33" s="12" t="str">
        <f aca="false">IF(A33="","",Settings!$B$2)</f>
        <v/>
      </c>
      <c r="H33" s="9"/>
      <c r="I33" s="12" t="str">
        <f aca="false">IF(A33="","",IF(H33&lt;&gt;"",H33,G33))</f>
        <v/>
      </c>
      <c r="J33" s="13" t="str">
        <f aca="false">IF(A33="","",C33-D33)</f>
        <v/>
      </c>
      <c r="K33" s="16" t="str">
        <f aca="false">IF(A33="","",IFERROR(ROUND(D33/C33*100,2),0))</f>
        <v/>
      </c>
      <c r="L33" s="13" t="str">
        <f aca="false">IF(A33="","",J33-E33-F33)</f>
        <v/>
      </c>
      <c r="M33" s="12" t="str">
        <f aca="false">IF(A33="","",ROUND(J33*I33*(1+Settings!$B$3/100),2))</f>
        <v/>
      </c>
      <c r="N33" s="16" t="str">
        <f aca="false">IF(A33="","",ROUND(K33-Settings!$B$17,2))</f>
        <v/>
      </c>
    </row>
    <row r="34" customFormat="false" ht="15" hidden="false" customHeight="false" outlineLevel="0" collapsed="false">
      <c r="A34" s="15"/>
      <c r="B34" s="15"/>
      <c r="C34" s="11"/>
      <c r="D34" s="11"/>
      <c r="E34" s="11"/>
      <c r="F34" s="11"/>
      <c r="G34" s="12" t="str">
        <f aca="false">IF(A34="","",Settings!$B$2)</f>
        <v/>
      </c>
      <c r="H34" s="9"/>
      <c r="I34" s="12" t="str">
        <f aca="false">IF(A34="","",IF(H34&lt;&gt;"",H34,G34))</f>
        <v/>
      </c>
      <c r="J34" s="13" t="str">
        <f aca="false">IF(A34="","",C34-D34)</f>
        <v/>
      </c>
      <c r="K34" s="16" t="str">
        <f aca="false">IF(A34="","",IFERROR(ROUND(D34/C34*100,2),0))</f>
        <v/>
      </c>
      <c r="L34" s="13" t="str">
        <f aca="false">IF(A34="","",J34-E34-F34)</f>
        <v/>
      </c>
      <c r="M34" s="12" t="str">
        <f aca="false">IF(A34="","",ROUND(J34*I34*(1+Settings!$B$3/100),2))</f>
        <v/>
      </c>
      <c r="N34" s="16" t="str">
        <f aca="false">IF(A34="","",ROUND(K34-Settings!$B$17,2))</f>
        <v/>
      </c>
    </row>
    <row r="35" customFormat="false" ht="15" hidden="false" customHeight="false" outlineLevel="0" collapsed="false">
      <c r="A35" s="5" t="s">
        <v>121</v>
      </c>
      <c r="B35" s="18" t="n">
        <f aca="false">COUNTIF($B$5:$B$34,"active")</f>
        <v>10</v>
      </c>
      <c r="C35" s="19" t="n">
        <f aca="false">SUMIF($B$5:$B$34,"active",C5:C34)</f>
        <v>337</v>
      </c>
      <c r="D35" s="19" t="n">
        <f aca="false">SUMIF($B$5:$B$34,"active",D5:D34)</f>
        <v>276</v>
      </c>
      <c r="E35" s="19" t="n">
        <f aca="false">SUMIF($B$5:$B$34,"active",E5:E34)</f>
        <v>35</v>
      </c>
      <c r="F35" s="19" t="n">
        <f aca="false">SUMIF($B$5:$B$34,"active",F5:F34)</f>
        <v>9</v>
      </c>
      <c r="J35" s="19" t="n">
        <f aca="false">SUMIF($B$5:$B$34,"active",J5:J34)</f>
        <v>61</v>
      </c>
      <c r="K35" s="20" t="n">
        <f aca="false">IFERROR(ROUND(D35/C35*100,2),0)</f>
        <v>81.9</v>
      </c>
      <c r="L35" s="19" t="n">
        <f aca="false">SUMIF($B$5:$B$34,"active",L5:L34)</f>
        <v>17</v>
      </c>
      <c r="M35" s="10" t="n">
        <f aca="false">SUMIF($B$5:$B$34,"active",M5:M34)</f>
        <v>1205.36</v>
      </c>
      <c r="N35" s="20" t="n">
        <f aca="false">ROUND(K35-Settings!$B$17,2)</f>
        <v>-3.1</v>
      </c>
    </row>
  </sheetData>
  <dataValidations count="1">
    <dataValidation allowBlank="true" errorStyle="stop" operator="between" showDropDown="false" showErrorMessage="false" showInputMessage="false" sqref="B5:B34" type="list">
      <formula1>"active,on leave,left"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16"/>
    <col collapsed="false" customWidth="true" hidden="false" outlineLevel="0" max="8" min="3" style="1" width="10"/>
    <col collapsed="false" customWidth="true" hidden="false" outlineLevel="0" max="9" min="9" style="1" width="9"/>
    <col collapsed="false" customWidth="true" hidden="false" outlineLevel="0" max="12" min="10" style="1" width="10"/>
    <col collapsed="false" customWidth="true" hidden="false" outlineLevel="0" max="13" min="13" style="1" width="12"/>
    <col collapsed="false" customWidth="true" hidden="false" outlineLevel="0" max="16" min="14" style="1" width="11"/>
    <col collapsed="false" customWidth="true" hidden="false" outlineLevel="0" max="18" min="17" style="1" width="12"/>
    <col collapsed="false" customWidth="true" hidden="false" outlineLevel="0" max="19" min="19" style="1" width="11"/>
  </cols>
  <sheetData>
    <row r="1" customFormat="false" ht="17.35" hidden="false" customHeight="false" outlineLevel="0" collapsed="false">
      <c r="A1" s="2" t="s">
        <v>122</v>
      </c>
    </row>
    <row r="2" customFormat="false" ht="15" hidden="false" customHeight="false" outlineLevel="0" collapsed="false">
      <c r="A2" s="3" t="s">
        <v>123</v>
      </c>
    </row>
    <row r="4" customFormat="false" ht="52.2" hidden="false" customHeight="false" outlineLevel="0" collapsed="false">
      <c r="A4" s="14" t="s">
        <v>124</v>
      </c>
      <c r="B4" s="14" t="s">
        <v>73</v>
      </c>
      <c r="C4" s="14" t="s">
        <v>125</v>
      </c>
      <c r="D4" s="14" t="s">
        <v>126</v>
      </c>
      <c r="E4" s="14" t="s">
        <v>127</v>
      </c>
      <c r="F4" s="14" t="s">
        <v>128</v>
      </c>
      <c r="G4" s="14" t="s">
        <v>129</v>
      </c>
      <c r="H4" s="14" t="s">
        <v>130</v>
      </c>
      <c r="I4" s="14" t="s">
        <v>131</v>
      </c>
      <c r="J4" s="14" t="s">
        <v>96</v>
      </c>
      <c r="K4" s="14" t="s">
        <v>132</v>
      </c>
      <c r="L4" s="14" t="s">
        <v>133</v>
      </c>
      <c r="M4" s="14" t="s">
        <v>134</v>
      </c>
      <c r="N4" s="14" t="s">
        <v>135</v>
      </c>
      <c r="O4" s="14" t="s">
        <v>136</v>
      </c>
      <c r="P4" s="14" t="s">
        <v>137</v>
      </c>
      <c r="Q4" s="14" t="s">
        <v>138</v>
      </c>
      <c r="R4" s="14" t="s">
        <v>139</v>
      </c>
      <c r="S4" s="14" t="s">
        <v>140</v>
      </c>
    </row>
    <row r="5" customFormat="false" ht="15" hidden="false" customHeight="false" outlineLevel="0" collapsed="false">
      <c r="A5" s="15" t="s">
        <v>141</v>
      </c>
      <c r="B5" s="15" t="s">
        <v>88</v>
      </c>
      <c r="C5" s="17" t="n">
        <v>40</v>
      </c>
      <c r="D5" s="11" t="n">
        <v>8</v>
      </c>
      <c r="E5" s="11" t="n">
        <v>0</v>
      </c>
      <c r="F5" s="11" t="n">
        <v>30</v>
      </c>
      <c r="G5" s="13" t="n">
        <f aca="false">IF(A5="","",Settings!$B$18)</f>
        <v>4</v>
      </c>
      <c r="H5" s="11"/>
      <c r="I5" s="13" t="n">
        <f aca="false">IF(A5="","",IF(H5&lt;&gt;"",H5,G5))</f>
        <v>4</v>
      </c>
      <c r="J5" s="15" t="s">
        <v>107</v>
      </c>
      <c r="K5" s="12" t="n">
        <f aca="false">IF(A5="","",IFERROR(INDEX('Service Rates'!$O$5:$O$14,MATCH(B5,'Service Rates'!$A$5:$A$14,0)),Settings!$B$24))</f>
        <v>37.09</v>
      </c>
      <c r="L5" s="13" t="n">
        <f aca="false">IF(A5="","",MAX(0,C5-D5-E5))</f>
        <v>32</v>
      </c>
      <c r="M5" s="12" t="n">
        <f aca="false">IF(A5="","",ROUND(L5*K5,2))</f>
        <v>1186.88</v>
      </c>
      <c r="N5" s="12" t="n">
        <f aca="false">IF(A5="","",ROUND(D5*K5*(1+Settings!$B$13/100),2))</f>
        <v>341.23</v>
      </c>
      <c r="O5" s="12" t="n">
        <f aca="false">IF(A5="","",ROUND(E5*Settings!$B$14,2))</f>
        <v>0</v>
      </c>
      <c r="P5" s="12" t="n">
        <f aca="false">IF(A5="","",ROUND(F5*Settings!$B$15,2))</f>
        <v>15</v>
      </c>
      <c r="Q5" s="12" t="n">
        <f aca="false">IF(A5="","",ROUND(M5+N5+O5+P5,2))</f>
        <v>1543.11</v>
      </c>
      <c r="R5" s="12" t="n">
        <f aca="false">IF(A5="","",ROUND(Q5*I5,2))</f>
        <v>6172.44</v>
      </c>
      <c r="S5" s="12" t="n">
        <f aca="false">IF(A5="","",IFERROR(ROUND(Q5/C5,2),0))</f>
        <v>38.58</v>
      </c>
    </row>
    <row r="6" customFormat="false" ht="15" hidden="false" customHeight="false" outlineLevel="0" collapsed="false">
      <c r="A6" s="15" t="s">
        <v>142</v>
      </c>
      <c r="B6" s="15" t="s">
        <v>89</v>
      </c>
      <c r="C6" s="17" t="n">
        <v>56</v>
      </c>
      <c r="D6" s="11" t="n">
        <v>16</v>
      </c>
      <c r="E6" s="11" t="n">
        <v>0</v>
      </c>
      <c r="F6" s="11" t="n">
        <v>20</v>
      </c>
      <c r="G6" s="13" t="n">
        <f aca="false">IF(A6="","",Settings!$B$18)</f>
        <v>4</v>
      </c>
      <c r="H6" s="11"/>
      <c r="I6" s="13" t="n">
        <f aca="false">IF(A6="","",IF(H6&lt;&gt;"",H6,G6))</f>
        <v>4</v>
      </c>
      <c r="J6" s="15" t="s">
        <v>107</v>
      </c>
      <c r="K6" s="12" t="n">
        <f aca="false">IF(A6="","",IFERROR(INDEX('Service Rates'!$O$5:$O$14,MATCH(B6,'Service Rates'!$A$5:$A$14,0)),Settings!$B$24))</f>
        <v>42.38</v>
      </c>
      <c r="L6" s="13" t="n">
        <f aca="false">IF(A6="","",MAX(0,C6-D6-E6))</f>
        <v>40</v>
      </c>
      <c r="M6" s="12" t="n">
        <f aca="false">IF(A6="","",ROUND(L6*K6,2))</f>
        <v>1695.2</v>
      </c>
      <c r="N6" s="12" t="n">
        <f aca="false">IF(A6="","",ROUND(D6*K6*(1+Settings!$B$13/100),2))</f>
        <v>779.79</v>
      </c>
      <c r="O6" s="12" t="n">
        <f aca="false">IF(A6="","",ROUND(E6*Settings!$B$14,2))</f>
        <v>0</v>
      </c>
      <c r="P6" s="12" t="n">
        <f aca="false">IF(A6="","",ROUND(F6*Settings!$B$15,2))</f>
        <v>10</v>
      </c>
      <c r="Q6" s="12" t="n">
        <f aca="false">IF(A6="","",ROUND(M6+N6+O6+P6,2))</f>
        <v>2484.99</v>
      </c>
      <c r="R6" s="12" t="n">
        <f aca="false">IF(A6="","",ROUND(Q6*I6,2))</f>
        <v>9939.96</v>
      </c>
      <c r="S6" s="12" t="n">
        <f aca="false">IF(A6="","",IFERROR(ROUND(Q6/C6,2),0))</f>
        <v>44.37</v>
      </c>
    </row>
    <row r="7" customFormat="false" ht="15" hidden="false" customHeight="false" outlineLevel="0" collapsed="false">
      <c r="A7" s="15" t="s">
        <v>143</v>
      </c>
      <c r="B7" s="15" t="s">
        <v>87</v>
      </c>
      <c r="C7" s="17" t="n">
        <v>20</v>
      </c>
      <c r="D7" s="11" t="n">
        <v>4</v>
      </c>
      <c r="E7" s="11" t="n">
        <v>0</v>
      </c>
      <c r="F7" s="11" t="n">
        <v>40</v>
      </c>
      <c r="G7" s="13" t="n">
        <f aca="false">IF(A7="","",Settings!$B$18)</f>
        <v>4</v>
      </c>
      <c r="H7" s="11"/>
      <c r="I7" s="13" t="n">
        <f aca="false">IF(A7="","",IF(H7&lt;&gt;"",H7,G7))</f>
        <v>4</v>
      </c>
      <c r="J7" s="15" t="s">
        <v>107</v>
      </c>
      <c r="K7" s="12" t="n">
        <f aca="false">IF(A7="","",IFERROR(INDEX('Service Rates'!$O$5:$O$14,MATCH(B7,'Service Rates'!$A$5:$A$14,0)),Settings!$B$24))</f>
        <v>35.31</v>
      </c>
      <c r="L7" s="13" t="n">
        <f aca="false">IF(A7="","",MAX(0,C7-D7-E7))</f>
        <v>16</v>
      </c>
      <c r="M7" s="12" t="n">
        <f aca="false">IF(A7="","",ROUND(L7*K7,2))</f>
        <v>564.96</v>
      </c>
      <c r="N7" s="12" t="n">
        <f aca="false">IF(A7="","",ROUND(D7*K7*(1+Settings!$B$13/100),2))</f>
        <v>162.43</v>
      </c>
      <c r="O7" s="12" t="n">
        <f aca="false">IF(A7="","",ROUND(E7*Settings!$B$14,2))</f>
        <v>0</v>
      </c>
      <c r="P7" s="12" t="n">
        <f aca="false">IF(A7="","",ROUND(F7*Settings!$B$15,2))</f>
        <v>20</v>
      </c>
      <c r="Q7" s="12" t="n">
        <f aca="false">IF(A7="","",ROUND(M7+N7+O7+P7,2))</f>
        <v>747.39</v>
      </c>
      <c r="R7" s="12" t="n">
        <f aca="false">IF(A7="","",ROUND(Q7*I7,2))</f>
        <v>2989.56</v>
      </c>
      <c r="S7" s="12" t="n">
        <f aca="false">IF(A7="","",IFERROR(ROUND(Q7/C7,2),0))</f>
        <v>37.37</v>
      </c>
    </row>
    <row r="8" customFormat="false" ht="15" hidden="false" customHeight="false" outlineLevel="0" collapsed="false">
      <c r="A8" s="15" t="s">
        <v>144</v>
      </c>
      <c r="B8" s="15" t="s">
        <v>90</v>
      </c>
      <c r="C8" s="17" t="n">
        <v>12</v>
      </c>
      <c r="D8" s="11" t="n">
        <v>6</v>
      </c>
      <c r="E8" s="11" t="n">
        <v>0</v>
      </c>
      <c r="F8" s="11" t="n">
        <v>10</v>
      </c>
      <c r="G8" s="13" t="n">
        <f aca="false">IF(A8="","",Settings!$B$18)</f>
        <v>4</v>
      </c>
      <c r="H8" s="11" t="n">
        <v>6</v>
      </c>
      <c r="I8" s="13" t="n">
        <f aca="false">IF(A8="","",IF(H8&lt;&gt;"",H8,G8))</f>
        <v>6</v>
      </c>
      <c r="J8" s="15" t="s">
        <v>107</v>
      </c>
      <c r="K8" s="12" t="n">
        <f aca="false">IF(A8="","",IFERROR(INDEX('Service Rates'!$O$5:$O$14,MATCH(B8,'Service Rates'!$A$5:$A$14,0)),Settings!$B$24))</f>
        <v>37.09</v>
      </c>
      <c r="L8" s="13" t="n">
        <f aca="false">IF(A8="","",MAX(0,C8-D8-E8))</f>
        <v>6</v>
      </c>
      <c r="M8" s="12" t="n">
        <f aca="false">IF(A8="","",ROUND(L8*K8,2))</f>
        <v>222.54</v>
      </c>
      <c r="N8" s="12" t="n">
        <f aca="false">IF(A8="","",ROUND(D8*K8*(1+Settings!$B$13/100),2))</f>
        <v>255.92</v>
      </c>
      <c r="O8" s="12" t="n">
        <f aca="false">IF(A8="","",ROUND(E8*Settings!$B$14,2))</f>
        <v>0</v>
      </c>
      <c r="P8" s="12" t="n">
        <f aca="false">IF(A8="","",ROUND(F8*Settings!$B$15,2))</f>
        <v>5</v>
      </c>
      <c r="Q8" s="12" t="n">
        <f aca="false">IF(A8="","",ROUND(M8+N8+O8+P8,2))</f>
        <v>483.46</v>
      </c>
      <c r="R8" s="12" t="n">
        <f aca="false">IF(A8="","",ROUND(Q8*I8,2))</f>
        <v>2900.76</v>
      </c>
      <c r="S8" s="12" t="n">
        <f aca="false">IF(A8="","",IFERROR(ROUND(Q8/C8,2),0))</f>
        <v>40.29</v>
      </c>
    </row>
    <row r="9" customFormat="false" ht="15" hidden="false" customHeight="false" outlineLevel="0" collapsed="false">
      <c r="A9" s="15" t="s">
        <v>145</v>
      </c>
      <c r="B9" s="15" t="s">
        <v>91</v>
      </c>
      <c r="C9" s="17" t="n">
        <v>84</v>
      </c>
      <c r="D9" s="11" t="n">
        <v>24</v>
      </c>
      <c r="E9" s="11" t="n">
        <v>0</v>
      </c>
      <c r="F9" s="11" t="n">
        <v>0</v>
      </c>
      <c r="G9" s="13" t="n">
        <f aca="false">IF(A9="","",Settings!$B$18)</f>
        <v>4</v>
      </c>
      <c r="H9" s="11"/>
      <c r="I9" s="13" t="n">
        <f aca="false">IF(A9="","",IF(H9&lt;&gt;"",H9,G9))</f>
        <v>4</v>
      </c>
      <c r="J9" s="15" t="s">
        <v>107</v>
      </c>
      <c r="K9" s="12" t="n">
        <f aca="false">IF(A9="","",IFERROR(INDEX('Service Rates'!$O$5:$O$14,MATCH(B9,'Service Rates'!$A$5:$A$14,0)),Settings!$B$24))</f>
        <v>33.52</v>
      </c>
      <c r="L9" s="13" t="n">
        <f aca="false">IF(A9="","",MAX(0,C9-D9-E9))</f>
        <v>60</v>
      </c>
      <c r="M9" s="12" t="n">
        <f aca="false">IF(A9="","",ROUND(L9*K9,2))</f>
        <v>2011.2</v>
      </c>
      <c r="N9" s="12" t="n">
        <f aca="false">IF(A9="","",ROUND(D9*K9*(1+Settings!$B$13/100),2))</f>
        <v>925.15</v>
      </c>
      <c r="O9" s="12" t="n">
        <f aca="false">IF(A9="","",ROUND(E9*Settings!$B$14,2))</f>
        <v>0</v>
      </c>
      <c r="P9" s="12" t="n">
        <f aca="false">IF(A9="","",ROUND(F9*Settings!$B$15,2))</f>
        <v>0</v>
      </c>
      <c r="Q9" s="12" t="n">
        <f aca="false">IF(A9="","",ROUND(M9+N9+O9+P9,2))</f>
        <v>2936.35</v>
      </c>
      <c r="R9" s="12" t="n">
        <f aca="false">IF(A9="","",ROUND(Q9*I9,2))</f>
        <v>11745.4</v>
      </c>
      <c r="S9" s="12" t="n">
        <f aca="false">IF(A9="","",IFERROR(ROUND(Q9/C9,2),0))</f>
        <v>34.96</v>
      </c>
    </row>
    <row r="10" customFormat="false" ht="15" hidden="false" customHeight="false" outlineLevel="0" collapsed="false">
      <c r="A10" s="15" t="s">
        <v>146</v>
      </c>
      <c r="B10" s="15" t="s">
        <v>88</v>
      </c>
      <c r="C10" s="17" t="n">
        <v>30</v>
      </c>
      <c r="D10" s="11" t="n">
        <v>0</v>
      </c>
      <c r="E10" s="11" t="n">
        <v>8</v>
      </c>
      <c r="F10" s="11" t="n">
        <v>15</v>
      </c>
      <c r="G10" s="13" t="n">
        <f aca="false">IF(A10="","",Settings!$B$18)</f>
        <v>4</v>
      </c>
      <c r="H10" s="11"/>
      <c r="I10" s="13" t="n">
        <f aca="false">IF(A10="","",IF(H10&lt;&gt;"",H10,G10))</f>
        <v>4</v>
      </c>
      <c r="J10" s="15" t="s">
        <v>107</v>
      </c>
      <c r="K10" s="12" t="n">
        <f aca="false">IF(A10="","",IFERROR(INDEX('Service Rates'!$O$5:$O$14,MATCH(B10,'Service Rates'!$A$5:$A$14,0)),Settings!$B$24))</f>
        <v>37.09</v>
      </c>
      <c r="L10" s="13" t="n">
        <f aca="false">IF(A10="","",MAX(0,C10-D10-E10))</f>
        <v>22</v>
      </c>
      <c r="M10" s="12" t="n">
        <f aca="false">IF(A10="","",ROUND(L10*K10,2))</f>
        <v>815.98</v>
      </c>
      <c r="N10" s="12" t="n">
        <f aca="false">IF(A10="","",ROUND(D10*K10*(1+Settings!$B$13/100),2))</f>
        <v>0</v>
      </c>
      <c r="O10" s="12" t="n">
        <f aca="false">IF(A10="","",ROUND(E10*Settings!$B$14,2))</f>
        <v>160</v>
      </c>
      <c r="P10" s="12" t="n">
        <f aca="false">IF(A10="","",ROUND(F10*Settings!$B$15,2))</f>
        <v>7.5</v>
      </c>
      <c r="Q10" s="12" t="n">
        <f aca="false">IF(A10="","",ROUND(M10+N10+O10+P10,2))</f>
        <v>983.48</v>
      </c>
      <c r="R10" s="12" t="n">
        <f aca="false">IF(A10="","",ROUND(Q10*I10,2))</f>
        <v>3933.92</v>
      </c>
      <c r="S10" s="12" t="n">
        <f aca="false">IF(A10="","",IFERROR(ROUND(Q10/C10,2),0))</f>
        <v>32.78</v>
      </c>
    </row>
    <row r="11" customFormat="false" ht="15" hidden="false" customHeight="false" outlineLevel="0" collapsed="false">
      <c r="A11" s="15" t="s">
        <v>147</v>
      </c>
      <c r="B11" s="15" t="s">
        <v>87</v>
      </c>
      <c r="C11" s="17" t="n">
        <v>15</v>
      </c>
      <c r="D11" s="11" t="n">
        <v>0</v>
      </c>
      <c r="E11" s="11" t="n">
        <v>0</v>
      </c>
      <c r="F11" s="11" t="n">
        <v>20</v>
      </c>
      <c r="G11" s="13" t="n">
        <f aca="false">IF(A11="","",Settings!$B$18)</f>
        <v>4</v>
      </c>
      <c r="H11" s="11"/>
      <c r="I11" s="13" t="n">
        <f aca="false">IF(A11="","",IF(H11&lt;&gt;"",H11,G11))</f>
        <v>4</v>
      </c>
      <c r="J11" s="15" t="s">
        <v>148</v>
      </c>
      <c r="K11" s="12" t="n">
        <f aca="false">IF(A11="","",IFERROR(INDEX('Service Rates'!$O$5:$O$14,MATCH(B11,'Service Rates'!$A$5:$A$14,0)),Settings!$B$24))</f>
        <v>35.31</v>
      </c>
      <c r="L11" s="13" t="n">
        <f aca="false">IF(A11="","",MAX(0,C11-D11-E11))</f>
        <v>15</v>
      </c>
      <c r="M11" s="12" t="n">
        <f aca="false">IF(A11="","",ROUND(L11*K11,2))</f>
        <v>529.65</v>
      </c>
      <c r="N11" s="12" t="n">
        <f aca="false">IF(A11="","",ROUND(D11*K11*(1+Settings!$B$13/100),2))</f>
        <v>0</v>
      </c>
      <c r="O11" s="12" t="n">
        <f aca="false">IF(A11="","",ROUND(E11*Settings!$B$14,2))</f>
        <v>0</v>
      </c>
      <c r="P11" s="12" t="n">
        <f aca="false">IF(A11="","",ROUND(F11*Settings!$B$15,2))</f>
        <v>10</v>
      </c>
      <c r="Q11" s="12" t="n">
        <f aca="false">IF(A11="","",ROUND(M11+N11+O11+P11,2))</f>
        <v>539.65</v>
      </c>
      <c r="R11" s="12" t="n">
        <f aca="false">IF(A11="","",ROUND(Q11*I11,2))</f>
        <v>2158.6</v>
      </c>
      <c r="S11" s="12" t="n">
        <f aca="false">IF(A11="","",IFERROR(ROUND(Q11/C11,2),0))</f>
        <v>35.98</v>
      </c>
    </row>
    <row r="12" customFormat="false" ht="15" hidden="false" customHeight="false" outlineLevel="0" collapsed="false">
      <c r="A12" s="15" t="s">
        <v>149</v>
      </c>
      <c r="B12" s="15" t="s">
        <v>88</v>
      </c>
      <c r="C12" s="17" t="n">
        <v>25</v>
      </c>
      <c r="D12" s="11" t="n">
        <v>5</v>
      </c>
      <c r="E12" s="11" t="n">
        <v>0</v>
      </c>
      <c r="F12" s="11" t="n">
        <v>25</v>
      </c>
      <c r="G12" s="13" t="n">
        <f aca="false">IF(A12="","",Settings!$B$18)</f>
        <v>4</v>
      </c>
      <c r="H12" s="11"/>
      <c r="I12" s="13" t="n">
        <f aca="false">IF(A12="","",IF(H12&lt;&gt;"",H12,G12))</f>
        <v>4</v>
      </c>
      <c r="J12" s="15" t="s">
        <v>150</v>
      </c>
      <c r="K12" s="12" t="n">
        <f aca="false">IF(A12="","",IFERROR(INDEX('Service Rates'!$O$5:$O$14,MATCH(B12,'Service Rates'!$A$5:$A$14,0)),Settings!$B$24))</f>
        <v>37.09</v>
      </c>
      <c r="L12" s="13" t="n">
        <f aca="false">IF(A12="","",MAX(0,C12-D12-E12))</f>
        <v>20</v>
      </c>
      <c r="M12" s="12" t="n">
        <f aca="false">IF(A12="","",ROUND(L12*K12,2))</f>
        <v>741.8</v>
      </c>
      <c r="N12" s="12" t="n">
        <f aca="false">IF(A12="","",ROUND(D12*K12*(1+Settings!$B$13/100),2))</f>
        <v>213.27</v>
      </c>
      <c r="O12" s="12" t="n">
        <f aca="false">IF(A12="","",ROUND(E12*Settings!$B$14,2))</f>
        <v>0</v>
      </c>
      <c r="P12" s="12" t="n">
        <f aca="false">IF(A12="","",ROUND(F12*Settings!$B$15,2))</f>
        <v>12.5</v>
      </c>
      <c r="Q12" s="12" t="n">
        <f aca="false">IF(A12="","",ROUND(M12+N12+O12+P12,2))</f>
        <v>967.57</v>
      </c>
      <c r="R12" s="12" t="n">
        <f aca="false">IF(A12="","",ROUND(Q12*I12,2))</f>
        <v>3870.28</v>
      </c>
      <c r="S12" s="12" t="n">
        <f aca="false">IF(A12="","",IFERROR(ROUND(Q12/C12,2),0))</f>
        <v>38.7</v>
      </c>
    </row>
    <row r="13" customFormat="false" ht="15" hidden="false" customHeight="false" outlineLevel="0" collapsed="false">
      <c r="A13" s="15"/>
      <c r="B13" s="15"/>
      <c r="C13" s="11"/>
      <c r="D13" s="11"/>
      <c r="E13" s="11"/>
      <c r="F13" s="11"/>
      <c r="G13" s="13" t="str">
        <f aca="false">IF(A13="","",Settings!$B$18)</f>
        <v/>
      </c>
      <c r="H13" s="11"/>
      <c r="I13" s="13" t="str">
        <f aca="false">IF(A13="","",IF(H13&lt;&gt;"",H13,G13))</f>
        <v/>
      </c>
      <c r="J13" s="15"/>
      <c r="K13" s="12" t="str">
        <f aca="false">IF(A13="","",IFERROR(INDEX('Service Rates'!$O$5:$O$14,MATCH(B13,'Service Rates'!$A$5:$A$14,0)),Settings!$B$24))</f>
        <v/>
      </c>
      <c r="L13" s="13" t="str">
        <f aca="false">IF(A13="","",MAX(0,C13-D13-E13))</f>
        <v/>
      </c>
      <c r="M13" s="12" t="str">
        <f aca="false">IF(A13="","",ROUND(L13*K13,2))</f>
        <v/>
      </c>
      <c r="N13" s="12" t="str">
        <f aca="false">IF(A13="","",ROUND(D13*K13*(1+Settings!$B$13/100),2))</f>
        <v/>
      </c>
      <c r="O13" s="12" t="str">
        <f aca="false">IF(A13="","",ROUND(E13*Settings!$B$14,2))</f>
        <v/>
      </c>
      <c r="P13" s="12" t="str">
        <f aca="false">IF(A13="","",ROUND(F13*Settings!$B$15,2))</f>
        <v/>
      </c>
      <c r="Q13" s="12" t="str">
        <f aca="false">IF(A13="","",ROUND(M13+N13+O13+P13,2))</f>
        <v/>
      </c>
      <c r="R13" s="12" t="str">
        <f aca="false">IF(A13="","",ROUND(Q13*I13,2))</f>
        <v/>
      </c>
      <c r="S13" s="12" t="str">
        <f aca="false">IF(A13="","",IFERROR(ROUND(Q13/C13,2),0))</f>
        <v/>
      </c>
    </row>
    <row r="14" customFormat="false" ht="15" hidden="false" customHeight="false" outlineLevel="0" collapsed="false">
      <c r="A14" s="15"/>
      <c r="B14" s="15"/>
      <c r="C14" s="11"/>
      <c r="D14" s="11"/>
      <c r="E14" s="11"/>
      <c r="F14" s="11"/>
      <c r="G14" s="13" t="str">
        <f aca="false">IF(A14="","",Settings!$B$18)</f>
        <v/>
      </c>
      <c r="H14" s="11"/>
      <c r="I14" s="13" t="str">
        <f aca="false">IF(A14="","",IF(H14&lt;&gt;"",H14,G14))</f>
        <v/>
      </c>
      <c r="J14" s="15"/>
      <c r="K14" s="12" t="str">
        <f aca="false">IF(A14="","",IFERROR(INDEX('Service Rates'!$O$5:$O$14,MATCH(B14,'Service Rates'!$A$5:$A$14,0)),Settings!$B$24))</f>
        <v/>
      </c>
      <c r="L14" s="13" t="str">
        <f aca="false">IF(A14="","",MAX(0,C14-D14-E14))</f>
        <v/>
      </c>
      <c r="M14" s="12" t="str">
        <f aca="false">IF(A14="","",ROUND(L14*K14,2))</f>
        <v/>
      </c>
      <c r="N14" s="12" t="str">
        <f aca="false">IF(A14="","",ROUND(D14*K14*(1+Settings!$B$13/100),2))</f>
        <v/>
      </c>
      <c r="O14" s="12" t="str">
        <f aca="false">IF(A14="","",ROUND(E14*Settings!$B$14,2))</f>
        <v/>
      </c>
      <c r="P14" s="12" t="str">
        <f aca="false">IF(A14="","",ROUND(F14*Settings!$B$15,2))</f>
        <v/>
      </c>
      <c r="Q14" s="12" t="str">
        <f aca="false">IF(A14="","",ROUND(M14+N14+O14+P14,2))</f>
        <v/>
      </c>
      <c r="R14" s="12" t="str">
        <f aca="false">IF(A14="","",ROUND(Q14*I14,2))</f>
        <v/>
      </c>
      <c r="S14" s="12" t="str">
        <f aca="false">IF(A14="","",IFERROR(ROUND(Q14/C14,2),0))</f>
        <v/>
      </c>
    </row>
    <row r="15" customFormat="false" ht="15" hidden="false" customHeight="false" outlineLevel="0" collapsed="false">
      <c r="A15" s="15"/>
      <c r="B15" s="15"/>
      <c r="C15" s="11"/>
      <c r="D15" s="11"/>
      <c r="E15" s="11"/>
      <c r="F15" s="11"/>
      <c r="G15" s="13" t="str">
        <f aca="false">IF(A15="","",Settings!$B$18)</f>
        <v/>
      </c>
      <c r="H15" s="11"/>
      <c r="I15" s="13" t="str">
        <f aca="false">IF(A15="","",IF(H15&lt;&gt;"",H15,G15))</f>
        <v/>
      </c>
      <c r="J15" s="15"/>
      <c r="K15" s="12" t="str">
        <f aca="false">IF(A15="","",IFERROR(INDEX('Service Rates'!$O$5:$O$14,MATCH(B15,'Service Rates'!$A$5:$A$14,0)),Settings!$B$24))</f>
        <v/>
      </c>
      <c r="L15" s="13" t="str">
        <f aca="false">IF(A15="","",MAX(0,C15-D15-E15))</f>
        <v/>
      </c>
      <c r="M15" s="12" t="str">
        <f aca="false">IF(A15="","",ROUND(L15*K15,2))</f>
        <v/>
      </c>
      <c r="N15" s="12" t="str">
        <f aca="false">IF(A15="","",ROUND(D15*K15*(1+Settings!$B$13/100),2))</f>
        <v/>
      </c>
      <c r="O15" s="12" t="str">
        <f aca="false">IF(A15="","",ROUND(E15*Settings!$B$14,2))</f>
        <v/>
      </c>
      <c r="P15" s="12" t="str">
        <f aca="false">IF(A15="","",ROUND(F15*Settings!$B$15,2))</f>
        <v/>
      </c>
      <c r="Q15" s="12" t="str">
        <f aca="false">IF(A15="","",ROUND(M15+N15+O15+P15,2))</f>
        <v/>
      </c>
      <c r="R15" s="12" t="str">
        <f aca="false">IF(A15="","",ROUND(Q15*I15,2))</f>
        <v/>
      </c>
      <c r="S15" s="12" t="str">
        <f aca="false">IF(A15="","",IFERROR(ROUND(Q15/C15,2),0))</f>
        <v/>
      </c>
    </row>
    <row r="16" customFormat="false" ht="15" hidden="false" customHeight="false" outlineLevel="0" collapsed="false">
      <c r="A16" s="15"/>
      <c r="B16" s="15"/>
      <c r="C16" s="11"/>
      <c r="D16" s="11"/>
      <c r="E16" s="11"/>
      <c r="F16" s="11"/>
      <c r="G16" s="13" t="str">
        <f aca="false">IF(A16="","",Settings!$B$18)</f>
        <v/>
      </c>
      <c r="H16" s="11"/>
      <c r="I16" s="13" t="str">
        <f aca="false">IF(A16="","",IF(H16&lt;&gt;"",H16,G16))</f>
        <v/>
      </c>
      <c r="J16" s="15"/>
      <c r="K16" s="12" t="str">
        <f aca="false">IF(A16="","",IFERROR(INDEX('Service Rates'!$O$5:$O$14,MATCH(B16,'Service Rates'!$A$5:$A$14,0)),Settings!$B$24))</f>
        <v/>
      </c>
      <c r="L16" s="13" t="str">
        <f aca="false">IF(A16="","",MAX(0,C16-D16-E16))</f>
        <v/>
      </c>
      <c r="M16" s="12" t="str">
        <f aca="false">IF(A16="","",ROUND(L16*K16,2))</f>
        <v/>
      </c>
      <c r="N16" s="12" t="str">
        <f aca="false">IF(A16="","",ROUND(D16*K16*(1+Settings!$B$13/100),2))</f>
        <v/>
      </c>
      <c r="O16" s="12" t="str">
        <f aca="false">IF(A16="","",ROUND(E16*Settings!$B$14,2))</f>
        <v/>
      </c>
      <c r="P16" s="12" t="str">
        <f aca="false">IF(A16="","",ROUND(F16*Settings!$B$15,2))</f>
        <v/>
      </c>
      <c r="Q16" s="12" t="str">
        <f aca="false">IF(A16="","",ROUND(M16+N16+O16+P16,2))</f>
        <v/>
      </c>
      <c r="R16" s="12" t="str">
        <f aca="false">IF(A16="","",ROUND(Q16*I16,2))</f>
        <v/>
      </c>
      <c r="S16" s="12" t="str">
        <f aca="false">IF(A16="","",IFERROR(ROUND(Q16/C16,2),0))</f>
        <v/>
      </c>
    </row>
    <row r="17" customFormat="false" ht="15" hidden="false" customHeight="false" outlineLevel="0" collapsed="false">
      <c r="A17" s="15"/>
      <c r="B17" s="15"/>
      <c r="C17" s="11"/>
      <c r="D17" s="11"/>
      <c r="E17" s="11"/>
      <c r="F17" s="11"/>
      <c r="G17" s="13" t="str">
        <f aca="false">IF(A17="","",Settings!$B$18)</f>
        <v/>
      </c>
      <c r="H17" s="11"/>
      <c r="I17" s="13" t="str">
        <f aca="false">IF(A17="","",IF(H17&lt;&gt;"",H17,G17))</f>
        <v/>
      </c>
      <c r="J17" s="15"/>
      <c r="K17" s="12" t="str">
        <f aca="false">IF(A17="","",IFERROR(INDEX('Service Rates'!$O$5:$O$14,MATCH(B17,'Service Rates'!$A$5:$A$14,0)),Settings!$B$24))</f>
        <v/>
      </c>
      <c r="L17" s="13" t="str">
        <f aca="false">IF(A17="","",MAX(0,C17-D17-E17))</f>
        <v/>
      </c>
      <c r="M17" s="12" t="str">
        <f aca="false">IF(A17="","",ROUND(L17*K17,2))</f>
        <v/>
      </c>
      <c r="N17" s="12" t="str">
        <f aca="false">IF(A17="","",ROUND(D17*K17*(1+Settings!$B$13/100),2))</f>
        <v/>
      </c>
      <c r="O17" s="12" t="str">
        <f aca="false">IF(A17="","",ROUND(E17*Settings!$B$14,2))</f>
        <v/>
      </c>
      <c r="P17" s="12" t="str">
        <f aca="false">IF(A17="","",ROUND(F17*Settings!$B$15,2))</f>
        <v/>
      </c>
      <c r="Q17" s="12" t="str">
        <f aca="false">IF(A17="","",ROUND(M17+N17+O17+P17,2))</f>
        <v/>
      </c>
      <c r="R17" s="12" t="str">
        <f aca="false">IF(A17="","",ROUND(Q17*I17,2))</f>
        <v/>
      </c>
      <c r="S17" s="12" t="str">
        <f aca="false">IF(A17="","",IFERROR(ROUND(Q17/C17,2),0))</f>
        <v/>
      </c>
    </row>
    <row r="18" customFormat="false" ht="15" hidden="false" customHeight="false" outlineLevel="0" collapsed="false">
      <c r="A18" s="15"/>
      <c r="B18" s="15"/>
      <c r="C18" s="11"/>
      <c r="D18" s="11"/>
      <c r="E18" s="11"/>
      <c r="F18" s="11"/>
      <c r="G18" s="13" t="str">
        <f aca="false">IF(A18="","",Settings!$B$18)</f>
        <v/>
      </c>
      <c r="H18" s="11"/>
      <c r="I18" s="13" t="str">
        <f aca="false">IF(A18="","",IF(H18&lt;&gt;"",H18,G18))</f>
        <v/>
      </c>
      <c r="J18" s="15"/>
      <c r="K18" s="12" t="str">
        <f aca="false">IF(A18="","",IFERROR(INDEX('Service Rates'!$O$5:$O$14,MATCH(B18,'Service Rates'!$A$5:$A$14,0)),Settings!$B$24))</f>
        <v/>
      </c>
      <c r="L18" s="13" t="str">
        <f aca="false">IF(A18="","",MAX(0,C18-D18-E18))</f>
        <v/>
      </c>
      <c r="M18" s="12" t="str">
        <f aca="false">IF(A18="","",ROUND(L18*K18,2))</f>
        <v/>
      </c>
      <c r="N18" s="12" t="str">
        <f aca="false">IF(A18="","",ROUND(D18*K18*(1+Settings!$B$13/100),2))</f>
        <v/>
      </c>
      <c r="O18" s="12" t="str">
        <f aca="false">IF(A18="","",ROUND(E18*Settings!$B$14,2))</f>
        <v/>
      </c>
      <c r="P18" s="12" t="str">
        <f aca="false">IF(A18="","",ROUND(F18*Settings!$B$15,2))</f>
        <v/>
      </c>
      <c r="Q18" s="12" t="str">
        <f aca="false">IF(A18="","",ROUND(M18+N18+O18+P18,2))</f>
        <v/>
      </c>
      <c r="R18" s="12" t="str">
        <f aca="false">IF(A18="","",ROUND(Q18*I18,2))</f>
        <v/>
      </c>
      <c r="S18" s="12" t="str">
        <f aca="false">IF(A18="","",IFERROR(ROUND(Q18/C18,2),0))</f>
        <v/>
      </c>
    </row>
    <row r="19" customFormat="false" ht="15" hidden="false" customHeight="false" outlineLevel="0" collapsed="false">
      <c r="A19" s="15"/>
      <c r="B19" s="15"/>
      <c r="C19" s="11"/>
      <c r="D19" s="11"/>
      <c r="E19" s="11"/>
      <c r="F19" s="11"/>
      <c r="G19" s="13" t="str">
        <f aca="false">IF(A19="","",Settings!$B$18)</f>
        <v/>
      </c>
      <c r="H19" s="11"/>
      <c r="I19" s="13" t="str">
        <f aca="false">IF(A19="","",IF(H19&lt;&gt;"",H19,G19))</f>
        <v/>
      </c>
      <c r="J19" s="15"/>
      <c r="K19" s="12" t="str">
        <f aca="false">IF(A19="","",IFERROR(INDEX('Service Rates'!$O$5:$O$14,MATCH(B19,'Service Rates'!$A$5:$A$14,0)),Settings!$B$24))</f>
        <v/>
      </c>
      <c r="L19" s="13" t="str">
        <f aca="false">IF(A19="","",MAX(0,C19-D19-E19))</f>
        <v/>
      </c>
      <c r="M19" s="12" t="str">
        <f aca="false">IF(A19="","",ROUND(L19*K19,2))</f>
        <v/>
      </c>
      <c r="N19" s="12" t="str">
        <f aca="false">IF(A19="","",ROUND(D19*K19*(1+Settings!$B$13/100),2))</f>
        <v/>
      </c>
      <c r="O19" s="12" t="str">
        <f aca="false">IF(A19="","",ROUND(E19*Settings!$B$14,2))</f>
        <v/>
      </c>
      <c r="P19" s="12" t="str">
        <f aca="false">IF(A19="","",ROUND(F19*Settings!$B$15,2))</f>
        <v/>
      </c>
      <c r="Q19" s="12" t="str">
        <f aca="false">IF(A19="","",ROUND(M19+N19+O19+P19,2))</f>
        <v/>
      </c>
      <c r="R19" s="12" t="str">
        <f aca="false">IF(A19="","",ROUND(Q19*I19,2))</f>
        <v/>
      </c>
      <c r="S19" s="12" t="str">
        <f aca="false">IF(A19="","",IFERROR(ROUND(Q19/C19,2),0))</f>
        <v/>
      </c>
    </row>
    <row r="20" customFormat="false" ht="15" hidden="false" customHeight="false" outlineLevel="0" collapsed="false">
      <c r="A20" s="15"/>
      <c r="B20" s="15"/>
      <c r="C20" s="11"/>
      <c r="D20" s="11"/>
      <c r="E20" s="11"/>
      <c r="F20" s="11"/>
      <c r="G20" s="13" t="str">
        <f aca="false">IF(A20="","",Settings!$B$18)</f>
        <v/>
      </c>
      <c r="H20" s="11"/>
      <c r="I20" s="13" t="str">
        <f aca="false">IF(A20="","",IF(H20&lt;&gt;"",H20,G20))</f>
        <v/>
      </c>
      <c r="J20" s="15"/>
      <c r="K20" s="12" t="str">
        <f aca="false">IF(A20="","",IFERROR(INDEX('Service Rates'!$O$5:$O$14,MATCH(B20,'Service Rates'!$A$5:$A$14,0)),Settings!$B$24))</f>
        <v/>
      </c>
      <c r="L20" s="13" t="str">
        <f aca="false">IF(A20="","",MAX(0,C20-D20-E20))</f>
        <v/>
      </c>
      <c r="M20" s="12" t="str">
        <f aca="false">IF(A20="","",ROUND(L20*K20,2))</f>
        <v/>
      </c>
      <c r="N20" s="12" t="str">
        <f aca="false">IF(A20="","",ROUND(D20*K20*(1+Settings!$B$13/100),2))</f>
        <v/>
      </c>
      <c r="O20" s="12" t="str">
        <f aca="false">IF(A20="","",ROUND(E20*Settings!$B$14,2))</f>
        <v/>
      </c>
      <c r="P20" s="12" t="str">
        <f aca="false">IF(A20="","",ROUND(F20*Settings!$B$15,2))</f>
        <v/>
      </c>
      <c r="Q20" s="12" t="str">
        <f aca="false">IF(A20="","",ROUND(M20+N20+O20+P20,2))</f>
        <v/>
      </c>
      <c r="R20" s="12" t="str">
        <f aca="false">IF(A20="","",ROUND(Q20*I20,2))</f>
        <v/>
      </c>
      <c r="S20" s="12" t="str">
        <f aca="false">IF(A20="","",IFERROR(ROUND(Q20/C20,2),0))</f>
        <v/>
      </c>
    </row>
    <row r="21" customFormat="false" ht="15" hidden="false" customHeight="false" outlineLevel="0" collapsed="false">
      <c r="A21" s="15"/>
      <c r="B21" s="15"/>
      <c r="C21" s="11"/>
      <c r="D21" s="11"/>
      <c r="E21" s="11"/>
      <c r="F21" s="11"/>
      <c r="G21" s="13" t="str">
        <f aca="false">IF(A21="","",Settings!$B$18)</f>
        <v/>
      </c>
      <c r="H21" s="11"/>
      <c r="I21" s="13" t="str">
        <f aca="false">IF(A21="","",IF(H21&lt;&gt;"",H21,G21))</f>
        <v/>
      </c>
      <c r="J21" s="15"/>
      <c r="K21" s="12" t="str">
        <f aca="false">IF(A21="","",IFERROR(INDEX('Service Rates'!$O$5:$O$14,MATCH(B21,'Service Rates'!$A$5:$A$14,0)),Settings!$B$24))</f>
        <v/>
      </c>
      <c r="L21" s="13" t="str">
        <f aca="false">IF(A21="","",MAX(0,C21-D21-E21))</f>
        <v/>
      </c>
      <c r="M21" s="12" t="str">
        <f aca="false">IF(A21="","",ROUND(L21*K21,2))</f>
        <v/>
      </c>
      <c r="N21" s="12" t="str">
        <f aca="false">IF(A21="","",ROUND(D21*K21*(1+Settings!$B$13/100),2))</f>
        <v/>
      </c>
      <c r="O21" s="12" t="str">
        <f aca="false">IF(A21="","",ROUND(E21*Settings!$B$14,2))</f>
        <v/>
      </c>
      <c r="P21" s="12" t="str">
        <f aca="false">IF(A21="","",ROUND(F21*Settings!$B$15,2))</f>
        <v/>
      </c>
      <c r="Q21" s="12" t="str">
        <f aca="false">IF(A21="","",ROUND(M21+N21+O21+P21,2))</f>
        <v/>
      </c>
      <c r="R21" s="12" t="str">
        <f aca="false">IF(A21="","",ROUND(Q21*I21,2))</f>
        <v/>
      </c>
      <c r="S21" s="12" t="str">
        <f aca="false">IF(A21="","",IFERROR(ROUND(Q21/C21,2),0))</f>
        <v/>
      </c>
    </row>
    <row r="22" customFormat="false" ht="15" hidden="false" customHeight="false" outlineLevel="0" collapsed="false">
      <c r="A22" s="15"/>
      <c r="B22" s="15"/>
      <c r="C22" s="11"/>
      <c r="D22" s="11"/>
      <c r="E22" s="11"/>
      <c r="F22" s="11"/>
      <c r="G22" s="13" t="str">
        <f aca="false">IF(A22="","",Settings!$B$18)</f>
        <v/>
      </c>
      <c r="H22" s="11"/>
      <c r="I22" s="13" t="str">
        <f aca="false">IF(A22="","",IF(H22&lt;&gt;"",H22,G22))</f>
        <v/>
      </c>
      <c r="J22" s="15"/>
      <c r="K22" s="12" t="str">
        <f aca="false">IF(A22="","",IFERROR(INDEX('Service Rates'!$O$5:$O$14,MATCH(B22,'Service Rates'!$A$5:$A$14,0)),Settings!$B$24))</f>
        <v/>
      </c>
      <c r="L22" s="13" t="str">
        <f aca="false">IF(A22="","",MAX(0,C22-D22-E22))</f>
        <v/>
      </c>
      <c r="M22" s="12" t="str">
        <f aca="false">IF(A22="","",ROUND(L22*K22,2))</f>
        <v/>
      </c>
      <c r="N22" s="12" t="str">
        <f aca="false">IF(A22="","",ROUND(D22*K22*(1+Settings!$B$13/100),2))</f>
        <v/>
      </c>
      <c r="O22" s="12" t="str">
        <f aca="false">IF(A22="","",ROUND(E22*Settings!$B$14,2))</f>
        <v/>
      </c>
      <c r="P22" s="12" t="str">
        <f aca="false">IF(A22="","",ROUND(F22*Settings!$B$15,2))</f>
        <v/>
      </c>
      <c r="Q22" s="12" t="str">
        <f aca="false">IF(A22="","",ROUND(M22+N22+O22+P22,2))</f>
        <v/>
      </c>
      <c r="R22" s="12" t="str">
        <f aca="false">IF(A22="","",ROUND(Q22*I22,2))</f>
        <v/>
      </c>
      <c r="S22" s="12" t="str">
        <f aca="false">IF(A22="","",IFERROR(ROUND(Q22/C22,2),0))</f>
        <v/>
      </c>
    </row>
    <row r="23" customFormat="false" ht="15" hidden="false" customHeight="false" outlineLevel="0" collapsed="false">
      <c r="A23" s="15"/>
      <c r="B23" s="15"/>
      <c r="C23" s="11"/>
      <c r="D23" s="11"/>
      <c r="E23" s="11"/>
      <c r="F23" s="11"/>
      <c r="G23" s="13" t="str">
        <f aca="false">IF(A23="","",Settings!$B$18)</f>
        <v/>
      </c>
      <c r="H23" s="11"/>
      <c r="I23" s="13" t="str">
        <f aca="false">IF(A23="","",IF(H23&lt;&gt;"",H23,G23))</f>
        <v/>
      </c>
      <c r="J23" s="15"/>
      <c r="K23" s="12" t="str">
        <f aca="false">IF(A23="","",IFERROR(INDEX('Service Rates'!$O$5:$O$14,MATCH(B23,'Service Rates'!$A$5:$A$14,0)),Settings!$B$24))</f>
        <v/>
      </c>
      <c r="L23" s="13" t="str">
        <f aca="false">IF(A23="","",MAX(0,C23-D23-E23))</f>
        <v/>
      </c>
      <c r="M23" s="12" t="str">
        <f aca="false">IF(A23="","",ROUND(L23*K23,2))</f>
        <v/>
      </c>
      <c r="N23" s="12" t="str">
        <f aca="false">IF(A23="","",ROUND(D23*K23*(1+Settings!$B$13/100),2))</f>
        <v/>
      </c>
      <c r="O23" s="12" t="str">
        <f aca="false">IF(A23="","",ROUND(E23*Settings!$B$14,2))</f>
        <v/>
      </c>
      <c r="P23" s="12" t="str">
        <f aca="false">IF(A23="","",ROUND(F23*Settings!$B$15,2))</f>
        <v/>
      </c>
      <c r="Q23" s="12" t="str">
        <f aca="false">IF(A23="","",ROUND(M23+N23+O23+P23,2))</f>
        <v/>
      </c>
      <c r="R23" s="12" t="str">
        <f aca="false">IF(A23="","",ROUND(Q23*I23,2))</f>
        <v/>
      </c>
      <c r="S23" s="12" t="str">
        <f aca="false">IF(A23="","",IFERROR(ROUND(Q23/C23,2),0))</f>
        <v/>
      </c>
    </row>
    <row r="24" customFormat="false" ht="15" hidden="false" customHeight="false" outlineLevel="0" collapsed="false">
      <c r="A24" s="15"/>
      <c r="B24" s="15"/>
      <c r="C24" s="11"/>
      <c r="D24" s="11"/>
      <c r="E24" s="11"/>
      <c r="F24" s="11"/>
      <c r="G24" s="13" t="str">
        <f aca="false">IF(A24="","",Settings!$B$18)</f>
        <v/>
      </c>
      <c r="H24" s="11"/>
      <c r="I24" s="13" t="str">
        <f aca="false">IF(A24="","",IF(H24&lt;&gt;"",H24,G24))</f>
        <v/>
      </c>
      <c r="J24" s="15"/>
      <c r="K24" s="12" t="str">
        <f aca="false">IF(A24="","",IFERROR(INDEX('Service Rates'!$O$5:$O$14,MATCH(B24,'Service Rates'!$A$5:$A$14,0)),Settings!$B$24))</f>
        <v/>
      </c>
      <c r="L24" s="13" t="str">
        <f aca="false">IF(A24="","",MAX(0,C24-D24-E24))</f>
        <v/>
      </c>
      <c r="M24" s="12" t="str">
        <f aca="false">IF(A24="","",ROUND(L24*K24,2))</f>
        <v/>
      </c>
      <c r="N24" s="12" t="str">
        <f aca="false">IF(A24="","",ROUND(D24*K24*(1+Settings!$B$13/100),2))</f>
        <v/>
      </c>
      <c r="O24" s="12" t="str">
        <f aca="false">IF(A24="","",ROUND(E24*Settings!$B$14,2))</f>
        <v/>
      </c>
      <c r="P24" s="12" t="str">
        <f aca="false">IF(A24="","",ROUND(F24*Settings!$B$15,2))</f>
        <v/>
      </c>
      <c r="Q24" s="12" t="str">
        <f aca="false">IF(A24="","",ROUND(M24+N24+O24+P24,2))</f>
        <v/>
      </c>
      <c r="R24" s="12" t="str">
        <f aca="false">IF(A24="","",ROUND(Q24*I24,2))</f>
        <v/>
      </c>
      <c r="S24" s="12" t="str">
        <f aca="false">IF(A24="","",IFERROR(ROUND(Q24/C24,2),0))</f>
        <v/>
      </c>
    </row>
    <row r="25" customFormat="false" ht="15" hidden="false" customHeight="false" outlineLevel="0" collapsed="false">
      <c r="A25" s="5" t="s">
        <v>121</v>
      </c>
      <c r="B25" s="18" t="n">
        <f aca="false">COUNTIF($J$5:$J$24,"active")</f>
        <v>6</v>
      </c>
      <c r="C25" s="19" t="n">
        <f aca="false">SUMIF($J$5:$J$24,"active",C5:C24)</f>
        <v>242</v>
      </c>
      <c r="D25" s="19" t="n">
        <f aca="false">SUMIF($J$5:$J$24,"active",D5:D24)</f>
        <v>58</v>
      </c>
      <c r="E25" s="19" t="n">
        <f aca="false">SUMIF($J$5:$J$24,"active",E5:E24)</f>
        <v>8</v>
      </c>
      <c r="F25" s="19" t="n">
        <f aca="false">SUMIF($J$5:$J$24,"active",F5:F24)</f>
        <v>115</v>
      </c>
      <c r="L25" s="19" t="n">
        <f aca="false">SUMIF($J$5:$J$24,"active",L5:L24)</f>
        <v>176</v>
      </c>
      <c r="M25" s="10" t="n">
        <f aca="false">SUMIF($J$5:$J$24,"active",M5:M24)</f>
        <v>6496.76</v>
      </c>
      <c r="N25" s="10" t="n">
        <f aca="false">SUMIF($J$5:$J$24,"active",N5:N24)</f>
        <v>2464.52</v>
      </c>
      <c r="O25" s="10" t="n">
        <f aca="false">SUMIF($J$5:$J$24,"active",O5:O24)</f>
        <v>160</v>
      </c>
      <c r="P25" s="10" t="n">
        <f aca="false">SUMIF($J$5:$J$24,"active",P5:P24)</f>
        <v>57.5</v>
      </c>
      <c r="Q25" s="10" t="n">
        <f aca="false">SUMIF($J$5:$J$24,"active",Q5:Q24)</f>
        <v>9178.78</v>
      </c>
      <c r="R25" s="10" t="n">
        <f aca="false">SUMIF($J$5:$J$24,"active",R5:R24)</f>
        <v>37682.04</v>
      </c>
      <c r="S25" s="10" t="n">
        <f aca="false">IFERROR(ROUND(Q25/C25,2),0)</f>
        <v>37.93</v>
      </c>
    </row>
  </sheetData>
  <dataValidations count="2">
    <dataValidation allowBlank="true" errorStyle="stop" operator="between" showDropDown="false" showErrorMessage="false" showInputMessage="false" sqref="B5:B24" type="list">
      <formula1>'Service Rates'!$A$5:$A$14</formula1>
      <formula2>0</formula2>
    </dataValidation>
    <dataValidation allowBlank="true" errorStyle="stop" operator="between" showDropDown="false" showErrorMessage="false" showInputMessage="false" sqref="J5:J24" type="list">
      <formula1>"active,pending,ended"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4"/>
    <col collapsed="false" customWidth="true" hidden="false" outlineLevel="0" max="4" min="4" style="1" width="9"/>
    <col collapsed="false" customWidth="true" hidden="false" outlineLevel="0" max="5" min="5" style="1" width="12"/>
    <col collapsed="false" customWidth="true" hidden="false" outlineLevel="0" max="9" min="6" style="1" width="11"/>
    <col collapsed="false" customWidth="true" hidden="false" outlineLevel="0" max="10" min="10" style="1" width="10"/>
    <col collapsed="false" customWidth="true" hidden="false" outlineLevel="0" max="12" min="11" style="1" width="12"/>
    <col collapsed="false" customWidth="true" hidden="false" outlineLevel="0" max="15" min="13" style="1" width="11"/>
    <col collapsed="false" customWidth="true" hidden="false" outlineLevel="0" max="16" min="16" style="1" width="13"/>
    <col collapsed="false" customWidth="true" hidden="false" outlineLevel="0" max="17" min="17" style="1" width="11"/>
  </cols>
  <sheetData>
    <row r="1" customFormat="false" ht="17.35" hidden="false" customHeight="false" outlineLevel="0" collapsed="false">
      <c r="A1" s="2" t="s">
        <v>151</v>
      </c>
    </row>
    <row r="2" customFormat="false" ht="15" hidden="false" customHeight="false" outlineLevel="0" collapsed="false">
      <c r="A2" s="3" t="s">
        <v>152</v>
      </c>
    </row>
    <row r="4" customFormat="false" ht="15" hidden="false" customHeight="false" outlineLevel="0" collapsed="false">
      <c r="A4" s="5" t="s">
        <v>153</v>
      </c>
    </row>
    <row r="5" customFormat="false" ht="15" hidden="false" customHeight="false" outlineLevel="0" collapsed="false">
      <c r="A5" s="4" t="s">
        <v>154</v>
      </c>
      <c r="B5" s="21" t="n">
        <f aca="false">COUNTIF(Caregivers!$B$5:$B$34,"active")</f>
        <v>10</v>
      </c>
    </row>
    <row r="6" customFormat="false" ht="15" hidden="false" customHeight="false" outlineLevel="0" collapsed="false">
      <c r="A6" s="4" t="s">
        <v>155</v>
      </c>
      <c r="B6" s="13" t="n">
        <f aca="false">ROUND(B5*Settings!$B$16,2)</f>
        <v>320</v>
      </c>
    </row>
    <row r="7" customFormat="false" ht="15" hidden="false" customHeight="false" outlineLevel="0" collapsed="false">
      <c r="A7" s="4" t="s">
        <v>156</v>
      </c>
      <c r="B7" s="13" t="n">
        <f aca="false">ROUND(B6*Settings!$B$17/100,2)</f>
        <v>272</v>
      </c>
    </row>
    <row r="8" customFormat="false" ht="15" hidden="false" customHeight="false" outlineLevel="0" collapsed="false">
      <c r="A8" s="4" t="s">
        <v>157</v>
      </c>
      <c r="B8" s="13" t="n">
        <f aca="false">SUMIF('Clients &amp; Quotes'!$J$5:$J$24,"active",'Clients &amp; Quotes'!$C$5:$C$24)</f>
        <v>242</v>
      </c>
    </row>
    <row r="9" customFormat="false" ht="15" hidden="false" customHeight="false" outlineLevel="0" collapsed="false">
      <c r="A9" s="5" t="s">
        <v>158</v>
      </c>
      <c r="B9" s="19" t="n">
        <f aca="false">ROUND(B7-B8,2)</f>
        <v>30</v>
      </c>
    </row>
    <row r="10" customFormat="false" ht="15" hidden="false" customHeight="false" outlineLevel="0" collapsed="false">
      <c r="A10" s="5" t="s">
        <v>96</v>
      </c>
      <c r="B10" s="5" t="str">
        <f aca="false">IF(B9&lt;0,"overcommitted","spare")</f>
        <v>spare</v>
      </c>
    </row>
    <row r="11" customFormat="false" ht="15" hidden="false" customHeight="false" outlineLevel="0" collapsed="false">
      <c r="A11" s="5" t="s">
        <v>159</v>
      </c>
      <c r="B11" s="10" t="n">
        <f aca="false">SUMIF('Clients &amp; Quotes'!$J$5:$J$24,"active",'Clients &amp; Quotes'!$Q$5:$Q$24)</f>
        <v>9178.78</v>
      </c>
    </row>
    <row r="12" customFormat="false" ht="15" hidden="false" customHeight="false" outlineLevel="0" collapsed="false">
      <c r="A12" s="4" t="s">
        <v>160</v>
      </c>
      <c r="B12" s="12" t="n">
        <f aca="false">IFERROR(ROUND(B11/B8*B7,2),ROUND(B7*Settings!$B$24,2))</f>
        <v>10316.65</v>
      </c>
    </row>
    <row r="13" customFormat="false" ht="15" hidden="false" customHeight="false" outlineLevel="0" collapsed="false">
      <c r="A13" s="4" t="s">
        <v>161</v>
      </c>
      <c r="B13" s="6" t="n">
        <v>30</v>
      </c>
    </row>
    <row r="15" customFormat="false" ht="64.9" hidden="false" customHeight="false" outlineLevel="0" collapsed="false">
      <c r="A15" s="14" t="s">
        <v>162</v>
      </c>
      <c r="B15" s="14" t="s">
        <v>163</v>
      </c>
      <c r="C15" s="14" t="s">
        <v>164</v>
      </c>
      <c r="D15" s="14" t="s">
        <v>165</v>
      </c>
      <c r="E15" s="14" t="s">
        <v>166</v>
      </c>
      <c r="F15" s="14" t="s">
        <v>167</v>
      </c>
      <c r="G15" s="14" t="s">
        <v>161</v>
      </c>
      <c r="H15" s="14" t="s">
        <v>168</v>
      </c>
      <c r="I15" s="14" t="s">
        <v>169</v>
      </c>
      <c r="J15" s="14" t="s">
        <v>170</v>
      </c>
      <c r="K15" s="14" t="s">
        <v>171</v>
      </c>
      <c r="L15" s="14" t="s">
        <v>172</v>
      </c>
      <c r="M15" s="14" t="s">
        <v>173</v>
      </c>
      <c r="N15" s="14" t="s">
        <v>174</v>
      </c>
      <c r="O15" s="14" t="s">
        <v>175</v>
      </c>
      <c r="P15" s="14" t="s">
        <v>176</v>
      </c>
      <c r="Q15" s="14" t="s">
        <v>177</v>
      </c>
    </row>
    <row r="16" customFormat="false" ht="15" hidden="false" customHeight="false" outlineLevel="0" collapsed="false">
      <c r="A16" s="22" t="n">
        <v>46023</v>
      </c>
      <c r="B16" s="23" t="n">
        <v>11</v>
      </c>
      <c r="C16" s="23" t="n">
        <v>1</v>
      </c>
      <c r="D16" s="24" t="n">
        <v>2</v>
      </c>
      <c r="E16" s="9" t="n">
        <v>600</v>
      </c>
      <c r="F16" s="11" t="n">
        <v>32</v>
      </c>
      <c r="G16" s="12" t="n">
        <f aca="false">IF(A16="","",$B$13)</f>
        <v>30</v>
      </c>
      <c r="H16" s="9"/>
      <c r="I16" s="12" t="n">
        <f aca="false">IF(A16="","",IF(H16&lt;&gt;"",H16,G16))</f>
        <v>30</v>
      </c>
      <c r="J16" s="11" t="n">
        <v>20</v>
      </c>
      <c r="K16" s="12" t="n">
        <f aca="false">IF(A16="","",ROUND(Settings!$B$24-Settings!$B$23,2))</f>
        <v>9.27</v>
      </c>
      <c r="L16" s="9"/>
      <c r="M16" s="12" t="n">
        <f aca="false">IF(A16="","",IF(L16&lt;&gt;"",L16,K16))</f>
        <v>9.27</v>
      </c>
      <c r="N16" s="16" t="n">
        <f aca="false">IF(A16="","",IFERROR(ROUND(C16/B16*100,2),0))</f>
        <v>9.09</v>
      </c>
      <c r="O16" s="12" t="n">
        <f aca="false">IF(A16="","",IFERROR(ROUND(P16/C16,2),0))</f>
        <v>1745.4</v>
      </c>
      <c r="P16" s="12" t="n">
        <f aca="false">IF(A16="","",ROUND(E16+F16*I16+J16*M16,2))</f>
        <v>1745.4</v>
      </c>
      <c r="Q16" s="21" t="n">
        <f aca="false">IF(A16="","",B16-C16+D16)</f>
        <v>12</v>
      </c>
    </row>
    <row r="17" customFormat="false" ht="15" hidden="false" customHeight="false" outlineLevel="0" collapsed="false">
      <c r="A17" s="22" t="n">
        <v>46054</v>
      </c>
      <c r="B17" s="24" t="n">
        <v>12</v>
      </c>
      <c r="C17" s="24" t="n">
        <v>2</v>
      </c>
      <c r="D17" s="24" t="n">
        <v>1</v>
      </c>
      <c r="E17" s="9" t="n">
        <v>900</v>
      </c>
      <c r="F17" s="11" t="n">
        <v>16</v>
      </c>
      <c r="G17" s="12" t="n">
        <f aca="false">IF(A17="","",$B$13)</f>
        <v>30</v>
      </c>
      <c r="H17" s="9"/>
      <c r="I17" s="12" t="n">
        <f aca="false">IF(A17="","",IF(H17&lt;&gt;"",H17,G17))</f>
        <v>30</v>
      </c>
      <c r="J17" s="11" t="n">
        <v>40</v>
      </c>
      <c r="K17" s="12" t="n">
        <f aca="false">IF(A17="","",ROUND(Settings!$B$24-Settings!$B$23,2))</f>
        <v>9.27</v>
      </c>
      <c r="L17" s="9"/>
      <c r="M17" s="12" t="n">
        <f aca="false">IF(A17="","",IF(L17&lt;&gt;"",L17,K17))</f>
        <v>9.27</v>
      </c>
      <c r="N17" s="16" t="n">
        <f aca="false">IF(A17="","",IFERROR(ROUND(C17/B17*100,2),0))</f>
        <v>16.67</v>
      </c>
      <c r="O17" s="12" t="n">
        <f aca="false">IF(A17="","",IFERROR(ROUND(P17/C17,2),0))</f>
        <v>875.4</v>
      </c>
      <c r="P17" s="12" t="n">
        <f aca="false">IF(A17="","",ROUND(E17+F17*I17+J17*M17,2))</f>
        <v>1750.8</v>
      </c>
      <c r="Q17" s="21" t="n">
        <f aca="false">IF(A17="","",B17-C17+D17)</f>
        <v>11</v>
      </c>
    </row>
    <row r="18" customFormat="false" ht="15" hidden="false" customHeight="false" outlineLevel="0" collapsed="false">
      <c r="A18" s="22" t="n">
        <v>46082</v>
      </c>
      <c r="B18" s="24" t="n">
        <v>11</v>
      </c>
      <c r="C18" s="24" t="n">
        <v>1</v>
      </c>
      <c r="D18" s="24" t="n">
        <v>1</v>
      </c>
      <c r="E18" s="9" t="n">
        <v>450</v>
      </c>
      <c r="F18" s="11" t="n">
        <v>16</v>
      </c>
      <c r="G18" s="12" t="n">
        <f aca="false">IF(A18="","",$B$13)</f>
        <v>30</v>
      </c>
      <c r="H18" s="9"/>
      <c r="I18" s="12" t="n">
        <f aca="false">IF(A18="","",IF(H18&lt;&gt;"",H18,G18))</f>
        <v>30</v>
      </c>
      <c r="J18" s="11" t="n">
        <v>12</v>
      </c>
      <c r="K18" s="12" t="n">
        <f aca="false">IF(A18="","",ROUND(Settings!$B$24-Settings!$B$23,2))</f>
        <v>9.27</v>
      </c>
      <c r="L18" s="9"/>
      <c r="M18" s="12" t="n">
        <f aca="false">IF(A18="","",IF(L18&lt;&gt;"",L18,K18))</f>
        <v>9.27</v>
      </c>
      <c r="N18" s="16" t="n">
        <f aca="false">IF(A18="","",IFERROR(ROUND(C18/B18*100,2),0))</f>
        <v>9.09</v>
      </c>
      <c r="O18" s="12" t="n">
        <f aca="false">IF(A18="","",IFERROR(ROUND(P18/C18,2),0))</f>
        <v>1041.24</v>
      </c>
      <c r="P18" s="12" t="n">
        <f aca="false">IF(A18="","",ROUND(E18+F18*I18+J18*M18,2))</f>
        <v>1041.24</v>
      </c>
      <c r="Q18" s="21" t="n">
        <f aca="false">IF(A18="","",B18-C18+D18)</f>
        <v>11</v>
      </c>
    </row>
    <row r="19" customFormat="false" ht="15" hidden="false" customHeight="false" outlineLevel="0" collapsed="false">
      <c r="A19" s="22" t="n">
        <v>46113</v>
      </c>
      <c r="B19" s="24" t="n">
        <v>11</v>
      </c>
      <c r="C19" s="24" t="n">
        <v>0</v>
      </c>
      <c r="D19" s="24" t="n">
        <v>1</v>
      </c>
      <c r="E19" s="9" t="n">
        <v>500</v>
      </c>
      <c r="F19" s="11" t="n">
        <v>16</v>
      </c>
      <c r="G19" s="12" t="n">
        <f aca="false">IF(A19="","",$B$13)</f>
        <v>30</v>
      </c>
      <c r="H19" s="9"/>
      <c r="I19" s="12" t="n">
        <f aca="false">IF(A19="","",IF(H19&lt;&gt;"",H19,G19))</f>
        <v>30</v>
      </c>
      <c r="J19" s="11" t="n">
        <v>0</v>
      </c>
      <c r="K19" s="12" t="n">
        <f aca="false">IF(A19="","",ROUND(Settings!$B$24-Settings!$B$23,2))</f>
        <v>9.27</v>
      </c>
      <c r="L19" s="9"/>
      <c r="M19" s="12" t="n">
        <f aca="false">IF(A19="","",IF(L19&lt;&gt;"",L19,K19))</f>
        <v>9.27</v>
      </c>
      <c r="N19" s="16" t="n">
        <f aca="false">IF(A19="","",IFERROR(ROUND(C19/B19*100,2),0))</f>
        <v>0</v>
      </c>
      <c r="O19" s="12" t="n">
        <f aca="false">IF(A19="","",IFERROR(ROUND(P19/C19,2),0))</f>
        <v>0</v>
      </c>
      <c r="P19" s="12" t="n">
        <f aca="false">IF(A19="","",ROUND(E19+F19*I19+J19*M19,2))</f>
        <v>980</v>
      </c>
      <c r="Q19" s="21" t="n">
        <f aca="false">IF(A19="","",B19-C19+D19)</f>
        <v>12</v>
      </c>
    </row>
    <row r="20" customFormat="false" ht="15" hidden="false" customHeight="false" outlineLevel="0" collapsed="false">
      <c r="A20" s="22" t="n">
        <v>46143</v>
      </c>
      <c r="B20" s="24" t="n">
        <v>12</v>
      </c>
      <c r="C20" s="24" t="n">
        <v>2</v>
      </c>
      <c r="D20" s="24" t="n">
        <v>1</v>
      </c>
      <c r="E20" s="9" t="n">
        <v>800</v>
      </c>
      <c r="F20" s="11" t="n">
        <v>16</v>
      </c>
      <c r="G20" s="12" t="n">
        <f aca="false">IF(A20="","",$B$13)</f>
        <v>30</v>
      </c>
      <c r="H20" s="9"/>
      <c r="I20" s="12" t="n">
        <f aca="false">IF(A20="","",IF(H20&lt;&gt;"",H20,G20))</f>
        <v>30</v>
      </c>
      <c r="J20" s="11" t="n">
        <v>30</v>
      </c>
      <c r="K20" s="12" t="n">
        <f aca="false">IF(A20="","",ROUND(Settings!$B$24-Settings!$B$23,2))</f>
        <v>9.27</v>
      </c>
      <c r="L20" s="9"/>
      <c r="M20" s="12" t="n">
        <f aca="false">IF(A20="","",IF(L20&lt;&gt;"",L20,K20))</f>
        <v>9.27</v>
      </c>
      <c r="N20" s="16" t="n">
        <f aca="false">IF(A20="","",IFERROR(ROUND(C20/B20*100,2),0))</f>
        <v>16.67</v>
      </c>
      <c r="O20" s="12" t="n">
        <f aca="false">IF(A20="","",IFERROR(ROUND(P20/C20,2),0))</f>
        <v>779.05</v>
      </c>
      <c r="P20" s="12" t="n">
        <f aca="false">IF(A20="","",ROUND(E20+F20*I20+J20*M20,2))</f>
        <v>1558.1</v>
      </c>
      <c r="Q20" s="21" t="n">
        <f aca="false">IF(A20="","",B20-C20+D20)</f>
        <v>11</v>
      </c>
    </row>
    <row r="21" customFormat="false" ht="15" hidden="false" customHeight="false" outlineLevel="0" collapsed="false">
      <c r="A21" s="22" t="n">
        <v>46174</v>
      </c>
      <c r="B21" s="24" t="n">
        <v>11</v>
      </c>
      <c r="C21" s="24" t="n">
        <v>1</v>
      </c>
      <c r="D21" s="24" t="n">
        <v>1</v>
      </c>
      <c r="E21" s="9" t="n">
        <v>400</v>
      </c>
      <c r="F21" s="11" t="n">
        <v>16</v>
      </c>
      <c r="G21" s="12" t="n">
        <f aca="false">IF(A21="","",$B$13)</f>
        <v>30</v>
      </c>
      <c r="H21" s="9"/>
      <c r="I21" s="12" t="n">
        <f aca="false">IF(A21="","",IF(H21&lt;&gt;"",H21,G21))</f>
        <v>30</v>
      </c>
      <c r="J21" s="11" t="n">
        <v>10</v>
      </c>
      <c r="K21" s="12" t="n">
        <f aca="false">IF(A21="","",ROUND(Settings!$B$24-Settings!$B$23,2))</f>
        <v>9.27</v>
      </c>
      <c r="L21" s="9"/>
      <c r="M21" s="12" t="n">
        <f aca="false">IF(A21="","",IF(L21&lt;&gt;"",L21,K21))</f>
        <v>9.27</v>
      </c>
      <c r="N21" s="16" t="n">
        <f aca="false">IF(A21="","",IFERROR(ROUND(C21/B21*100,2),0))</f>
        <v>9.09</v>
      </c>
      <c r="O21" s="12" t="n">
        <f aca="false">IF(A21="","",IFERROR(ROUND(P21/C21,2),0))</f>
        <v>972.7</v>
      </c>
      <c r="P21" s="12" t="n">
        <f aca="false">IF(A21="","",ROUND(E21+F21*I21+J21*M21,2))</f>
        <v>972.7</v>
      </c>
      <c r="Q21" s="21" t="n">
        <f aca="false">IF(A21="","",B21-C21+D21)</f>
        <v>11</v>
      </c>
    </row>
    <row r="22" customFormat="false" ht="15" hidden="false" customHeight="false" outlineLevel="0" collapsed="false">
      <c r="A22" s="22"/>
      <c r="B22" s="24"/>
      <c r="C22" s="24"/>
      <c r="D22" s="24"/>
      <c r="E22" s="9"/>
      <c r="F22" s="11"/>
      <c r="G22" s="12" t="str">
        <f aca="false">IF(A22="","",$B$13)</f>
        <v/>
      </c>
      <c r="H22" s="9"/>
      <c r="I22" s="12" t="str">
        <f aca="false">IF(A22="","",IF(H22&lt;&gt;"",H22,G22))</f>
        <v/>
      </c>
      <c r="J22" s="11"/>
      <c r="K22" s="12" t="str">
        <f aca="false">IF(A22="","",ROUND(Settings!$B$24-Settings!$B$23,2))</f>
        <v/>
      </c>
      <c r="L22" s="9"/>
      <c r="M22" s="12" t="str">
        <f aca="false">IF(A22="","",IF(L22&lt;&gt;"",L22,K22))</f>
        <v/>
      </c>
      <c r="N22" s="16" t="str">
        <f aca="false">IF(A22="","",IFERROR(ROUND(C22/B22*100,2),0))</f>
        <v/>
      </c>
      <c r="O22" s="12" t="str">
        <f aca="false">IF(A22="","",IFERROR(ROUND(P22/C22,2),0))</f>
        <v/>
      </c>
      <c r="P22" s="12" t="str">
        <f aca="false">IF(A22="","",ROUND(E22+F22*I22+J22*M22,2))</f>
        <v/>
      </c>
      <c r="Q22" s="21" t="str">
        <f aca="false">IF(A22="","",B22-C22+D22)</f>
        <v/>
      </c>
    </row>
    <row r="23" customFormat="false" ht="15" hidden="false" customHeight="false" outlineLevel="0" collapsed="false">
      <c r="A23" s="22"/>
      <c r="B23" s="24"/>
      <c r="C23" s="24"/>
      <c r="D23" s="24"/>
      <c r="E23" s="9"/>
      <c r="F23" s="11"/>
      <c r="G23" s="12" t="str">
        <f aca="false">IF(A23="","",$B$13)</f>
        <v/>
      </c>
      <c r="H23" s="9"/>
      <c r="I23" s="12" t="str">
        <f aca="false">IF(A23="","",IF(H23&lt;&gt;"",H23,G23))</f>
        <v/>
      </c>
      <c r="J23" s="11"/>
      <c r="K23" s="12" t="str">
        <f aca="false">IF(A23="","",ROUND(Settings!$B$24-Settings!$B$23,2))</f>
        <v/>
      </c>
      <c r="L23" s="9"/>
      <c r="M23" s="12" t="str">
        <f aca="false">IF(A23="","",IF(L23&lt;&gt;"",L23,K23))</f>
        <v/>
      </c>
      <c r="N23" s="16" t="str">
        <f aca="false">IF(A23="","",IFERROR(ROUND(C23/B23*100,2),0))</f>
        <v/>
      </c>
      <c r="O23" s="12" t="str">
        <f aca="false">IF(A23="","",IFERROR(ROUND(P23/C23,2),0))</f>
        <v/>
      </c>
      <c r="P23" s="12" t="str">
        <f aca="false">IF(A23="","",ROUND(E23+F23*I23+J23*M23,2))</f>
        <v/>
      </c>
      <c r="Q23" s="21" t="str">
        <f aca="false">IF(A23="","",B23-C23+D23)</f>
        <v/>
      </c>
    </row>
    <row r="24" customFormat="false" ht="15" hidden="false" customHeight="false" outlineLevel="0" collapsed="false">
      <c r="A24" s="22"/>
      <c r="B24" s="24"/>
      <c r="C24" s="24"/>
      <c r="D24" s="24"/>
      <c r="E24" s="9"/>
      <c r="F24" s="11"/>
      <c r="G24" s="12" t="str">
        <f aca="false">IF(A24="","",$B$13)</f>
        <v/>
      </c>
      <c r="H24" s="9"/>
      <c r="I24" s="12" t="str">
        <f aca="false">IF(A24="","",IF(H24&lt;&gt;"",H24,G24))</f>
        <v/>
      </c>
      <c r="J24" s="11"/>
      <c r="K24" s="12" t="str">
        <f aca="false">IF(A24="","",ROUND(Settings!$B$24-Settings!$B$23,2))</f>
        <v/>
      </c>
      <c r="L24" s="9"/>
      <c r="M24" s="12" t="str">
        <f aca="false">IF(A24="","",IF(L24&lt;&gt;"",L24,K24))</f>
        <v/>
      </c>
      <c r="N24" s="16" t="str">
        <f aca="false">IF(A24="","",IFERROR(ROUND(C24/B24*100,2),0))</f>
        <v/>
      </c>
      <c r="O24" s="12" t="str">
        <f aca="false">IF(A24="","",IFERROR(ROUND(P24/C24,2),0))</f>
        <v/>
      </c>
      <c r="P24" s="12" t="str">
        <f aca="false">IF(A24="","",ROUND(E24+F24*I24+J24*M24,2))</f>
        <v/>
      </c>
      <c r="Q24" s="21" t="str">
        <f aca="false">IF(A24="","",B24-C24+D24)</f>
        <v/>
      </c>
    </row>
    <row r="25" customFormat="false" ht="15" hidden="false" customHeight="false" outlineLevel="0" collapsed="false">
      <c r="A25" s="22"/>
      <c r="B25" s="24"/>
      <c r="C25" s="24"/>
      <c r="D25" s="24"/>
      <c r="E25" s="9"/>
      <c r="F25" s="11"/>
      <c r="G25" s="12" t="str">
        <f aca="false">IF(A25="","",$B$13)</f>
        <v/>
      </c>
      <c r="H25" s="9"/>
      <c r="I25" s="12" t="str">
        <f aca="false">IF(A25="","",IF(H25&lt;&gt;"",H25,G25))</f>
        <v/>
      </c>
      <c r="J25" s="11"/>
      <c r="K25" s="12" t="str">
        <f aca="false">IF(A25="","",ROUND(Settings!$B$24-Settings!$B$23,2))</f>
        <v/>
      </c>
      <c r="L25" s="9"/>
      <c r="M25" s="12" t="str">
        <f aca="false">IF(A25="","",IF(L25&lt;&gt;"",L25,K25))</f>
        <v/>
      </c>
      <c r="N25" s="16" t="str">
        <f aca="false">IF(A25="","",IFERROR(ROUND(C25/B25*100,2),0))</f>
        <v/>
      </c>
      <c r="O25" s="12" t="str">
        <f aca="false">IF(A25="","",IFERROR(ROUND(P25/C25,2),0))</f>
        <v/>
      </c>
      <c r="P25" s="12" t="str">
        <f aca="false">IF(A25="","",ROUND(E25+F25*I25+J25*M25,2))</f>
        <v/>
      </c>
      <c r="Q25" s="21" t="str">
        <f aca="false">IF(A25="","",B25-C25+D25)</f>
        <v/>
      </c>
    </row>
    <row r="26" customFormat="false" ht="15" hidden="false" customHeight="false" outlineLevel="0" collapsed="false">
      <c r="A26" s="22"/>
      <c r="B26" s="24"/>
      <c r="C26" s="24"/>
      <c r="D26" s="24"/>
      <c r="E26" s="9"/>
      <c r="F26" s="11"/>
      <c r="G26" s="12" t="str">
        <f aca="false">IF(A26="","",$B$13)</f>
        <v/>
      </c>
      <c r="H26" s="9"/>
      <c r="I26" s="12" t="str">
        <f aca="false">IF(A26="","",IF(H26&lt;&gt;"",H26,G26))</f>
        <v/>
      </c>
      <c r="J26" s="11"/>
      <c r="K26" s="12" t="str">
        <f aca="false">IF(A26="","",ROUND(Settings!$B$24-Settings!$B$23,2))</f>
        <v/>
      </c>
      <c r="L26" s="9"/>
      <c r="M26" s="12" t="str">
        <f aca="false">IF(A26="","",IF(L26&lt;&gt;"",L26,K26))</f>
        <v/>
      </c>
      <c r="N26" s="16" t="str">
        <f aca="false">IF(A26="","",IFERROR(ROUND(C26/B26*100,2),0))</f>
        <v/>
      </c>
      <c r="O26" s="12" t="str">
        <f aca="false">IF(A26="","",IFERROR(ROUND(P26/C26,2),0))</f>
        <v/>
      </c>
      <c r="P26" s="12" t="str">
        <f aca="false">IF(A26="","",ROUND(E26+F26*I26+J26*M26,2))</f>
        <v/>
      </c>
      <c r="Q26" s="21" t="str">
        <f aca="false">IF(A26="","",B26-C26+D26)</f>
        <v/>
      </c>
    </row>
    <row r="27" customFormat="false" ht="15" hidden="false" customHeight="false" outlineLevel="0" collapsed="false">
      <c r="A27" s="22"/>
      <c r="B27" s="24"/>
      <c r="C27" s="24"/>
      <c r="D27" s="24"/>
      <c r="E27" s="9"/>
      <c r="F27" s="11"/>
      <c r="G27" s="12" t="str">
        <f aca="false">IF(A27="","",$B$13)</f>
        <v/>
      </c>
      <c r="H27" s="9"/>
      <c r="I27" s="12" t="str">
        <f aca="false">IF(A27="","",IF(H27&lt;&gt;"",H27,G27))</f>
        <v/>
      </c>
      <c r="J27" s="11"/>
      <c r="K27" s="12" t="str">
        <f aca="false">IF(A27="","",ROUND(Settings!$B$24-Settings!$B$23,2))</f>
        <v/>
      </c>
      <c r="L27" s="9"/>
      <c r="M27" s="12" t="str">
        <f aca="false">IF(A27="","",IF(L27&lt;&gt;"",L27,K27))</f>
        <v/>
      </c>
      <c r="N27" s="16" t="str">
        <f aca="false">IF(A27="","",IFERROR(ROUND(C27/B27*100,2),0))</f>
        <v/>
      </c>
      <c r="O27" s="12" t="str">
        <f aca="false">IF(A27="","",IFERROR(ROUND(P27/C27,2),0))</f>
        <v/>
      </c>
      <c r="P27" s="12" t="str">
        <f aca="false">IF(A27="","",ROUND(E27+F27*I27+J27*M27,2))</f>
        <v/>
      </c>
      <c r="Q27" s="21" t="str">
        <f aca="false">IF(A27="","",B27-C27+D27)</f>
        <v/>
      </c>
    </row>
    <row r="28" customFormat="false" ht="15" hidden="false" customHeight="false" outlineLevel="0" collapsed="false">
      <c r="A28" s="5" t="s">
        <v>178</v>
      </c>
      <c r="B28" s="25" t="n">
        <f aca="false">IFERROR(ROUND((AVERAGE(B16:B27)+AVERAGE(Q16:Q27))/2,2),0)</f>
        <v>11.33</v>
      </c>
      <c r="C28" s="26" t="n">
        <f aca="false">SUM(C16:C27)</f>
        <v>7</v>
      </c>
      <c r="D28" s="26" t="n">
        <f aca="false">SUM(D16:D27)</f>
        <v>7</v>
      </c>
      <c r="E28" s="10" t="n">
        <f aca="false">SUM(E16:E27)</f>
        <v>3650</v>
      </c>
      <c r="F28" s="19" t="n">
        <f aca="false">SUM(F16:F27)</f>
        <v>112</v>
      </c>
      <c r="J28" s="19" t="n">
        <f aca="false">SUM(J16:J27)</f>
        <v>112</v>
      </c>
      <c r="N28" s="20" t="n">
        <f aca="false">IFERROR(ROUND(C28/B28*100,2),0)</f>
        <v>61.78</v>
      </c>
      <c r="O28" s="10" t="n">
        <f aca="false">IFERROR(ROUND(P28/C28,2),0)</f>
        <v>1149.75</v>
      </c>
      <c r="P28" s="10" t="n">
        <f aca="false">SUM(P16:P27)</f>
        <v>8048.24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24"/>
    <col collapsed="false" customWidth="true" hidden="false" outlineLevel="0" max="3" min="3" style="1" width="80"/>
  </cols>
  <sheetData>
    <row r="1" customFormat="false" ht="17.35" hidden="false" customHeight="false" outlineLevel="0" collapsed="false">
      <c r="A1" s="2" t="s">
        <v>179</v>
      </c>
    </row>
    <row r="2" customFormat="false" ht="15" hidden="false" customHeight="false" outlineLevel="0" collapsed="false">
      <c r="A2" s="5" t="s">
        <v>67</v>
      </c>
      <c r="B2" s="10" t="n">
        <f aca="false">Settings!$B$23</f>
        <v>27.82</v>
      </c>
      <c r="C2" s="3" t="s">
        <v>180</v>
      </c>
    </row>
    <row r="3" customFormat="false" ht="15" hidden="false" customHeight="false" outlineLevel="0" collapsed="false">
      <c r="A3" s="5" t="s">
        <v>69</v>
      </c>
      <c r="B3" s="10" t="n">
        <f aca="false">Settings!$B$24</f>
        <v>37.09</v>
      </c>
      <c r="C3" s="3" t="s">
        <v>181</v>
      </c>
    </row>
    <row r="4" customFormat="false" ht="15" hidden="false" customHeight="false" outlineLevel="0" collapsed="false">
      <c r="A4" s="5" t="s">
        <v>182</v>
      </c>
      <c r="B4" s="26" t="n">
        <f aca="false">COUNTIF('Service Rates'!$R$5:$R$14,"&lt;0")</f>
        <v>1</v>
      </c>
      <c r="C4" s="3" t="s">
        <v>183</v>
      </c>
    </row>
    <row r="5" customFormat="false" ht="15" hidden="false" customHeight="false" outlineLevel="0" collapsed="false">
      <c r="A5" s="5" t="s">
        <v>154</v>
      </c>
      <c r="B5" s="26" t="n">
        <f aca="false">'Capacity &amp; Turnover'!B5</f>
        <v>10</v>
      </c>
      <c r="C5" s="3" t="s">
        <v>184</v>
      </c>
    </row>
    <row r="6" customFormat="false" ht="15" hidden="false" customHeight="false" outlineLevel="0" collapsed="false">
      <c r="A6" s="5" t="s">
        <v>185</v>
      </c>
      <c r="B6" s="20" t="n">
        <f aca="false">Caregivers!K35</f>
        <v>81.9</v>
      </c>
      <c r="C6" s="3" t="s">
        <v>186</v>
      </c>
    </row>
    <row r="7" customFormat="false" ht="15" hidden="false" customHeight="false" outlineLevel="0" collapsed="false">
      <c r="A7" s="5" t="s">
        <v>55</v>
      </c>
      <c r="B7" s="20" t="n">
        <f aca="false">Settings!$B$17</f>
        <v>85</v>
      </c>
      <c r="C7" s="3" t="s">
        <v>187</v>
      </c>
    </row>
    <row r="8" customFormat="false" ht="15" hidden="false" customHeight="false" outlineLevel="0" collapsed="false">
      <c r="A8" s="5" t="s">
        <v>188</v>
      </c>
      <c r="B8" s="20" t="n">
        <f aca="false">ROUND(B6-B7,2)</f>
        <v>-3.1</v>
      </c>
      <c r="C8" s="3" t="s">
        <v>189</v>
      </c>
    </row>
    <row r="9" customFormat="false" ht="15" hidden="false" customHeight="false" outlineLevel="0" collapsed="false">
      <c r="A9" s="5" t="s">
        <v>190</v>
      </c>
      <c r="B9" s="26" t="n">
        <f aca="false">COUNTIF('Clients &amp; Quotes'!$J$5:$J$24,"active")</f>
        <v>6</v>
      </c>
      <c r="C9" s="3" t="s">
        <v>191</v>
      </c>
    </row>
    <row r="10" customFormat="false" ht="15" hidden="false" customHeight="false" outlineLevel="0" collapsed="false">
      <c r="A10" s="5" t="s">
        <v>192</v>
      </c>
      <c r="B10" s="19" t="n">
        <f aca="false">'Capacity &amp; Turnover'!B8</f>
        <v>242</v>
      </c>
      <c r="C10" s="3" t="s">
        <v>193</v>
      </c>
    </row>
    <row r="11" customFormat="false" ht="15" hidden="false" customHeight="false" outlineLevel="0" collapsed="false">
      <c r="A11" s="5" t="s">
        <v>194</v>
      </c>
      <c r="B11" s="19" t="n">
        <f aca="false">'Capacity &amp; Turnover'!B9</f>
        <v>30</v>
      </c>
      <c r="C11" s="3" t="s">
        <v>195</v>
      </c>
    </row>
    <row r="12" customFormat="false" ht="15" hidden="false" customHeight="false" outlineLevel="0" collapsed="false">
      <c r="A12" s="5" t="s">
        <v>159</v>
      </c>
      <c r="B12" s="10" t="n">
        <f aca="false">'Clients &amp; Quotes'!Q25</f>
        <v>9178.78</v>
      </c>
      <c r="C12" s="3" t="s">
        <v>196</v>
      </c>
    </row>
    <row r="13" customFormat="false" ht="15" hidden="false" customHeight="false" outlineLevel="0" collapsed="false">
      <c r="A13" s="5" t="s">
        <v>197</v>
      </c>
      <c r="B13" s="10" t="n">
        <f aca="false">'Clients &amp; Quotes'!R25</f>
        <v>37682.04</v>
      </c>
      <c r="C13" s="3" t="s">
        <v>198</v>
      </c>
    </row>
    <row r="14" customFormat="false" ht="15" hidden="false" customHeight="false" outlineLevel="0" collapsed="false">
      <c r="A14" s="5" t="s">
        <v>199</v>
      </c>
      <c r="B14" s="26" t="n">
        <f aca="false">'Capacity &amp; Turnover'!C28</f>
        <v>7</v>
      </c>
      <c r="C14" s="3" t="s">
        <v>200</v>
      </c>
    </row>
    <row r="15" customFormat="false" ht="15" hidden="false" customHeight="false" outlineLevel="0" collapsed="false">
      <c r="A15" s="5" t="s">
        <v>201</v>
      </c>
      <c r="B15" s="20" t="n">
        <f aca="false">'Capacity &amp; Turnover'!N28</f>
        <v>61.78</v>
      </c>
      <c r="C15" s="3" t="s">
        <v>202</v>
      </c>
    </row>
    <row r="16" customFormat="false" ht="15" hidden="false" customHeight="false" outlineLevel="0" collapsed="false">
      <c r="A16" s="5" t="s">
        <v>203</v>
      </c>
      <c r="B16" s="10" t="n">
        <f aca="false">'Capacity &amp; Turnover'!P28</f>
        <v>8048.24</v>
      </c>
      <c r="C16" s="3" t="s">
        <v>204</v>
      </c>
    </row>
    <row r="17" customFormat="false" ht="15" hidden="false" customHeight="false" outlineLevel="0" collapsed="false">
      <c r="A17" s="5" t="s">
        <v>205</v>
      </c>
      <c r="B17" s="5" t="str">
        <f aca="false">IFERROR(INDEX('Clients &amp; Quotes'!$A$5:$A$24,MATCH(MAX('Clients &amp; Quotes'!$Q$5:$Q$24),'Clients &amp; Quotes'!$Q$5:$Q$24,0)),"")</f>
        <v>Mrs. Evans</v>
      </c>
      <c r="C17" s="3" t="s">
        <v>206</v>
      </c>
    </row>
    <row r="18" customFormat="false" ht="15" hidden="false" customHeight="false" outlineLevel="0" collapsed="false">
      <c r="A18" s="5" t="s">
        <v>207</v>
      </c>
      <c r="B18" s="10" t="n">
        <f aca="false">IFERROR(MAX('Clients &amp; Quotes'!$Q$5:$Q$24),0)</f>
        <v>2936.35</v>
      </c>
      <c r="C18" s="3" t="s">
        <v>208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2026-10-07T06:53:13Z</dcterms:created>
  <dc:creator>openpyxl</dc:creator>
  <dc:description/>
  <dc:language>en-US</dc:language>
  <cp:lastModifiedBy/>
  <dcterms:modified xsi:type="dcterms:W3CDTF">2026-10-07T06:53:13Z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