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ates" sheetId="2" state="visible" r:id="rId4"/>
    <sheet name="Rate Card" sheetId="3" state="visible" r:id="rId5"/>
    <sheet name="Quote Builder" sheetId="4" state="visible" r:id="rId6"/>
    <sheet name="Retainer" sheetId="5" state="visible" r:id="rId7"/>
    <sheet name="Revenue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What you want to keep after business expenses.</t>
        </r>
      </text>
    </comment>
    <comment ref="B3" authorId="0">
      <text>
        <r>
          <rPr>
            <sz val="10"/>
            <rFont val="Arial"/>
            <family val="2"/>
          </rPr>
          <t xml:space="preserve">Software, insurance, equipment, accountant, training.</t>
        </r>
      </text>
    </comment>
    <comment ref="B4" authorId="0">
      <text>
        <r>
          <rPr>
            <sz val="10"/>
            <rFont val="Arial"/>
            <family val="2"/>
          </rPr>
          <t xml:space="preserve">Leave 0 if the target income is pre-tax.</t>
        </r>
      </text>
    </comment>
    <comment ref="B5" authorId="0">
      <text>
        <r>
          <rPr>
            <sz val="10"/>
            <rFont val="Arial"/>
            <family val="2"/>
          </rPr>
          <t xml:space="preserve">Holiday, sick days, public holidays, gaps between projects.</t>
        </r>
      </text>
    </comment>
    <comment ref="B7" authorId="0">
      <text>
        <r>
          <rPr>
            <sz val="10"/>
            <rFont val="Arial"/>
            <family val="2"/>
          </rPr>
          <t xml:space="preserve">Most solo freelancers bill 50-70% of their hours.</t>
        </r>
      </text>
    </comment>
    <comment ref="B9" authorId="0">
      <text>
        <r>
          <rPr>
            <sz val="10"/>
            <rFont val="Arial"/>
            <family val="2"/>
          </rPr>
          <t xml:space="preserve">Set 0 if you do not charge VAT.</t>
        </r>
      </text>
    </comment>
    <comment ref="B11" authorId="0">
      <text>
        <r>
          <rPr>
            <sz val="10"/>
            <rFont val="Arial"/>
            <family val="2"/>
          </rPr>
          <t xml:space="preserve">Text only; the kit does not convert currencies.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3" authorId="0">
      <text>
        <r>
          <rPr>
            <sz val="10"/>
            <rFont val="Arial"/>
            <family val="2"/>
          </rPr>
          <t xml:space="preserve">Defaults to the Rates sheet; overwrite per quote.</t>
        </r>
      </text>
    </comment>
    <comment ref="D8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9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0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1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2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3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4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5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6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7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8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  <comment ref="D19" authorId="0">
      <text>
        <r>
          <rPr>
            <sz val="10"/>
            <rFont val="Arial"/>
            <family val="2"/>
          </rPr>
          <t xml:space="preserve">Defaults to your hourly rate; overwrite for fixed items.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3" authorId="0">
      <text>
        <r>
          <rPr>
            <sz val="10"/>
            <rFont val="Arial"/>
            <family val="2"/>
          </rPr>
          <t xml:space="preserve">Defaults to your hourly rate; overwrite if needed.</t>
        </r>
      </text>
    </comment>
  </commentList>
</comments>
</file>

<file path=xl/sharedStrings.xml><?xml version="1.0" encoding="utf-8"?>
<sst xmlns="http://schemas.openxmlformats.org/spreadsheetml/2006/main" count="98" uniqueCount="96">
  <si>
    <t xml:space="preserve">Freelance Pricing Kit</t>
  </si>
  <si>
    <t xml:space="preserve">by Knackdesk · knackdesk.com</t>
  </si>
  <si>
    <t xml:space="preserve">HOW TO USE</t>
  </si>
  <si>
    <t xml:space="preserve">1. Rates: fill the yellow cells once. Your hourly, day and week rates are calculated from them.</t>
  </si>
  <si>
    <t xml:space="preserve">2. Rate Card: adjust the multipliers for rush and weekend work; the card updates from your rates.</t>
  </si>
  <si>
    <t xml:space="preserve">3. Quote Builder: enter the client, date and line items. Discount, VAT, deposit and milestones are calculated.</t>
  </si>
  <si>
    <t xml:space="preserve">4. Retainer: enter an hour block and a commitment discount to price a monthly retainer.</t>
  </si>
  <si>
    <t xml:space="preserve">5. Revenue Plan: enter an annual goal and your averages to see how many proposals to send.</t>
  </si>
  <si>
    <t xml:space="preserve">LEGEND</t>
  </si>
  <si>
    <t xml:space="preserve">Blue text = a cell you type into.   Black text = a formula, leave it alone.   Yellow fill = key inputs to set first.</t>
  </si>
  <si>
    <t xml:space="preserve">Blue cells that already contain a formula (for example the unit rate on a quote line) are defaults you may overwrite.</t>
  </si>
  <si>
    <t xml:space="preserve">NOTES</t>
  </si>
  <si>
    <t xml:space="preserve">The workbook uses formulas only, no macros. It works in Excel 2010 or later, Google Sheets and Apple Numbers.</t>
  </si>
  <si>
    <t xml:space="preserve">This kit does arithmetic; it is not legal, tax or financial advice. Check VAT and contract rules that apply to you.</t>
  </si>
  <si>
    <t xml:space="preserve">Support: hello@knackdesk.com</t>
  </si>
  <si>
    <t xml:space="preserve">Rates</t>
  </si>
  <si>
    <t xml:space="preserve">Target income per year</t>
  </si>
  <si>
    <t xml:space="preserve">What you want to keep after business expenses.</t>
  </si>
  <si>
    <t xml:space="preserve">Business expenses per year</t>
  </si>
  <si>
    <t xml:space="preserve">Software, insurance, equipment, accountant, training.</t>
  </si>
  <si>
    <t xml:space="preserve">Tax rate to gross up for (%)</t>
  </si>
  <si>
    <t xml:space="preserve">Leave 0 if the target income is pre-tax.</t>
  </si>
  <si>
    <t xml:space="preserve">Weeks off per year</t>
  </si>
  <si>
    <t xml:space="preserve">Holiday, sick days, public holidays, gaps between projects.</t>
  </si>
  <si>
    <t xml:space="preserve">Hours worked per week</t>
  </si>
  <si>
    <t xml:space="preserve">Billable share of hours (%)</t>
  </si>
  <si>
    <t xml:space="preserve">Most solo freelancers bill 50-70% of their hours.</t>
  </si>
  <si>
    <t xml:space="preserve">Hours in a billable day</t>
  </si>
  <si>
    <t xml:space="preserve">VAT rate on quotes (%)</t>
  </si>
  <si>
    <t xml:space="preserve">Set 0 if you do not charge VAT.</t>
  </si>
  <si>
    <t xml:space="preserve">Default deposit on quotes (%)</t>
  </si>
  <si>
    <t xml:space="preserve">Currency label</t>
  </si>
  <si>
    <t xml:space="preserve">USD</t>
  </si>
  <si>
    <t xml:space="preserve">Text only; the kit does not convert currencies.</t>
  </si>
  <si>
    <t xml:space="preserve">Working weeks</t>
  </si>
  <si>
    <t xml:space="preserve">Billable hours per year</t>
  </si>
  <si>
    <t xml:space="preserve">Revenue needed</t>
  </si>
  <si>
    <t xml:space="preserve">Hourly rate</t>
  </si>
  <si>
    <t xml:space="preserve">revenue needed ÷ billable hours; this drives every other sheet</t>
  </si>
  <si>
    <t xml:space="preserve">Day rate</t>
  </si>
  <si>
    <t xml:space="preserve">Week rate (5 days)</t>
  </si>
  <si>
    <t xml:space="preserve">Rate Card</t>
  </si>
  <si>
    <t xml:space="preserve">Multipliers are yours to change; rates come from the Rates sheet.</t>
  </si>
  <si>
    <t xml:space="preserve">Service tier</t>
  </si>
  <si>
    <t xml:space="preserve">Multiplier</t>
  </si>
  <si>
    <t xml:space="preserve">Hourly</t>
  </si>
  <si>
    <t xml:space="preserve">Day</t>
  </si>
  <si>
    <t xml:space="preserve">Week</t>
  </si>
  <si>
    <t xml:space="preserve">Standard</t>
  </si>
  <si>
    <t xml:space="preserve">Rush (48-hour turnaround)</t>
  </si>
  <si>
    <t xml:space="preserve">Weekend or evening</t>
  </si>
  <si>
    <t xml:space="preserve">Existing client (loyalty)</t>
  </si>
  <si>
    <t xml:space="preserve">Minimum charge (hours)</t>
  </si>
  <si>
    <t xml:space="preserve">smallest job you will invoice</t>
  </si>
  <si>
    <t xml:space="preserve">Quote Builder</t>
  </si>
  <si>
    <t xml:space="preserve">Client</t>
  </si>
  <si>
    <t xml:space="preserve">Example Client Ltd</t>
  </si>
  <si>
    <t xml:space="preserve">Quote date</t>
  </si>
  <si>
    <t xml:space="preserve">Valid for (days)</t>
  </si>
  <si>
    <t xml:space="preserve">Valid until</t>
  </si>
  <si>
    <t xml:space="preserve">Line item</t>
  </si>
  <si>
    <t xml:space="preserve">Qty or hours</t>
  </si>
  <si>
    <t xml:space="preserve">Unit</t>
  </si>
  <si>
    <t xml:space="preserve">Unit rate</t>
  </si>
  <si>
    <t xml:space="preserve">Amount</t>
  </si>
  <si>
    <t xml:space="preserve">Discovery workshop</t>
  </si>
  <si>
    <t xml:space="preserve">hours</t>
  </si>
  <si>
    <t xml:space="preserve">Design and build</t>
  </si>
  <si>
    <t xml:space="preserve">Subtotal</t>
  </si>
  <si>
    <t xml:space="preserve">Discount (%)</t>
  </si>
  <si>
    <t xml:space="preserve">VAT (%)</t>
  </si>
  <si>
    <t xml:space="preserve">Total</t>
  </si>
  <si>
    <t xml:space="preserve">Deposit (%)</t>
  </si>
  <si>
    <t xml:space="preserve">Balance after deposit</t>
  </si>
  <si>
    <t xml:space="preserve">Number of milestones for the balance</t>
  </si>
  <si>
    <t xml:space="preserve">Per milestone (last one absorbs rounding)</t>
  </si>
  <si>
    <t xml:space="preserve">Retainer</t>
  </si>
  <si>
    <t xml:space="preserve">Hours reserved per month</t>
  </si>
  <si>
    <t xml:space="preserve">Commitment discount (%)</t>
  </si>
  <si>
    <t xml:space="preserve">Term (months)</t>
  </si>
  <si>
    <t xml:space="preserve">List price per month</t>
  </si>
  <si>
    <t xml:space="preserve">Monthly retainer fee</t>
  </si>
  <si>
    <t xml:space="preserve">Effective hourly rate</t>
  </si>
  <si>
    <t xml:space="preserve">compare with the Rates sheet hourly rate; do not go below your floor</t>
  </si>
  <si>
    <t xml:space="preserve">Total over the term</t>
  </si>
  <si>
    <t xml:space="preserve">Discount given over the term</t>
  </si>
  <si>
    <t xml:space="preserve">Revenue Plan</t>
  </si>
  <si>
    <t xml:space="preserve">Annual revenue goal</t>
  </si>
  <si>
    <t xml:space="preserve">Average project value</t>
  </si>
  <si>
    <t xml:space="preserve">Projects a typical client buys per year</t>
  </si>
  <si>
    <t xml:space="preserve">Proposal win rate (%)</t>
  </si>
  <si>
    <t xml:space="preserve">Per year</t>
  </si>
  <si>
    <t xml:space="preserve">Per month</t>
  </si>
  <si>
    <t xml:space="preserve">Projects to deliver</t>
  </si>
  <si>
    <t xml:space="preserve">Clients to win</t>
  </si>
  <si>
    <t xml:space="preserve">Proposals to send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</si>
</sst>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"/>
    <numFmt numFmtId="167" formatCode="0"/>
    <numFmt numFmtId="168" formatCode="0.00"/>
    <numFmt numFmtId="169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  <c r="B2" s="5" t="n">
        <v>60000</v>
      </c>
      <c r="C2" s="2" t="s">
        <v>17</v>
      </c>
    </row>
    <row r="3" customFormat="false" ht="15" hidden="false" customHeight="false" outlineLevel="0" collapsed="false">
      <c r="A3" s="3" t="s">
        <v>18</v>
      </c>
      <c r="B3" s="5" t="n">
        <v>6000</v>
      </c>
      <c r="C3" s="2" t="s">
        <v>19</v>
      </c>
    </row>
    <row r="4" customFormat="false" ht="15" hidden="false" customHeight="false" outlineLevel="0" collapsed="false">
      <c r="A4" s="3" t="s">
        <v>20</v>
      </c>
      <c r="B4" s="6" t="n">
        <v>0</v>
      </c>
      <c r="C4" s="2" t="s">
        <v>21</v>
      </c>
    </row>
    <row r="5" customFormat="false" ht="15" hidden="false" customHeight="false" outlineLevel="0" collapsed="false">
      <c r="A5" s="3" t="s">
        <v>22</v>
      </c>
      <c r="B5" s="7" t="n">
        <v>6</v>
      </c>
      <c r="C5" s="2" t="s">
        <v>23</v>
      </c>
    </row>
    <row r="6" customFormat="false" ht="15" hidden="false" customHeight="false" outlineLevel="0" collapsed="false">
      <c r="A6" s="3" t="s">
        <v>24</v>
      </c>
      <c r="B6" s="7" t="n">
        <v>40</v>
      </c>
    </row>
    <row r="7" customFormat="false" ht="15" hidden="false" customHeight="false" outlineLevel="0" collapsed="false">
      <c r="A7" s="3" t="s">
        <v>25</v>
      </c>
      <c r="B7" s="7" t="n">
        <v>60</v>
      </c>
      <c r="C7" s="2" t="s">
        <v>26</v>
      </c>
    </row>
    <row r="8" customFormat="false" ht="15" hidden="false" customHeight="false" outlineLevel="0" collapsed="false">
      <c r="A8" s="3" t="s">
        <v>27</v>
      </c>
      <c r="B8" s="6" t="n">
        <v>8</v>
      </c>
    </row>
    <row r="9" customFormat="false" ht="15" hidden="false" customHeight="false" outlineLevel="0" collapsed="false">
      <c r="A9" s="3" t="s">
        <v>28</v>
      </c>
      <c r="B9" s="6" t="n">
        <v>20</v>
      </c>
      <c r="C9" s="2" t="s">
        <v>29</v>
      </c>
    </row>
    <row r="10" customFormat="false" ht="15" hidden="false" customHeight="false" outlineLevel="0" collapsed="false">
      <c r="A10" s="3" t="s">
        <v>30</v>
      </c>
      <c r="B10" s="7" t="n">
        <v>30</v>
      </c>
    </row>
    <row r="11" customFormat="false" ht="15" hidden="false" customHeight="false" outlineLevel="0" collapsed="false">
      <c r="A11" s="3" t="s">
        <v>31</v>
      </c>
      <c r="B11" s="8" t="s">
        <v>32</v>
      </c>
      <c r="C11" s="2" t="s">
        <v>33</v>
      </c>
    </row>
    <row r="13" customFormat="false" ht="15" hidden="false" customHeight="false" outlineLevel="0" collapsed="false">
      <c r="A13" s="3" t="s">
        <v>34</v>
      </c>
      <c r="B13" s="9" t="n">
        <f aca="false">52-B5</f>
        <v>46</v>
      </c>
    </row>
    <row r="14" customFormat="false" ht="15" hidden="false" customHeight="false" outlineLevel="0" collapsed="false">
      <c r="A14" s="3" t="s">
        <v>35</v>
      </c>
      <c r="B14" s="10" t="n">
        <f aca="false">ROUND(B13*B6*B7/100,2)</f>
        <v>1104</v>
      </c>
    </row>
    <row r="15" customFormat="false" ht="15" hidden="false" customHeight="false" outlineLevel="0" collapsed="false">
      <c r="A15" s="3" t="s">
        <v>36</v>
      </c>
      <c r="B15" s="11" t="n">
        <f aca="false">B3+B2/(1-B4/100)</f>
        <v>66000</v>
      </c>
    </row>
    <row r="16" customFormat="false" ht="15" hidden="false" customHeight="false" outlineLevel="0" collapsed="false">
      <c r="A16" s="4" t="s">
        <v>37</v>
      </c>
      <c r="B16" s="12" t="n">
        <f aca="false">IFERROR(ROUND(B15/B14,2),0)</f>
        <v>59.78</v>
      </c>
      <c r="C16" s="2" t="s">
        <v>38</v>
      </c>
    </row>
    <row r="17" customFormat="false" ht="15" hidden="false" customHeight="false" outlineLevel="0" collapsed="false">
      <c r="A17" s="4" t="s">
        <v>39</v>
      </c>
      <c r="B17" s="12" t="n">
        <f aca="false">ROUND(B16*B8,2)</f>
        <v>478.24</v>
      </c>
    </row>
    <row r="18" customFormat="false" ht="15" hidden="false" customHeight="false" outlineLevel="0" collapsed="false">
      <c r="A18" s="4" t="s">
        <v>40</v>
      </c>
      <c r="B18" s="12" t="n">
        <f aca="false">ROUND(B17*5,2)</f>
        <v>2391.2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13" t="s">
        <v>43</v>
      </c>
      <c r="B4" s="13" t="s">
        <v>44</v>
      </c>
      <c r="C4" s="13" t="s">
        <v>45</v>
      </c>
      <c r="D4" s="13" t="s">
        <v>46</v>
      </c>
      <c r="E4" s="13" t="s">
        <v>47</v>
      </c>
    </row>
    <row r="5" customFormat="false" ht="15" hidden="false" customHeight="false" outlineLevel="0" collapsed="false">
      <c r="A5" s="14" t="s">
        <v>48</v>
      </c>
      <c r="B5" s="15" t="n">
        <v>1</v>
      </c>
      <c r="C5" s="11" t="n">
        <f aca="false">ROUND(Rates!$B$16*B5,2)</f>
        <v>59.78</v>
      </c>
      <c r="D5" s="11" t="n">
        <f aca="false">ROUND(Rates!$B$17*B5,2)</f>
        <v>478.24</v>
      </c>
      <c r="E5" s="11" t="n">
        <f aca="false">ROUND(Rates!$B$18*B5,2)</f>
        <v>2391.2</v>
      </c>
    </row>
    <row r="6" customFormat="false" ht="15" hidden="false" customHeight="false" outlineLevel="0" collapsed="false">
      <c r="A6" s="14" t="s">
        <v>49</v>
      </c>
      <c r="B6" s="15" t="n">
        <v>1.5</v>
      </c>
      <c r="C6" s="11" t="n">
        <f aca="false">ROUND(Rates!$B$16*B6,2)</f>
        <v>89.67</v>
      </c>
      <c r="D6" s="11" t="n">
        <f aca="false">ROUND(Rates!$B$17*B6,2)</f>
        <v>717.36</v>
      </c>
      <c r="E6" s="11" t="n">
        <f aca="false">ROUND(Rates!$B$18*B6,2)</f>
        <v>3586.8</v>
      </c>
    </row>
    <row r="7" customFormat="false" ht="15" hidden="false" customHeight="false" outlineLevel="0" collapsed="false">
      <c r="A7" s="14" t="s">
        <v>50</v>
      </c>
      <c r="B7" s="15" t="n">
        <v>2</v>
      </c>
      <c r="C7" s="11" t="n">
        <f aca="false">ROUND(Rates!$B$16*B7,2)</f>
        <v>119.56</v>
      </c>
      <c r="D7" s="11" t="n">
        <f aca="false">ROUND(Rates!$B$17*B7,2)</f>
        <v>956.48</v>
      </c>
      <c r="E7" s="11" t="n">
        <f aca="false">ROUND(Rates!$B$18*B7,2)</f>
        <v>4782.4</v>
      </c>
    </row>
    <row r="8" customFormat="false" ht="15" hidden="false" customHeight="false" outlineLevel="0" collapsed="false">
      <c r="A8" s="14" t="s">
        <v>51</v>
      </c>
      <c r="B8" s="15" t="n">
        <v>0.9</v>
      </c>
      <c r="C8" s="11" t="n">
        <f aca="false">ROUND(Rates!$B$16*B8,2)</f>
        <v>53.8</v>
      </c>
      <c r="D8" s="11" t="n">
        <f aca="false">ROUND(Rates!$B$17*B8,2)</f>
        <v>430.42</v>
      </c>
      <c r="E8" s="11" t="n">
        <f aca="false">ROUND(Rates!$B$18*B8,2)</f>
        <v>2152.08</v>
      </c>
    </row>
    <row r="10" customFormat="false" ht="15" hidden="false" customHeight="false" outlineLevel="0" collapsed="false">
      <c r="A10" s="3" t="s">
        <v>52</v>
      </c>
      <c r="B10" s="16" t="n">
        <v>1</v>
      </c>
      <c r="C10" s="11" t="n">
        <f aca="false">ROUND(Rates!$B$16*B10,2)</f>
        <v>59.78</v>
      </c>
      <c r="D10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3" t="s">
        <v>55</v>
      </c>
      <c r="B2" s="8" t="s">
        <v>56</v>
      </c>
    </row>
    <row r="3" customFormat="false" ht="15" hidden="false" customHeight="false" outlineLevel="0" collapsed="false">
      <c r="A3" s="3" t="s">
        <v>57</v>
      </c>
      <c r="B3" s="17" t="n">
        <v>46296</v>
      </c>
    </row>
    <row r="4" customFormat="false" ht="15" hidden="false" customHeight="false" outlineLevel="0" collapsed="false">
      <c r="A4" s="3" t="s">
        <v>58</v>
      </c>
      <c r="B4" s="18" t="n">
        <v>30</v>
      </c>
    </row>
    <row r="5" customFormat="false" ht="15" hidden="false" customHeight="false" outlineLevel="0" collapsed="false">
      <c r="A5" s="3" t="s">
        <v>59</v>
      </c>
      <c r="B5" s="19" t="n">
        <f aca="false">B3+B4</f>
        <v>46326</v>
      </c>
    </row>
    <row r="7" customFormat="false" ht="26.85" hidden="false" customHeight="false" outlineLevel="0" collapsed="false">
      <c r="A7" s="13" t="s">
        <v>60</v>
      </c>
      <c r="B7" s="13" t="s">
        <v>61</v>
      </c>
      <c r="C7" s="13" t="s">
        <v>62</v>
      </c>
      <c r="D7" s="13" t="s">
        <v>63</v>
      </c>
      <c r="E7" s="13" t="s">
        <v>64</v>
      </c>
    </row>
    <row r="8" customFormat="false" ht="15" hidden="false" customHeight="false" outlineLevel="0" collapsed="false">
      <c r="A8" s="14" t="s">
        <v>65</v>
      </c>
      <c r="B8" s="15" t="n">
        <v>4</v>
      </c>
      <c r="C8" s="14" t="s">
        <v>66</v>
      </c>
      <c r="D8" s="20" t="n">
        <f aca="false">Rates!$B$16</f>
        <v>59.78</v>
      </c>
      <c r="E8" s="11" t="n">
        <f aca="false">IF(OR(A8="",B8=""),"",ROUND(B8*D8,2))</f>
        <v>239.12</v>
      </c>
    </row>
    <row r="9" customFormat="false" ht="15" hidden="false" customHeight="false" outlineLevel="0" collapsed="false">
      <c r="A9" s="14" t="s">
        <v>67</v>
      </c>
      <c r="B9" s="15" t="n">
        <v>30</v>
      </c>
      <c r="C9" s="14" t="s">
        <v>66</v>
      </c>
      <c r="D9" s="20" t="n">
        <f aca="false">Rates!$B$16</f>
        <v>59.78</v>
      </c>
      <c r="E9" s="11" t="n">
        <f aca="false">IF(OR(A9="",B9=""),"",ROUND(B9*D9,2))</f>
        <v>1793.4</v>
      </c>
    </row>
    <row r="10" customFormat="false" ht="15" hidden="false" customHeight="false" outlineLevel="0" collapsed="false">
      <c r="A10" s="14"/>
      <c r="B10" s="15"/>
      <c r="C10" s="14"/>
      <c r="D10" s="20" t="n">
        <f aca="false">Rates!$B$16</f>
        <v>59.78</v>
      </c>
      <c r="E10" s="11" t="str">
        <f aca="false">IF(OR(A10="",B10=""),"",ROUND(B10*D10,2))</f>
        <v/>
      </c>
    </row>
    <row r="11" customFormat="false" ht="15" hidden="false" customHeight="false" outlineLevel="0" collapsed="false">
      <c r="A11" s="14"/>
      <c r="B11" s="15"/>
      <c r="C11" s="14"/>
      <c r="D11" s="20" t="n">
        <f aca="false">Rates!$B$16</f>
        <v>59.78</v>
      </c>
      <c r="E11" s="11" t="str">
        <f aca="false">IF(OR(A11="",B11=""),"",ROUND(B11*D11,2))</f>
        <v/>
      </c>
    </row>
    <row r="12" customFormat="false" ht="15" hidden="false" customHeight="false" outlineLevel="0" collapsed="false">
      <c r="A12" s="14"/>
      <c r="B12" s="15"/>
      <c r="C12" s="14"/>
      <c r="D12" s="20" t="n">
        <f aca="false">Rates!$B$16</f>
        <v>59.78</v>
      </c>
      <c r="E12" s="11" t="str">
        <f aca="false">IF(OR(A12="",B12=""),"",ROUND(B12*D12,2))</f>
        <v/>
      </c>
    </row>
    <row r="13" customFormat="false" ht="15" hidden="false" customHeight="false" outlineLevel="0" collapsed="false">
      <c r="A13" s="14"/>
      <c r="B13" s="15"/>
      <c r="C13" s="14"/>
      <c r="D13" s="20" t="n">
        <f aca="false">Rates!$B$16</f>
        <v>59.78</v>
      </c>
      <c r="E13" s="11" t="str">
        <f aca="false">IF(OR(A13="",B13=""),"",ROUND(B13*D13,2))</f>
        <v/>
      </c>
    </row>
    <row r="14" customFormat="false" ht="15" hidden="false" customHeight="false" outlineLevel="0" collapsed="false">
      <c r="A14" s="14"/>
      <c r="B14" s="15"/>
      <c r="C14" s="14"/>
      <c r="D14" s="20" t="n">
        <f aca="false">Rates!$B$16</f>
        <v>59.78</v>
      </c>
      <c r="E14" s="11" t="str">
        <f aca="false">IF(OR(A14="",B14=""),"",ROUND(B14*D14,2))</f>
        <v/>
      </c>
    </row>
    <row r="15" customFormat="false" ht="15" hidden="false" customHeight="false" outlineLevel="0" collapsed="false">
      <c r="A15" s="14"/>
      <c r="B15" s="15"/>
      <c r="C15" s="14"/>
      <c r="D15" s="20" t="n">
        <f aca="false">Rates!$B$16</f>
        <v>59.78</v>
      </c>
      <c r="E15" s="11" t="str">
        <f aca="false">IF(OR(A15="",B15=""),"",ROUND(B15*D15,2))</f>
        <v/>
      </c>
    </row>
    <row r="16" customFormat="false" ht="15" hidden="false" customHeight="false" outlineLevel="0" collapsed="false">
      <c r="A16" s="14"/>
      <c r="B16" s="15"/>
      <c r="C16" s="14"/>
      <c r="D16" s="20" t="n">
        <f aca="false">Rates!$B$16</f>
        <v>59.78</v>
      </c>
      <c r="E16" s="11" t="str">
        <f aca="false">IF(OR(A16="",B16=""),"",ROUND(B16*D16,2))</f>
        <v/>
      </c>
    </row>
    <row r="17" customFormat="false" ht="15" hidden="false" customHeight="false" outlineLevel="0" collapsed="false">
      <c r="A17" s="14"/>
      <c r="B17" s="15"/>
      <c r="C17" s="14"/>
      <c r="D17" s="20" t="n">
        <f aca="false">Rates!$B$16</f>
        <v>59.78</v>
      </c>
      <c r="E17" s="11" t="str">
        <f aca="false">IF(OR(A17="",B17=""),"",ROUND(B17*D17,2))</f>
        <v/>
      </c>
    </row>
    <row r="18" customFormat="false" ht="15" hidden="false" customHeight="false" outlineLevel="0" collapsed="false">
      <c r="A18" s="14"/>
      <c r="B18" s="15"/>
      <c r="C18" s="14"/>
      <c r="D18" s="20" t="n">
        <f aca="false">Rates!$B$16</f>
        <v>59.78</v>
      </c>
      <c r="E18" s="11" t="str">
        <f aca="false">IF(OR(A18="",B18=""),"",ROUND(B18*D18,2))</f>
        <v/>
      </c>
    </row>
    <row r="19" customFormat="false" ht="15" hidden="false" customHeight="false" outlineLevel="0" collapsed="false">
      <c r="A19" s="14"/>
      <c r="B19" s="15"/>
      <c r="C19" s="14"/>
      <c r="D19" s="20" t="n">
        <f aca="false">Rates!$B$16</f>
        <v>59.78</v>
      </c>
      <c r="E19" s="11" t="str">
        <f aca="false">IF(OR(A19="",B19=""),"",ROUND(B19*D19,2))</f>
        <v/>
      </c>
    </row>
    <row r="21" customFormat="false" ht="15" hidden="false" customHeight="false" outlineLevel="0" collapsed="false">
      <c r="A21" s="4" t="s">
        <v>68</v>
      </c>
      <c r="F21" s="12" t="n">
        <f aca="false">SUM(E8:E19)</f>
        <v>2032.52</v>
      </c>
    </row>
    <row r="22" customFormat="false" ht="15" hidden="false" customHeight="false" outlineLevel="0" collapsed="false">
      <c r="A22" s="3" t="s">
        <v>69</v>
      </c>
      <c r="B22" s="16" t="n">
        <v>0</v>
      </c>
      <c r="F22" s="11" t="n">
        <f aca="false">-ROUND(F21*B22/100,2)</f>
        <v>-0</v>
      </c>
    </row>
    <row r="23" customFormat="false" ht="15" hidden="false" customHeight="false" outlineLevel="0" collapsed="false">
      <c r="A23" s="3" t="s">
        <v>70</v>
      </c>
      <c r="B23" s="16" t="n">
        <f aca="false">Rates!$B$9</f>
        <v>20</v>
      </c>
      <c r="F23" s="11" t="n">
        <f aca="false">ROUND((F21+F22)*B23/100,2)</f>
        <v>406.5</v>
      </c>
    </row>
    <row r="24" customFormat="false" ht="15" hidden="false" customHeight="false" outlineLevel="0" collapsed="false">
      <c r="A24" s="4" t="s">
        <v>71</v>
      </c>
      <c r="F24" s="12" t="n">
        <f aca="false">F21+F22+F23</f>
        <v>2439.02</v>
      </c>
    </row>
    <row r="26" customFormat="false" ht="15" hidden="false" customHeight="false" outlineLevel="0" collapsed="false">
      <c r="A26" s="3" t="s">
        <v>72</v>
      </c>
      <c r="B26" s="18" t="n">
        <f aca="false">Rates!$B$10</f>
        <v>30</v>
      </c>
      <c r="F26" s="11" t="n">
        <f aca="false">ROUND(F24*B26/100,2)</f>
        <v>731.71</v>
      </c>
    </row>
    <row r="27" customFormat="false" ht="15" hidden="false" customHeight="false" outlineLevel="0" collapsed="false">
      <c r="A27" s="3" t="s">
        <v>73</v>
      </c>
      <c r="F27" s="11" t="n">
        <f aca="false">F24-F26</f>
        <v>1707.31</v>
      </c>
    </row>
    <row r="28" customFormat="false" ht="15" hidden="false" customHeight="false" outlineLevel="0" collapsed="false">
      <c r="A28" s="3" t="s">
        <v>74</v>
      </c>
      <c r="B28" s="18" t="n">
        <v>2</v>
      </c>
      <c r="F28" s="11" t="n">
        <f aca="false">IF(B28&gt;0,ROUND(F27/B28,2),"")</f>
        <v>853.66</v>
      </c>
    </row>
    <row r="29" customFormat="false" ht="15" hidden="false" customHeight="false" outlineLevel="0" collapsed="false">
      <c r="A29" s="2" t="s">
        <v>75</v>
      </c>
      <c r="F29" s="11" t="n">
        <f aca="false">IF(B28&gt;0,F27-F28*(B28-1),"")</f>
        <v>853.65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3" t="s">
        <v>77</v>
      </c>
      <c r="B2" s="6" t="n">
        <v>20</v>
      </c>
    </row>
    <row r="3" customFormat="false" ht="15" hidden="false" customHeight="false" outlineLevel="0" collapsed="false">
      <c r="A3" s="3" t="s">
        <v>37</v>
      </c>
      <c r="B3" s="20" t="n">
        <f aca="false">Rates!$B$16</f>
        <v>59.78</v>
      </c>
    </row>
    <row r="4" customFormat="false" ht="15" hidden="false" customHeight="false" outlineLevel="0" collapsed="false">
      <c r="A4" s="3" t="s">
        <v>78</v>
      </c>
      <c r="B4" s="6" t="n">
        <v>10</v>
      </c>
    </row>
    <row r="5" customFormat="false" ht="15" hidden="false" customHeight="false" outlineLevel="0" collapsed="false">
      <c r="A5" s="3" t="s">
        <v>79</v>
      </c>
      <c r="B5" s="7" t="n">
        <v>12</v>
      </c>
    </row>
    <row r="7" customFormat="false" ht="15" hidden="false" customHeight="false" outlineLevel="0" collapsed="false">
      <c r="A7" s="3" t="s">
        <v>80</v>
      </c>
      <c r="B7" s="11" t="n">
        <f aca="false">ROUND(B2*B3,2)</f>
        <v>1195.6</v>
      </c>
    </row>
    <row r="8" customFormat="false" ht="15" hidden="false" customHeight="false" outlineLevel="0" collapsed="false">
      <c r="A8" s="4" t="s">
        <v>81</v>
      </c>
      <c r="B8" s="12" t="n">
        <f aca="false">ROUND(B7*(1-B4/100),2)</f>
        <v>1076.04</v>
      </c>
    </row>
    <row r="9" customFormat="false" ht="15" hidden="false" customHeight="false" outlineLevel="0" collapsed="false">
      <c r="A9" s="4" t="s">
        <v>82</v>
      </c>
      <c r="B9" s="12" t="n">
        <f aca="false">ROUND(B8/B2,2)</f>
        <v>53.8</v>
      </c>
      <c r="C9" s="2" t="s">
        <v>83</v>
      </c>
    </row>
    <row r="10" customFormat="false" ht="15" hidden="false" customHeight="false" outlineLevel="0" collapsed="false">
      <c r="A10" s="3" t="s">
        <v>84</v>
      </c>
      <c r="B10" s="11" t="n">
        <f aca="false">B8*B5</f>
        <v>12912.48</v>
      </c>
    </row>
    <row r="11" customFormat="false" ht="15" hidden="false" customHeight="false" outlineLevel="0" collapsed="false">
      <c r="A11" s="3" t="s">
        <v>85</v>
      </c>
      <c r="B11" s="11" t="n">
        <f aca="false">(B7-B8)*B5</f>
        <v>1434.72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3" t="s">
        <v>87</v>
      </c>
      <c r="B2" s="5" t="n">
        <v>120000</v>
      </c>
    </row>
    <row r="3" customFormat="false" ht="15" hidden="false" customHeight="false" outlineLevel="0" collapsed="false">
      <c r="A3" s="3" t="s">
        <v>88</v>
      </c>
      <c r="B3" s="5" t="n">
        <v>5000</v>
      </c>
    </row>
    <row r="4" customFormat="false" ht="15" hidden="false" customHeight="false" outlineLevel="0" collapsed="false">
      <c r="A4" s="3" t="s">
        <v>89</v>
      </c>
      <c r="B4" s="16" t="n">
        <v>2</v>
      </c>
    </row>
    <row r="5" customFormat="false" ht="15" hidden="false" customHeight="false" outlineLevel="0" collapsed="false">
      <c r="A5" s="3" t="s">
        <v>90</v>
      </c>
      <c r="B5" s="6" t="n">
        <v>25</v>
      </c>
    </row>
    <row r="7" customFormat="false" ht="15" hidden="false" customHeight="false" outlineLevel="0" collapsed="false">
      <c r="A7" s="13"/>
      <c r="B7" s="13" t="s">
        <v>91</v>
      </c>
      <c r="C7" s="13" t="s">
        <v>92</v>
      </c>
    </row>
    <row r="8" customFormat="false" ht="15" hidden="false" customHeight="false" outlineLevel="0" collapsed="false">
      <c r="A8" s="4" t="s">
        <v>93</v>
      </c>
      <c r="B8" s="21" t="n">
        <f aca="false">ROUNDUP(B2/B3,0)</f>
        <v>24</v>
      </c>
      <c r="C8" s="22" t="n">
        <f aca="false">ROUND(B8/12,1)</f>
        <v>2</v>
      </c>
    </row>
    <row r="9" customFormat="false" ht="15" hidden="false" customHeight="false" outlineLevel="0" collapsed="false">
      <c r="A9" s="4" t="s">
        <v>94</v>
      </c>
      <c r="B9" s="21" t="n">
        <f aca="false">ROUNDUP(B8/B4,0)</f>
        <v>12</v>
      </c>
      <c r="C9" s="22" t="n">
        <f aca="false">ROUND(B9/12,1)</f>
        <v>1</v>
      </c>
    </row>
    <row r="10" customFormat="false" ht="15" hidden="false" customHeight="false" outlineLevel="0" collapsed="false">
      <c r="A10" s="4" t="s">
        <v>95</v>
      </c>
      <c r="B10" s="21" t="n">
        <f aca="false">ROUNDUP(B9/(B5/100),0)</f>
        <v>48</v>
      </c>
      <c r="C10" s="22" t="n">
        <f aca="false">ROUND(B10/12,1)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2026-09-30T22:17:15Z</dcterms:created>
  <dc:creator>openpyxl</dc:creator>
  <dc:description/>
  <dc:language>en-US</dc:language>
  <cp:lastModifiedBy/>
  <dcterms:modified xsi:type="dcterms:W3CDTF">2026-09-30T22:17:15Z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