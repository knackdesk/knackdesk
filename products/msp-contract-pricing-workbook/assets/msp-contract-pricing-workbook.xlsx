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mments4.xml" ContentType="application/vnd.openxmlformats-officedocument.spreadsheetml.comments+xml"/>
  <Override PartName="/xl/comments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3.vml" ContentType="application/vnd.openxmlformats-officedocument.vmlDrawing"/>
  <Override PartName="/xl/drawings/vmlDrawing5.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Tool Stack" sheetId="3" state="visible" r:id="rId5"/>
    <sheet name="Contracts" sheetId="4" state="visible" r:id="rId6"/>
    <sheet name="Tickets" sheetId="5" state="visible" r:id="rId7"/>
    <sheet name="Blocks &amp; Onboarding"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Knackdesk</author>
  </authors>
  <commentList>
    <comment ref="B4" authorId="0">
      <text>
        <r>
          <rPr>
            <sz val="10"/>
            <rFont val="Arial"/>
            <family val="2"/>
          </rPr>
          <t xml:space="preserve">Assumption: 20% is a placeholder for employer taxes and benefits; use your payroll figures.</t>
        </r>
      </text>
    </comment>
    <comment ref="B5" authorId="0">
      <text>
        <r>
          <rPr>
            <sz val="10"/>
            <rFont val="Arial"/>
            <family val="2"/>
          </rPr>
          <t xml:space="preserve">Assumption: about 173 paid hours a month, less holidays, sickness, training, meetings and internal admin, leaves about 130 productive hours.</t>
        </r>
      </text>
    </comment>
    <comment ref="B13" authorId="0">
      <text>
        <r>
          <rPr>
            <sz val="10"/>
            <rFont val="Arial"/>
            <family val="2"/>
          </rPr>
          <t xml:space="preserve">Your own target, not an industry benchmark. Margin is profit ÷ price.</t>
        </r>
      </text>
    </comment>
    <comment ref="B15" authorId="0">
      <text>
        <r>
          <rPr>
            <sz val="10"/>
            <rFont val="Arial"/>
            <family val="2"/>
          </rPr>
          <t xml:space="preserve">Assumption: some prepaid hours expire unused (breakage). 15% is a placeholder; set it from your own expired blocks.</t>
        </r>
      </text>
    </comment>
  </commentList>
</comments>
</file>

<file path=xl/comments3.xml><?xml version="1.0" encoding="utf-8"?>
<comments xmlns="http://schemas.openxmlformats.org/spreadsheetml/2006/main" xmlns:xdr="http://schemas.openxmlformats.org/drawingml/2006/spreadsheetDrawing">
  <authors>
    <author>Knackdesk</author>
  </authors>
  <commentList>
    <comment ref="B9" authorId="0">
      <text>
        <r>
          <rPr>
            <sz val="10"/>
            <rFont val="Arial"/>
            <family val="2"/>
          </rPr>
          <t xml:space="preserve">PSA is billed per technician, not per client, so it is marked fixed and stays out of the contract allocation.</t>
        </r>
      </text>
    </comment>
    <comment ref="C5" authorId="0">
      <text>
        <r>
          <rPr>
            <sz val="10"/>
            <rFont val="Arial"/>
            <family val="2"/>
          </rPr>
          <t xml:space="preserve">Example prices only. Use your distributor or vendor invoices.</t>
        </r>
      </text>
    </comment>
  </commentList>
</comments>
</file>

<file path=xl/comments4.xml><?xml version="1.0" encoding="utf-8"?>
<comments xmlns="http://schemas.openxmlformats.org/spreadsheetml/2006/main" xmlns:xdr="http://schemas.openxmlformats.org/drawingml/2006/spreadsheetDrawing">
  <authors>
    <author>Knackdesk</author>
  </authors>
  <commentList>
    <comment ref="F5" authorId="0">
      <text>
        <r>
          <rPr>
            <sz val="10"/>
            <rFont val="Arial"/>
            <family val="2"/>
          </rPr>
          <t xml:space="preserve">Actual hours from your PSA time entries, or your estimate for a new contract. Include tickets, maintenance and reviews.</t>
        </r>
      </text>
    </comment>
    <comment ref="G5" authorId="0">
      <text>
        <r>
          <rPr>
            <sz val="10"/>
            <rFont val="Arial"/>
            <family val="2"/>
          </rPr>
          <t xml:space="preserve">Tools billed only for this client (a line-of-business app licence, a dedicated firewall subscription). Shared tools come from the Tool Stack.</t>
        </r>
      </text>
    </comment>
    <comment ref="K5" authorId="0">
      <text>
        <r>
          <rPr>
            <sz val="10"/>
            <rFont val="Arial"/>
            <family val="2"/>
          </rPr>
          <t xml:space="preserve">Assumption: per-unit tools are shared in proportion to users + devices across all contracts listed here.</t>
        </r>
      </text>
    </comment>
    <comment ref="O35" authorId="0">
      <text>
        <r>
          <rPr>
            <sz val="10"/>
            <rFont val="Arial"/>
            <family val="2"/>
          </rPr>
          <t xml:space="preserve">Overall margin is recomputed from the totals, not an average of the contract margins.</t>
        </r>
      </text>
    </comment>
  </commentList>
</comments>
</file>

<file path=xl/comments5.xml><?xml version="1.0" encoding="utf-8"?>
<comments xmlns="http://schemas.openxmlformats.org/spreadsheetml/2006/main" xmlns:xdr="http://schemas.openxmlformats.org/drawingml/2006/spreadsheetDrawing">
  <authors>
    <author>Knackdesk</author>
  </authors>
  <commentList>
    <comment ref="C5" authorId="0">
      <text>
        <r>
          <rPr>
            <sz val="10"/>
            <rFont val="Arial"/>
            <family val="2"/>
          </rPr>
          <t xml:space="preserve">Average logged time per closed ticket from your PSA, including follow-up.</t>
        </r>
      </text>
    </comment>
    <comment ref="E7" authorId="0">
      <text>
        <r>
          <rPr>
            <sz val="10"/>
            <rFont val="Arial"/>
            <family val="2"/>
          </rPr>
          <t xml:space="preserve">Example override: a month with overtime or a contractor. Leave empty to use the Settings figure.</t>
        </r>
      </text>
    </comment>
    <comment ref="G5" authorId="0">
      <text>
        <r>
          <rPr>
            <sz val="10"/>
            <rFont val="Arial"/>
            <family val="2"/>
          </rPr>
          <t xml:space="preserve">Default = whole Tool Stack (fixed and per-unit tools) + total overhead from Settings.</t>
        </r>
      </text>
    </comment>
    <comment ref="K17" authorId="0">
      <text>
        <r>
          <rPr>
            <sz val="10"/>
            <rFont val="Arial"/>
            <family val="2"/>
          </rPr>
          <t xml:space="preserve">Totals recompute from the column totals, not an average of the monthly figures.</t>
        </r>
      </text>
    </comment>
  </commentList>
</comments>
</file>

<file path=xl/comments6.xml><?xml version="1.0" encoding="utf-8"?>
<comments xmlns="http://schemas.openxmlformats.org/spreadsheetml/2006/main" xmlns:xdr="http://schemas.openxmlformats.org/drawingml/2006/spreadsheetDrawing">
  <authors>
    <author>Knackdesk</author>
  </authors>
  <commentList>
    <comment ref="B20" authorId="0">
      <text>
        <r>
          <rPr>
            <sz val="10"/>
            <rFont val="Arial"/>
            <family val="2"/>
          </rPr>
          <t xml:space="preserve">Hours to document the environment, deploy agents, migrate accounts and train staff. Estimate generously.</t>
        </r>
      </text>
    </comment>
    <comment ref="F20" authorId="0">
      <text>
        <r>
          <rPr>
            <sz val="10"/>
            <rFont val="Arial"/>
            <family val="2"/>
          </rPr>
          <t xml:space="preserve">Hardware, licences and third-party costs you pay to onboard the client.</t>
        </r>
      </text>
    </comment>
    <comment ref="I5" authorId="0">
      <text>
        <r>
          <rPr>
            <sz val="10"/>
            <rFont val="Arial"/>
            <family val="2"/>
          </rPr>
          <t xml:space="preserve">Months before unused hours expire. Per month = block price ÷ expiry months.</t>
        </r>
      </text>
    </comment>
    <comment ref="K5" authorId="0">
      <text>
        <r>
          <rPr>
            <sz val="10"/>
            <rFont val="Arial"/>
            <family val="2"/>
          </rPr>
          <t xml:space="preserve">Leave empty to use the Settings figure; any number here takes precedence for this block.</t>
        </r>
      </text>
    </comment>
  </commentList>
</comments>
</file>

<file path=xl/sharedStrings.xml><?xml version="1.0" encoding="utf-8"?>
<sst xmlns="http://schemas.openxmlformats.org/spreadsheetml/2006/main" count="229" uniqueCount="197">
  <si>
    <t xml:space="preserve">MSP Contract Pricing Workbook</t>
  </si>
  <si>
    <t xml:space="preserve">by Knackdesk · knackdesk.com</t>
  </si>
  <si>
    <t xml:space="preserve">HOW TO USE</t>
  </si>
  <si>
    <t xml:space="preserve">1. Settings: technician count, salary, payroll taxes and benefits, productive hours, overhead line by line, target margin, block hours discount, expected unused block hours and your default hourly rate. Your loaded hourly cost follows and every other sheet reads it.</t>
  </si>
  <si>
    <t xml:space="preserve">2. Tool Stack: one row per tool with its billing basis, unit cost and units in use. Monthly cost, the stack total, the fixed tool cost and the per-unit tool cost shared across contracts are calculated.</t>
  </si>
  <si>
    <t xml:space="preserve">3. Contracts: one row per client with plan, users, devices, monthly fee, support hours, dedicated tool costs, onboarding fee and contract months. Shared tool cost, labour cost, total cost, gross profit, margin %, fee and cost per user, the price per user at your target margin and break-even hours are calculated.</t>
  </si>
  <si>
    <t xml:space="preserve">4. Tickets: one row per month with tickets closed and average minutes per ticket. Technician cost and tool and overhead cost default from Settings and the Tool Stack (type your own to override). Cost per ticket, labour cost per ticket, tickets per technician and the share of productive hours spent on tickets are calculated, with totals.</t>
  </si>
  <si>
    <t xml:space="preserve">5. Blocks &amp; Onboarding: block hours quotes (hours, rate, discount, expiry, expected unused hours) with block price, effective rate and effective rate on used hours; and onboarding quotes (hours, rate, setup costs, margin) with the onboarding fee, amortised per month and its share of the contract value.</t>
  </si>
  <si>
    <t xml:space="preserve">6. Summary: loaded hourly cost, technicians and productive hours, tool stack total, monthly recurring revenue, cost, gross profit and overall margin, contracts below target margin, most and least profitable contract, cost per ticket, block and onboarding revenue.</t>
  </si>
  <si>
    <t xml:space="preserve">LEGEND</t>
  </si>
  <si>
    <t xml:space="preserve">Blue text = a cell you type into.   Black text = a formula, leave it alone.   Yellow fill = key inputs.</t>
  </si>
  <si>
    <t xml:space="preserve">DEFINITIONS</t>
  </si>
  <si>
    <t xml:space="preserve">Loaded hourly cost: what one productive technician hour costs you = (technicians × salary × (1 + payroll taxes and benefits %) + total monthly overhead) ÷ (technicians × productive hours per technician).</t>
  </si>
  <si>
    <t xml:space="preserve">Cost per user: a contract's total monthly cost (shared tools + dedicated tools + labour) ÷ users. Per-unit tools are shared across contracts in proportion to each contract's users + devices; fixed tools (PSA, documentation, remote support) are not allocated to contracts and show in the Tickets cost instead.</t>
  </si>
  <si>
    <t xml:space="preserve">Margin on price vs markup on cost: margin % = profit ÷ price; markup % = profit ÷ cost. A 30% margin is a 42.86% markup. Price at target margin = cost ÷ (1 − target margin %), never cost × (1 + target %).</t>
  </si>
  <si>
    <t xml:space="preserve">Contract gross margin = (monthly fee − total contract cost) ÷ monthly fee. Break-even hours = (monthly fee − tool costs) ÷ loaded hourly cost: the support hours a contract can absorb before it loses money.</t>
  </si>
  <si>
    <t xml:space="preserve">Cost per ticket = (technician cost + tool and overhead cost for the month) ÷ tickets closed. Labour cost per ticket = average minutes per ticket × loaded cost per minute.</t>
  </si>
  <si>
    <t xml:space="preserve">Block hours breakage: prepaid hours that expire unused. Effective rate on used hours = block price ÷ hours expected to be used; it is higher than the block's nominal rate when some hours go unused.</t>
  </si>
  <si>
    <t xml:space="preserve">Onboarding fee amortisation: onboarding fee ÷ contract months, showing what the fee is worth per month if you spread it over the contract instead of charging it up front.</t>
  </si>
  <si>
    <t xml:space="preserve">The targets in Settings are your own; this workbook does not supply industry benchmarks. Set them from your own history and plan.</t>
  </si>
  <si>
    <t xml:space="preserve">Support: hello@knackdesk.com</t>
  </si>
  <si>
    <t xml:space="preserve">Arithmetic only; not financial advice.</t>
  </si>
  <si>
    <t xml:space="preserve">Settings</t>
  </si>
  <si>
    <t xml:space="preserve">Technician count</t>
  </si>
  <si>
    <t xml:space="preserve">Example default 3. Technicians who work client tickets and projects (full-time equivalents).</t>
  </si>
  <si>
    <t xml:space="preserve">Average technician salary per month</t>
  </si>
  <si>
    <t xml:space="preserve">Example default 4,500 a month. Gross salary per technician before payroll taxes and benefits.</t>
  </si>
  <si>
    <t xml:space="preserve">Payroll taxes and benefits %</t>
  </si>
  <si>
    <t xml:space="preserve">Default 20. Employer payroll taxes, pension, health cover and other benefits on top of salary.</t>
  </si>
  <si>
    <t xml:space="preserve">Productive hours per technician per month</t>
  </si>
  <si>
    <t xml:space="preserve">Default 130 of about 173 paid hours: the rest is holidays, sickness, training, meetings and admin.</t>
  </si>
  <si>
    <t xml:space="preserve">Office (monthly)</t>
  </si>
  <si>
    <t xml:space="preserve">Example default 1,200 a month. Rent, utilities and cleaning.</t>
  </si>
  <si>
    <t xml:space="preserve">Insurance (monthly)</t>
  </si>
  <si>
    <t xml:space="preserve">Example default 300 a month. Professional indemnity, cyber and liability cover.</t>
  </si>
  <si>
    <t xml:space="preserve">Vehicles and travel (monthly)</t>
  </si>
  <si>
    <t xml:space="preserve">Example default 400 a month. Fuel, leases, parking and travel to client sites.</t>
  </si>
  <si>
    <t xml:space="preserve">Admin and sales staff (monthly)</t>
  </si>
  <si>
    <t xml:space="preserve">Example default 3,500 a month. Non-technical staff: service desk coordinator, sales, accounts.</t>
  </si>
  <si>
    <t xml:space="preserve">Software not billed to clients (monthly)</t>
  </si>
  <si>
    <t xml:space="preserve">Example default 250 a month. Accounting, office suite, phones; client tools belong on the Tool Stack.</t>
  </si>
  <si>
    <t xml:space="preserve">Other overhead (monthly)</t>
  </si>
  <si>
    <t xml:space="preserve">Example default 300 a month. Marketing, training, bank charges, anything else.</t>
  </si>
  <si>
    <t xml:space="preserve">Total monthly overhead</t>
  </si>
  <si>
    <t xml:space="preserve">formula: sum of the six overhead rows above</t>
  </si>
  <si>
    <t xml:space="preserve">Target margin % on price</t>
  </si>
  <si>
    <t xml:space="preserve">Default 30. Your own target gross margin on each contract's monthly fee (profit ÷ price, not markup on cost).</t>
  </si>
  <si>
    <t xml:space="preserve">Block hours discount %</t>
  </si>
  <si>
    <t xml:space="preserve">Default 10. Discount off the hourly rate for prepaid block hours; each block can override it.</t>
  </si>
  <si>
    <t xml:space="preserve">Expected unused block hours %</t>
  </si>
  <si>
    <t xml:space="preserve">Default 15. Share of prepaid block hours you expect to expire unused; each block can override it.</t>
  </si>
  <si>
    <t xml:space="preserve">Default hourly rate for billed work</t>
  </si>
  <si>
    <t xml:space="preserve">Default 120. Your rate for out-of-contract work, blocks and onboarding; keep it well above the loaded hourly cost.</t>
  </si>
  <si>
    <t xml:space="preserve">Loaded technician cost per month</t>
  </si>
  <si>
    <t xml:space="preserve">formula: technician count × salary × (1 + payroll taxes and benefits %)</t>
  </si>
  <si>
    <t xml:space="preserve">Total productive hours per month</t>
  </si>
  <si>
    <t xml:space="preserve">formula: technician count × productive hours per technician</t>
  </si>
  <si>
    <t xml:space="preserve">Loaded hourly cost</t>
  </si>
  <si>
    <t xml:space="preserve">formula: (loaded technician cost + total overhead) ÷ productive hours; what each productive hour costs you</t>
  </si>
  <si>
    <t xml:space="preserve">Rate per minute</t>
  </si>
  <si>
    <t xml:space="preserve">formula: loaded hourly cost ÷ 60</t>
  </si>
  <si>
    <t xml:space="preserve">Tool Stack</t>
  </si>
  <si>
    <t xml:space="preserve">One row per tool you pay for to serve clients. Per-user, per-device and per-site tools are shared across contracts by users + devices; fixed tools stay in overhead.</t>
  </si>
  <si>
    <t xml:space="preserve">Tool</t>
  </si>
  <si>
    <t xml:space="preserve">Billing basis</t>
  </si>
  <si>
    <t xml:space="preserve">Unit cost per month</t>
  </si>
  <si>
    <t xml:space="preserve">Units in use</t>
  </si>
  <si>
    <t xml:space="preserve">Monthly cost</t>
  </si>
  <si>
    <t xml:space="preserve">RMM agent</t>
  </si>
  <si>
    <t xml:space="preserve">per device</t>
  </si>
  <si>
    <t xml:space="preserve">EDR / antivirus</t>
  </si>
  <si>
    <t xml:space="preserve">Email security</t>
  </si>
  <si>
    <t xml:space="preserve">per user</t>
  </si>
  <si>
    <t xml:space="preserve">Backup</t>
  </si>
  <si>
    <t xml:space="preserve">PSA (per technician seat)</t>
  </si>
  <si>
    <t xml:space="preserve">fixed</t>
  </si>
  <si>
    <t xml:space="preserve">Documentation platform</t>
  </si>
  <si>
    <t xml:space="preserve">Password manager</t>
  </si>
  <si>
    <t xml:space="preserve">Remote support</t>
  </si>
  <si>
    <t xml:space="preserve">Total</t>
  </si>
  <si>
    <t xml:space="preserve">Tool stack total per month</t>
  </si>
  <si>
    <t xml:space="preserve">Fixed tool cost per month</t>
  </si>
  <si>
    <t xml:space="preserve">basis = fixed; counted in Tickets cost, not allocated to contracts</t>
  </si>
  <si>
    <t xml:space="preserve">Per-unit tool cost per month</t>
  </si>
  <si>
    <t xml:space="preserve">total − fixed; shared across contracts by users + devices</t>
  </si>
  <si>
    <t xml:space="preserve">Contracts</t>
  </si>
  <si>
    <t xml:space="preserve">One row per client contract. Labour uses the loaded hourly cost from Settings; shared tools come from the Tool Stack per-unit total, split by users + devices.</t>
  </si>
  <si>
    <t xml:space="preserve">Client</t>
  </si>
  <si>
    <t xml:space="preserve">Plan</t>
  </si>
  <si>
    <t xml:space="preserve">Users</t>
  </si>
  <si>
    <t xml:space="preserve">Devices</t>
  </si>
  <si>
    <t xml:space="preserve">Monthly fee</t>
  </si>
  <si>
    <t xml:space="preserve">Support hours per month</t>
  </si>
  <si>
    <t xml:space="preserve">Dedicated tool costs per month</t>
  </si>
  <si>
    <t xml:space="preserve">Onboarding fee charged</t>
  </si>
  <si>
    <t xml:space="preserve">Contract months</t>
  </si>
  <si>
    <t xml:space="preserve">Users + devices</t>
  </si>
  <si>
    <t xml:space="preserve">Shared tool cost allocated</t>
  </si>
  <si>
    <t xml:space="preserve">Labour cost</t>
  </si>
  <si>
    <t xml:space="preserve">Total cost</t>
  </si>
  <si>
    <t xml:space="preserve">Gross profit</t>
  </si>
  <si>
    <t xml:space="preserve">Margin %</t>
  </si>
  <si>
    <t xml:space="preserve">Fee per user</t>
  </si>
  <si>
    <t xml:space="preserve">Cost per user</t>
  </si>
  <si>
    <t xml:space="preserve">Price per user at target margin</t>
  </si>
  <si>
    <t xml:space="preserve">Break-even hours</t>
  </si>
  <si>
    <t xml:space="preserve">Hours over (+) / under (−) break-even</t>
  </si>
  <si>
    <t xml:space="preserve">Contract value</t>
  </si>
  <si>
    <t xml:space="preserve">Harbour Dental Group</t>
  </si>
  <si>
    <t xml:space="preserve">Northgate Logistics</t>
  </si>
  <si>
    <t xml:space="preserve">hybrid</t>
  </si>
  <si>
    <t xml:space="preserve">Bluewater Law LLP</t>
  </si>
  <si>
    <t xml:space="preserve">Ridge Architects</t>
  </si>
  <si>
    <t xml:space="preserve">Summit Accounting</t>
  </si>
  <si>
    <t xml:space="preserve">Oakfield Veterinary</t>
  </si>
  <si>
    <t xml:space="preserve">Kestrel Manufacturing</t>
  </si>
  <si>
    <t xml:space="preserve">Pinecrest School Trust</t>
  </si>
  <si>
    <t xml:space="preserve">Total row: monthly recurring revenue (column E), monthly cost (column M), gross profit (column N) and overall margin % (column O).</t>
  </si>
  <si>
    <t xml:space="preserve">Tickets</t>
  </si>
  <si>
    <t xml:space="preserve">One row per month, filled top down. Costs default from Settings and the Tool Stack; type your own in columns E and H to override them for that month.</t>
  </si>
  <si>
    <t xml:space="preserve">Month</t>
  </si>
  <si>
    <t xml:space="preserve">Tickets closed</t>
  </si>
  <si>
    <t xml:space="preserve">Average minutes per ticket</t>
  </si>
  <si>
    <t xml:space="preserve">Technician cost (Settings)</t>
  </si>
  <si>
    <t xml:space="preserve">or type your own</t>
  </si>
  <si>
    <t xml:space="preserve">Technician cost used</t>
  </si>
  <si>
    <t xml:space="preserve">Tool and overhead cost (Settings + Tool Stack)</t>
  </si>
  <si>
    <t xml:space="preserve">Tool and overhead cost used</t>
  </si>
  <si>
    <t xml:space="preserve">Cost per ticket</t>
  </si>
  <si>
    <t xml:space="preserve">Labour cost per ticket</t>
  </si>
  <si>
    <t xml:space="preserve">Tickets per technician</t>
  </si>
  <si>
    <t xml:space="preserve">Labour hours on tickets</t>
  </si>
  <si>
    <t xml:space="preserve">Share of productive hours on tickets %</t>
  </si>
  <si>
    <t xml:space="preserve">Blocks &amp; Onboarding</t>
  </si>
  <si>
    <t xml:space="preserve">Block hours quotes: rate, discount and expected unused % default from Settings; type your own in the 'or type your own' columns to override them.</t>
  </si>
  <si>
    <t xml:space="preserve">Hours in block</t>
  </si>
  <si>
    <t xml:space="preserve">Default rate (Settings)</t>
  </si>
  <si>
    <t xml:space="preserve">or type your own rate</t>
  </si>
  <si>
    <t xml:space="preserve">Rate used</t>
  </si>
  <si>
    <t xml:space="preserve">Default discount % (Settings)</t>
  </si>
  <si>
    <t xml:space="preserve">or type your own discount %</t>
  </si>
  <si>
    <t xml:space="preserve">Discount % used</t>
  </si>
  <si>
    <t xml:space="preserve">Expiry months</t>
  </si>
  <si>
    <t xml:space="preserve">Default unused % (Settings)</t>
  </si>
  <si>
    <t xml:space="preserve">or type your own unused %</t>
  </si>
  <si>
    <t xml:space="preserve">Unused % used</t>
  </si>
  <si>
    <t xml:space="preserve">List price</t>
  </si>
  <si>
    <t xml:space="preserve">Block price</t>
  </si>
  <si>
    <t xml:space="preserve">Effective rate</t>
  </si>
  <si>
    <t xml:space="preserve">Expected used hours</t>
  </si>
  <si>
    <t xml:space="preserve">Effective rate on used hours</t>
  </si>
  <si>
    <t xml:space="preserve">Per month</t>
  </si>
  <si>
    <t xml:space="preserve">Coastal Realty</t>
  </si>
  <si>
    <t xml:space="preserve">Meridian Studio</t>
  </si>
  <si>
    <t xml:space="preserve">Fenwick &amp; Sons</t>
  </si>
  <si>
    <t xml:space="preserve">Onboarding quotes</t>
  </si>
  <si>
    <t xml:space="preserve">The default rate comes from Settings; type your own rate in column D to override it for that quote.</t>
  </si>
  <si>
    <t xml:space="preserve">Onboarding hours</t>
  </si>
  <si>
    <t xml:space="preserve">Setup costs</t>
  </si>
  <si>
    <t xml:space="preserve">Margin on costs %</t>
  </si>
  <si>
    <t xml:space="preserve">Labour</t>
  </si>
  <si>
    <t xml:space="preserve">Costs with margin</t>
  </si>
  <si>
    <t xml:space="preserve">Onboarding fee</t>
  </si>
  <si>
    <t xml:space="preserve">Amortised per month</t>
  </si>
  <si>
    <t xml:space="preserve">Fee share of contract %</t>
  </si>
  <si>
    <t xml:space="preserve">Brightwell Clinic</t>
  </si>
  <si>
    <t xml:space="preserve">Vega Creative</t>
  </si>
  <si>
    <t xml:space="preserve">Summary</t>
  </si>
  <si>
    <t xml:space="preserve">from Settings</t>
  </si>
  <si>
    <t xml:space="preserve">Technicians</t>
  </si>
  <si>
    <t xml:space="preserve">Productive hours per month</t>
  </si>
  <si>
    <t xml:space="preserve">Tool stack monthly total</t>
  </si>
  <si>
    <t xml:space="preserve">from the Tool Stack</t>
  </si>
  <si>
    <t xml:space="preserve">Fixed tool cost (not allocated to contracts)</t>
  </si>
  <si>
    <t xml:space="preserve">from the Tool Stack; counted in the Tickets cost</t>
  </si>
  <si>
    <t xml:space="preserve">Monthly recurring revenue</t>
  </si>
  <si>
    <t xml:space="preserve">sum of monthly fees</t>
  </si>
  <si>
    <t xml:space="preserve">Total monthly contract cost</t>
  </si>
  <si>
    <t xml:space="preserve">shared tools + dedicated tools + labour</t>
  </si>
  <si>
    <t xml:space="preserve">Monthly gross profit</t>
  </si>
  <si>
    <t xml:space="preserve">Overall margin %</t>
  </si>
  <si>
    <t xml:space="preserve">gross profit ÷ monthly recurring revenue</t>
  </si>
  <si>
    <t xml:space="preserve">Contracts below target margin</t>
  </si>
  <si>
    <t xml:space="preserve">margin % below your target in Settings</t>
  </si>
  <si>
    <t xml:space="preserve">Most profitable contract</t>
  </si>
  <si>
    <t xml:space="preserve">highest monthly gross profit</t>
  </si>
  <si>
    <t xml:space="preserve">Least profitable contract</t>
  </si>
  <si>
    <t xml:space="preserve">lowest monthly gross profit; re-price first</t>
  </si>
  <si>
    <t xml:space="preserve">Latest month cost per ticket</t>
  </si>
  <si>
    <t xml:space="preserve">the most recent month on Tickets</t>
  </si>
  <si>
    <t xml:space="preserve">Year-to-date tickets</t>
  </si>
  <si>
    <t xml:space="preserve">Tickets totals</t>
  </si>
  <si>
    <t xml:space="preserve">Year-to-date cost per ticket</t>
  </si>
  <si>
    <t xml:space="preserve">Block hours revenue</t>
  </si>
  <si>
    <t xml:space="preserve">sum of block prices</t>
  </si>
  <si>
    <t xml:space="preserve">Onboarding revenue</t>
  </si>
  <si>
    <t xml:space="preserve">sum of onboarding fees</t>
  </si>
</sst>
</file>

<file path=xl/styles.xml><?xml version="1.0" encoding="utf-8"?>
<styleSheet xmlns="http://schemas.openxmlformats.org/spreadsheetml/2006/main">
  <numFmts count="10">
    <numFmt numFmtId="164" formatCode="General"/>
    <numFmt numFmtId="165" formatCode="0"/>
    <numFmt numFmtId="166" formatCode="#,##0.00;\(#,##0.00\);\-"/>
    <numFmt numFmtId="167" formatCode="0.00\%"/>
    <numFmt numFmtId="168" formatCode="0.0"/>
    <numFmt numFmtId="169" formatCode="0.00"/>
    <numFmt numFmtId="170" formatCode="0.0000"/>
    <numFmt numFmtId="171" formatCode="0.00;\-0.00;0.00"/>
    <numFmt numFmtId="172" formatCode="0&quot; contracts&quot;"/>
    <numFmt numFmtId="173" formatCode="mmm\ yyyy"/>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70" fontId="6"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9" fontId="6" fillId="0" borderId="0" xfId="0" applyFont="true" applyBorder="false" applyAlignment="true" applyProtection="true">
      <alignment horizontal="general" vertical="bottom" textRotation="0" wrapText="false" indent="0" shrinkToFit="false"/>
      <protection locked="true" hidden="false"/>
    </xf>
    <xf numFmtId="171" fontId="6" fillId="0"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72" fontId="7"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73" fontId="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row>
    <row r="4" customFormat="false" ht="15" hidden="false" customHeight="false" outlineLevel="0" collapsed="false">
      <c r="A4" s="5"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row>
    <row r="12" customFormat="false" ht="15" hidden="false" customHeight="false" outlineLevel="0" collapsed="false">
      <c r="A12" s="5"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5"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t="s">
        <v>17</v>
      </c>
    </row>
    <row r="22" customFormat="false" ht="15" hidden="false" customHeight="false" outlineLevel="0" collapsed="false">
      <c r="A22" s="4" t="s">
        <v>18</v>
      </c>
    </row>
    <row r="23" customFormat="false" ht="15" hidden="false" customHeight="false" outlineLevel="0" collapsed="false">
      <c r="A23" s="4" t="s">
        <v>19</v>
      </c>
    </row>
    <row r="24" customFormat="false" ht="15" hidden="false" customHeight="false" outlineLevel="0" collapsed="false">
      <c r="A24" s="4" t="s">
        <v>20</v>
      </c>
    </row>
    <row r="25" customFormat="false" ht="15" hidden="false" customHeight="false" outlineLevel="0" collapsed="false">
      <c r="A25"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84"/>
  </cols>
  <sheetData>
    <row r="1" customFormat="false" ht="17.35" hidden="false" customHeight="false" outlineLevel="0" collapsed="false">
      <c r="A1" s="2" t="s">
        <v>22</v>
      </c>
    </row>
    <row r="2" customFormat="false" ht="15" hidden="false" customHeight="false" outlineLevel="0" collapsed="false">
      <c r="A2" s="4" t="s">
        <v>23</v>
      </c>
      <c r="B2" s="6" t="n">
        <v>3</v>
      </c>
      <c r="C2" s="3" t="s">
        <v>24</v>
      </c>
    </row>
    <row r="3" customFormat="false" ht="15" hidden="false" customHeight="false" outlineLevel="0" collapsed="false">
      <c r="A3" s="4" t="s">
        <v>25</v>
      </c>
      <c r="B3" s="7" t="n">
        <v>4500</v>
      </c>
      <c r="C3" s="3" t="s">
        <v>26</v>
      </c>
    </row>
    <row r="4" customFormat="false" ht="15" hidden="false" customHeight="false" outlineLevel="0" collapsed="false">
      <c r="A4" s="4" t="s">
        <v>27</v>
      </c>
      <c r="B4" s="8" t="n">
        <v>20</v>
      </c>
      <c r="C4" s="3" t="s">
        <v>28</v>
      </c>
    </row>
    <row r="5" customFormat="false" ht="15" hidden="false" customHeight="false" outlineLevel="0" collapsed="false">
      <c r="A5" s="4" t="s">
        <v>29</v>
      </c>
      <c r="B5" s="9" t="n">
        <v>130</v>
      </c>
      <c r="C5" s="3" t="s">
        <v>30</v>
      </c>
    </row>
    <row r="6" customFormat="false" ht="15" hidden="false" customHeight="false" outlineLevel="0" collapsed="false">
      <c r="A6" s="4" t="s">
        <v>31</v>
      </c>
      <c r="B6" s="7" t="n">
        <v>1200</v>
      </c>
      <c r="C6" s="3" t="s">
        <v>32</v>
      </c>
    </row>
    <row r="7" customFormat="false" ht="15" hidden="false" customHeight="false" outlineLevel="0" collapsed="false">
      <c r="A7" s="4" t="s">
        <v>33</v>
      </c>
      <c r="B7" s="7" t="n">
        <v>300</v>
      </c>
      <c r="C7" s="3" t="s">
        <v>34</v>
      </c>
    </row>
    <row r="8" customFormat="false" ht="15" hidden="false" customHeight="false" outlineLevel="0" collapsed="false">
      <c r="A8" s="4" t="s">
        <v>35</v>
      </c>
      <c r="B8" s="7" t="n">
        <v>400</v>
      </c>
      <c r="C8" s="3" t="s">
        <v>36</v>
      </c>
    </row>
    <row r="9" customFormat="false" ht="15" hidden="false" customHeight="false" outlineLevel="0" collapsed="false">
      <c r="A9" s="4" t="s">
        <v>37</v>
      </c>
      <c r="B9" s="7" t="n">
        <v>3500</v>
      </c>
      <c r="C9" s="3" t="s">
        <v>38</v>
      </c>
    </row>
    <row r="10" customFormat="false" ht="15" hidden="false" customHeight="false" outlineLevel="0" collapsed="false">
      <c r="A10" s="4" t="s">
        <v>39</v>
      </c>
      <c r="B10" s="7" t="n">
        <v>250</v>
      </c>
      <c r="C10" s="3" t="s">
        <v>40</v>
      </c>
    </row>
    <row r="11" customFormat="false" ht="15" hidden="false" customHeight="false" outlineLevel="0" collapsed="false">
      <c r="A11" s="4" t="s">
        <v>41</v>
      </c>
      <c r="B11" s="7" t="n">
        <v>300</v>
      </c>
      <c r="C11" s="3" t="s">
        <v>42</v>
      </c>
    </row>
    <row r="12" customFormat="false" ht="15" hidden="false" customHeight="false" outlineLevel="0" collapsed="false">
      <c r="A12" s="5" t="s">
        <v>43</v>
      </c>
      <c r="B12" s="10" t="n">
        <f aca="false">SUM(B6:B11)</f>
        <v>5950</v>
      </c>
      <c r="C12" s="3" t="s">
        <v>44</v>
      </c>
    </row>
    <row r="13" customFormat="false" ht="15" hidden="false" customHeight="false" outlineLevel="0" collapsed="false">
      <c r="A13" s="4" t="s">
        <v>45</v>
      </c>
      <c r="B13" s="8" t="n">
        <v>30</v>
      </c>
      <c r="C13" s="3" t="s">
        <v>46</v>
      </c>
    </row>
    <row r="14" customFormat="false" ht="15" hidden="false" customHeight="false" outlineLevel="0" collapsed="false">
      <c r="A14" s="4" t="s">
        <v>47</v>
      </c>
      <c r="B14" s="8" t="n">
        <v>10</v>
      </c>
      <c r="C14" s="3" t="s">
        <v>48</v>
      </c>
    </row>
    <row r="15" customFormat="false" ht="15" hidden="false" customHeight="false" outlineLevel="0" collapsed="false">
      <c r="A15" s="4" t="s">
        <v>49</v>
      </c>
      <c r="B15" s="11" t="n">
        <v>15</v>
      </c>
      <c r="C15" s="3" t="s">
        <v>50</v>
      </c>
    </row>
    <row r="16" customFormat="false" ht="15" hidden="false" customHeight="false" outlineLevel="0" collapsed="false">
      <c r="A16" s="4" t="s">
        <v>51</v>
      </c>
      <c r="B16" s="7" t="n">
        <v>120</v>
      </c>
      <c r="C16" s="3" t="s">
        <v>52</v>
      </c>
    </row>
    <row r="17" customFormat="false" ht="15" hidden="false" customHeight="false" outlineLevel="0" collapsed="false">
      <c r="A17" s="5" t="s">
        <v>53</v>
      </c>
      <c r="B17" s="10" t="n">
        <f aca="false">ROUND(B2*B3*(1+B4/100),2)</f>
        <v>16200</v>
      </c>
      <c r="C17" s="3" t="s">
        <v>54</v>
      </c>
    </row>
    <row r="18" customFormat="false" ht="15" hidden="false" customHeight="false" outlineLevel="0" collapsed="false">
      <c r="A18" s="5" t="s">
        <v>55</v>
      </c>
      <c r="B18" s="12" t="n">
        <f aca="false">ROUND(B2*B5,2)</f>
        <v>390</v>
      </c>
      <c r="C18" s="3" t="s">
        <v>56</v>
      </c>
    </row>
    <row r="19" customFormat="false" ht="15" hidden="false" customHeight="false" outlineLevel="0" collapsed="false">
      <c r="A19" s="5" t="s">
        <v>57</v>
      </c>
      <c r="B19" s="10" t="n">
        <f aca="false">IFERROR(ROUND((B17+B12)/B18,2),0)</f>
        <v>56.79</v>
      </c>
      <c r="C19" s="3" t="s">
        <v>58</v>
      </c>
    </row>
    <row r="20" customFormat="false" ht="15" hidden="false" customHeight="false" outlineLevel="0" collapsed="false">
      <c r="A20" s="4" t="s">
        <v>59</v>
      </c>
      <c r="B20" s="13" t="n">
        <f aca="false">ROUND(B19/60,4)</f>
        <v>0.9465</v>
      </c>
      <c r="C20" s="3"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3" min="2" style="1" width="14"/>
    <col collapsed="false" customWidth="true" hidden="false" outlineLevel="0" max="4" min="4" style="1" width="12"/>
    <col collapsed="false" customWidth="true" hidden="false" outlineLevel="0" max="5" min="5" style="1" width="14"/>
  </cols>
  <sheetData>
    <row r="1" customFormat="false" ht="17.35" hidden="false" customHeight="false" outlineLevel="0" collapsed="false">
      <c r="A1" s="2" t="s">
        <v>61</v>
      </c>
    </row>
    <row r="2" customFormat="false" ht="15" hidden="false" customHeight="false" outlineLevel="0" collapsed="false">
      <c r="A2" s="3" t="s">
        <v>62</v>
      </c>
    </row>
    <row r="4" customFormat="false" ht="26.85" hidden="false" customHeight="false" outlineLevel="0" collapsed="false">
      <c r="A4" s="14" t="s">
        <v>63</v>
      </c>
      <c r="B4" s="14" t="s">
        <v>64</v>
      </c>
      <c r="C4" s="14" t="s">
        <v>65</v>
      </c>
      <c r="D4" s="14" t="s">
        <v>66</v>
      </c>
      <c r="E4" s="14" t="s">
        <v>67</v>
      </c>
    </row>
    <row r="5" customFormat="false" ht="15" hidden="false" customHeight="false" outlineLevel="0" collapsed="false">
      <c r="A5" s="15" t="s">
        <v>68</v>
      </c>
      <c r="B5" s="15" t="s">
        <v>69</v>
      </c>
      <c r="C5" s="7" t="n">
        <v>3</v>
      </c>
      <c r="D5" s="6" t="n">
        <v>180</v>
      </c>
      <c r="E5" s="16" t="n">
        <f aca="false">IF(A5="","",ROUND(C5*D5,2))</f>
        <v>540</v>
      </c>
    </row>
    <row r="6" customFormat="false" ht="15" hidden="false" customHeight="false" outlineLevel="0" collapsed="false">
      <c r="A6" s="15" t="s">
        <v>70</v>
      </c>
      <c r="B6" s="15" t="s">
        <v>69</v>
      </c>
      <c r="C6" s="7" t="n">
        <v>4.5</v>
      </c>
      <c r="D6" s="6" t="n">
        <v>180</v>
      </c>
      <c r="E6" s="16" t="n">
        <f aca="false">IF(A6="","",ROUND(C6*D6,2))</f>
        <v>810</v>
      </c>
    </row>
    <row r="7" customFormat="false" ht="15" hidden="false" customHeight="false" outlineLevel="0" collapsed="false">
      <c r="A7" s="15" t="s">
        <v>71</v>
      </c>
      <c r="B7" s="15" t="s">
        <v>72</v>
      </c>
      <c r="C7" s="7" t="n">
        <v>2</v>
      </c>
      <c r="D7" s="6" t="n">
        <v>150</v>
      </c>
      <c r="E7" s="16" t="n">
        <f aca="false">IF(A7="","",ROUND(C7*D7,2))</f>
        <v>300</v>
      </c>
    </row>
    <row r="8" customFormat="false" ht="15" hidden="false" customHeight="false" outlineLevel="0" collapsed="false">
      <c r="A8" s="15" t="s">
        <v>73</v>
      </c>
      <c r="B8" s="15" t="s">
        <v>69</v>
      </c>
      <c r="C8" s="7" t="n">
        <v>6</v>
      </c>
      <c r="D8" s="6" t="n">
        <v>60</v>
      </c>
      <c r="E8" s="16" t="n">
        <f aca="false">IF(A8="","",ROUND(C8*D8,2))</f>
        <v>360</v>
      </c>
    </row>
    <row r="9" customFormat="false" ht="15" hidden="false" customHeight="false" outlineLevel="0" collapsed="false">
      <c r="A9" s="15" t="s">
        <v>74</v>
      </c>
      <c r="B9" s="15" t="s">
        <v>75</v>
      </c>
      <c r="C9" s="7" t="n">
        <v>45</v>
      </c>
      <c r="D9" s="6" t="n">
        <v>3</v>
      </c>
      <c r="E9" s="16" t="n">
        <f aca="false">IF(A9="","",ROUND(C9*D9,2))</f>
        <v>135</v>
      </c>
    </row>
    <row r="10" customFormat="false" ht="15" hidden="false" customHeight="false" outlineLevel="0" collapsed="false">
      <c r="A10" s="15" t="s">
        <v>76</v>
      </c>
      <c r="B10" s="15" t="s">
        <v>75</v>
      </c>
      <c r="C10" s="7" t="n">
        <v>120</v>
      </c>
      <c r="D10" s="6" t="n">
        <v>1</v>
      </c>
      <c r="E10" s="16" t="n">
        <f aca="false">IF(A10="","",ROUND(C10*D10,2))</f>
        <v>120</v>
      </c>
    </row>
    <row r="11" customFormat="false" ht="15" hidden="false" customHeight="false" outlineLevel="0" collapsed="false">
      <c r="A11" s="15" t="s">
        <v>77</v>
      </c>
      <c r="B11" s="15" t="s">
        <v>72</v>
      </c>
      <c r="C11" s="7" t="n">
        <v>3</v>
      </c>
      <c r="D11" s="6" t="n">
        <v>150</v>
      </c>
      <c r="E11" s="16" t="n">
        <f aca="false">IF(A11="","",ROUND(C11*D11,2))</f>
        <v>450</v>
      </c>
    </row>
    <row r="12" customFormat="false" ht="15" hidden="false" customHeight="false" outlineLevel="0" collapsed="false">
      <c r="A12" s="15" t="s">
        <v>78</v>
      </c>
      <c r="B12" s="15" t="s">
        <v>75</v>
      </c>
      <c r="C12" s="7" t="n">
        <v>60</v>
      </c>
      <c r="D12" s="6" t="n">
        <v>1</v>
      </c>
      <c r="E12" s="16" t="n">
        <f aca="false">IF(A12="","",ROUND(C12*D12,2))</f>
        <v>60</v>
      </c>
    </row>
    <row r="13" customFormat="false" ht="15" hidden="false" customHeight="false" outlineLevel="0" collapsed="false">
      <c r="A13" s="15"/>
      <c r="B13" s="15"/>
      <c r="C13" s="17"/>
      <c r="D13" s="18"/>
      <c r="E13" s="16" t="str">
        <f aca="false">IF(A13="","",ROUND(C13*D13,2))</f>
        <v/>
      </c>
    </row>
    <row r="14" customFormat="false" ht="15" hidden="false" customHeight="false" outlineLevel="0" collapsed="false">
      <c r="A14" s="15"/>
      <c r="B14" s="15"/>
      <c r="C14" s="17"/>
      <c r="D14" s="18"/>
      <c r="E14" s="16" t="str">
        <f aca="false">IF(A14="","",ROUND(C14*D14,2))</f>
        <v/>
      </c>
    </row>
    <row r="15" customFormat="false" ht="15" hidden="false" customHeight="false" outlineLevel="0" collapsed="false">
      <c r="A15" s="15"/>
      <c r="B15" s="15"/>
      <c r="C15" s="17"/>
      <c r="D15" s="18"/>
      <c r="E15" s="16" t="str">
        <f aca="false">IF(A15="","",ROUND(C15*D15,2))</f>
        <v/>
      </c>
    </row>
    <row r="16" customFormat="false" ht="15" hidden="false" customHeight="false" outlineLevel="0" collapsed="false">
      <c r="A16" s="15"/>
      <c r="B16" s="15"/>
      <c r="C16" s="17"/>
      <c r="D16" s="18"/>
      <c r="E16" s="16" t="str">
        <f aca="false">IF(A16="","",ROUND(C16*D16,2))</f>
        <v/>
      </c>
    </row>
    <row r="17" customFormat="false" ht="15" hidden="false" customHeight="false" outlineLevel="0" collapsed="false">
      <c r="A17" s="15"/>
      <c r="B17" s="15"/>
      <c r="C17" s="17"/>
      <c r="D17" s="18"/>
      <c r="E17" s="16" t="str">
        <f aca="false">IF(A17="","",ROUND(C17*D17,2))</f>
        <v/>
      </c>
    </row>
    <row r="18" customFormat="false" ht="15" hidden="false" customHeight="false" outlineLevel="0" collapsed="false">
      <c r="A18" s="15"/>
      <c r="B18" s="15"/>
      <c r="C18" s="17"/>
      <c r="D18" s="18"/>
      <c r="E18" s="16" t="str">
        <f aca="false">IF(A18="","",ROUND(C18*D18,2))</f>
        <v/>
      </c>
    </row>
    <row r="19" customFormat="false" ht="15" hidden="false" customHeight="false" outlineLevel="0" collapsed="false">
      <c r="A19" s="15"/>
      <c r="B19" s="15"/>
      <c r="C19" s="17"/>
      <c r="D19" s="18"/>
      <c r="E19" s="16" t="str">
        <f aca="false">IF(A19="","",ROUND(C19*D19,2))</f>
        <v/>
      </c>
    </row>
    <row r="20" customFormat="false" ht="15" hidden="false" customHeight="false" outlineLevel="0" collapsed="false">
      <c r="A20" s="15"/>
      <c r="B20" s="15"/>
      <c r="C20" s="17"/>
      <c r="D20" s="18"/>
      <c r="E20" s="16" t="str">
        <f aca="false">IF(A20="","",ROUND(C20*D20,2))</f>
        <v/>
      </c>
    </row>
    <row r="21" customFormat="false" ht="15" hidden="false" customHeight="false" outlineLevel="0" collapsed="false">
      <c r="A21" s="15"/>
      <c r="B21" s="15"/>
      <c r="C21" s="17"/>
      <c r="D21" s="18"/>
      <c r="E21" s="16" t="str">
        <f aca="false">IF(A21="","",ROUND(C21*D21,2))</f>
        <v/>
      </c>
    </row>
    <row r="22" customFormat="false" ht="15" hidden="false" customHeight="false" outlineLevel="0" collapsed="false">
      <c r="A22" s="15"/>
      <c r="B22" s="15"/>
      <c r="C22" s="17"/>
      <c r="D22" s="18"/>
      <c r="E22" s="16" t="str">
        <f aca="false">IF(A22="","",ROUND(C22*D22,2))</f>
        <v/>
      </c>
    </row>
    <row r="23" customFormat="false" ht="15" hidden="false" customHeight="false" outlineLevel="0" collapsed="false">
      <c r="A23" s="15"/>
      <c r="B23" s="15"/>
      <c r="C23" s="17"/>
      <c r="D23" s="18"/>
      <c r="E23" s="16" t="str">
        <f aca="false">IF(A23="","",ROUND(C23*D23,2))</f>
        <v/>
      </c>
    </row>
    <row r="24" customFormat="false" ht="15" hidden="false" customHeight="false" outlineLevel="0" collapsed="false">
      <c r="A24" s="15"/>
      <c r="B24" s="15"/>
      <c r="C24" s="17"/>
      <c r="D24" s="18"/>
      <c r="E24" s="16" t="str">
        <f aca="false">IF(A24="","",ROUND(C24*D24,2))</f>
        <v/>
      </c>
    </row>
    <row r="25" customFormat="false" ht="15" hidden="false" customHeight="false" outlineLevel="0" collapsed="false">
      <c r="A25" s="5" t="s">
        <v>79</v>
      </c>
      <c r="D25" s="19" t="n">
        <f aca="false">SUM(D5:D24)</f>
        <v>725</v>
      </c>
      <c r="E25" s="10" t="n">
        <f aca="false">SUM(E5:E24)</f>
        <v>2775</v>
      </c>
    </row>
    <row r="27" customFormat="false" ht="15" hidden="false" customHeight="false" outlineLevel="0" collapsed="false">
      <c r="A27" s="5" t="s">
        <v>80</v>
      </c>
      <c r="B27" s="10" t="n">
        <f aca="false">E25</f>
        <v>2775</v>
      </c>
    </row>
    <row r="28" customFormat="false" ht="15" hidden="false" customHeight="false" outlineLevel="0" collapsed="false">
      <c r="A28" s="5" t="s">
        <v>81</v>
      </c>
      <c r="B28" s="10" t="n">
        <f aca="false">SUMIF(B5:B24,"fixed",E5:E24)</f>
        <v>315</v>
      </c>
      <c r="C28" s="3" t="s">
        <v>82</v>
      </c>
    </row>
    <row r="29" customFormat="false" ht="15" hidden="false" customHeight="false" outlineLevel="0" collapsed="false">
      <c r="A29" s="5" t="s">
        <v>83</v>
      </c>
      <c r="B29" s="10" t="n">
        <f aca="false">B27-B28</f>
        <v>2460</v>
      </c>
      <c r="C29" s="3" t="s">
        <v>84</v>
      </c>
    </row>
  </sheetData>
  <dataValidations count="1">
    <dataValidation allowBlank="true" errorStyle="stop" operator="between" showDropDown="false" showErrorMessage="false" showInputMessage="false" sqref="B5:B24" type="list">
      <formula1>"per user,per device,per site,fixed"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11"/>
    <col collapsed="false" customWidth="true" hidden="false" outlineLevel="0" max="4" min="3" style="1" width="8"/>
    <col collapsed="false" customWidth="true" hidden="false" outlineLevel="0" max="5" min="5" style="1" width="12"/>
    <col collapsed="false" customWidth="true" hidden="false" outlineLevel="0" max="6" min="6" style="1" width="11"/>
    <col collapsed="false" customWidth="true" hidden="false" outlineLevel="0" max="8" min="7" style="1" width="12"/>
    <col collapsed="false" customWidth="true" hidden="false" outlineLevel="0" max="10" min="9" style="1" width="10"/>
    <col collapsed="false" customWidth="true" hidden="false" outlineLevel="0" max="14" min="11" style="1" width="12"/>
    <col collapsed="false" customWidth="true" hidden="false" outlineLevel="0" max="17" min="15" style="1" width="10"/>
    <col collapsed="false" customWidth="true" hidden="false" outlineLevel="0" max="18" min="18" style="1" width="13"/>
    <col collapsed="false" customWidth="true" hidden="false" outlineLevel="0" max="19" min="19" style="1" width="11"/>
    <col collapsed="false" customWidth="true" hidden="false" outlineLevel="0" max="21" min="20" style="1" width="13"/>
  </cols>
  <sheetData>
    <row r="1" customFormat="false" ht="17.35" hidden="false" customHeight="false" outlineLevel="0" collapsed="false">
      <c r="A1" s="2" t="s">
        <v>85</v>
      </c>
    </row>
    <row r="2" customFormat="false" ht="15" hidden="false" customHeight="false" outlineLevel="0" collapsed="false">
      <c r="A2" s="3" t="s">
        <v>86</v>
      </c>
    </row>
    <row r="4" customFormat="false" ht="52.2" hidden="false" customHeight="false" outlineLevel="0" collapsed="false">
      <c r="A4" s="14" t="s">
        <v>87</v>
      </c>
      <c r="B4" s="14" t="s">
        <v>88</v>
      </c>
      <c r="C4" s="14" t="s">
        <v>89</v>
      </c>
      <c r="D4" s="14" t="s">
        <v>90</v>
      </c>
      <c r="E4" s="14" t="s">
        <v>91</v>
      </c>
      <c r="F4" s="14" t="s">
        <v>92</v>
      </c>
      <c r="G4" s="14" t="s">
        <v>93</v>
      </c>
      <c r="H4" s="14" t="s">
        <v>94</v>
      </c>
      <c r="I4" s="14" t="s">
        <v>95</v>
      </c>
      <c r="J4" s="14" t="s">
        <v>96</v>
      </c>
      <c r="K4" s="14" t="s">
        <v>97</v>
      </c>
      <c r="L4" s="14" t="s">
        <v>98</v>
      </c>
      <c r="M4" s="14" t="s">
        <v>99</v>
      </c>
      <c r="N4" s="14" t="s">
        <v>100</v>
      </c>
      <c r="O4" s="14" t="s">
        <v>101</v>
      </c>
      <c r="P4" s="14" t="s">
        <v>102</v>
      </c>
      <c r="Q4" s="14" t="s">
        <v>103</v>
      </c>
      <c r="R4" s="14" t="s">
        <v>104</v>
      </c>
      <c r="S4" s="14" t="s">
        <v>105</v>
      </c>
      <c r="T4" s="14" t="s">
        <v>106</v>
      </c>
      <c r="U4" s="14" t="s">
        <v>107</v>
      </c>
    </row>
    <row r="5" customFormat="false" ht="15" hidden="false" customHeight="false" outlineLevel="0" collapsed="false">
      <c r="A5" s="15" t="s">
        <v>108</v>
      </c>
      <c r="B5" s="15" t="s">
        <v>72</v>
      </c>
      <c r="C5" s="18" t="n">
        <v>25</v>
      </c>
      <c r="D5" s="18" t="n">
        <v>30</v>
      </c>
      <c r="E5" s="7" t="n">
        <v>2750</v>
      </c>
      <c r="F5" s="9" t="n">
        <v>14</v>
      </c>
      <c r="G5" s="17" t="n">
        <v>0</v>
      </c>
      <c r="H5" s="17" t="n">
        <v>1500</v>
      </c>
      <c r="I5" s="18" t="n">
        <v>24</v>
      </c>
      <c r="J5" s="20" t="n">
        <f aca="false">IF(A5="","",C5+D5)</f>
        <v>55</v>
      </c>
      <c r="K5" s="16" t="n">
        <f aca="false">IF(A5="","",IFERROR(ROUND('Tool Stack'!$B$29/$J$35*J5,2),0))</f>
        <v>218.23</v>
      </c>
      <c r="L5" s="16" t="n">
        <f aca="false">IF(A5="","",ROUND(F5*Settings!$B$19,2))</f>
        <v>795.06</v>
      </c>
      <c r="M5" s="16" t="n">
        <f aca="false">IF(A5="","",K5+G5+L5)</f>
        <v>1013.29</v>
      </c>
      <c r="N5" s="16" t="n">
        <f aca="false">IF(A5="","",ROUND(E5-M5,2))</f>
        <v>1736.71</v>
      </c>
      <c r="O5" s="21" t="n">
        <f aca="false">IF(A5="","",IFERROR(ROUND(N5/E5*100,2),0))</f>
        <v>63.15</v>
      </c>
      <c r="P5" s="16" t="n">
        <f aca="false">IF(A5="","",IFERROR(ROUND(E5/C5,2),0))</f>
        <v>110</v>
      </c>
      <c r="Q5" s="16" t="n">
        <f aca="false">IF(A5="","",IFERROR(ROUND(M5/C5,2),0))</f>
        <v>40.53</v>
      </c>
      <c r="R5" s="16" t="n">
        <f aca="false">IF(A5="","",IFERROR(ROUND(Q5/(1-Settings!$B$13/100),2),0))</f>
        <v>57.9</v>
      </c>
      <c r="S5" s="22" t="n">
        <f aca="false">IF(A5="","",IFERROR(ROUND((E5-K5-G5)/Settings!$B$19,2),0))</f>
        <v>44.58</v>
      </c>
      <c r="T5" s="23" t="n">
        <f aca="false">IF(A5="","",ROUND(F5-S5,2))</f>
        <v>-30.58</v>
      </c>
      <c r="U5" s="16" t="n">
        <f aca="false">IF(A5="","",ROUND(E5*I5+H5,2))</f>
        <v>67500</v>
      </c>
    </row>
    <row r="6" customFormat="false" ht="15" hidden="false" customHeight="false" outlineLevel="0" collapsed="false">
      <c r="A6" s="15" t="s">
        <v>109</v>
      </c>
      <c r="B6" s="15" t="s">
        <v>110</v>
      </c>
      <c r="C6" s="18" t="n">
        <v>60</v>
      </c>
      <c r="D6" s="18" t="n">
        <v>75</v>
      </c>
      <c r="E6" s="7" t="n">
        <v>6200</v>
      </c>
      <c r="F6" s="9" t="n">
        <v>38</v>
      </c>
      <c r="G6" s="17" t="n">
        <v>150</v>
      </c>
      <c r="H6" s="17" t="n">
        <v>3000</v>
      </c>
      <c r="I6" s="18" t="n">
        <v>36</v>
      </c>
      <c r="J6" s="20" t="n">
        <f aca="false">IF(A6="","",C6+D6)</f>
        <v>135</v>
      </c>
      <c r="K6" s="16" t="n">
        <f aca="false">IF(A6="","",IFERROR(ROUND('Tool Stack'!$B$29/$J$35*J6,2),0))</f>
        <v>535.65</v>
      </c>
      <c r="L6" s="16" t="n">
        <f aca="false">IF(A6="","",ROUND(F6*Settings!$B$19,2))</f>
        <v>2158.02</v>
      </c>
      <c r="M6" s="16" t="n">
        <f aca="false">IF(A6="","",K6+G6+L6)</f>
        <v>2843.67</v>
      </c>
      <c r="N6" s="16" t="n">
        <f aca="false">IF(A6="","",ROUND(E6-M6,2))</f>
        <v>3356.33</v>
      </c>
      <c r="O6" s="21" t="n">
        <f aca="false">IF(A6="","",IFERROR(ROUND(N6/E6*100,2),0))</f>
        <v>54.13</v>
      </c>
      <c r="P6" s="16" t="n">
        <f aca="false">IF(A6="","",IFERROR(ROUND(E6/C6,2),0))</f>
        <v>103.33</v>
      </c>
      <c r="Q6" s="16" t="n">
        <f aca="false">IF(A6="","",IFERROR(ROUND(M6/C6,2),0))</f>
        <v>47.39</v>
      </c>
      <c r="R6" s="16" t="n">
        <f aca="false">IF(A6="","",IFERROR(ROUND(Q6/(1-Settings!$B$13/100),2),0))</f>
        <v>67.7</v>
      </c>
      <c r="S6" s="22" t="n">
        <f aca="false">IF(A6="","",IFERROR(ROUND((E6-K6-G6)/Settings!$B$19,2),0))</f>
        <v>97.1</v>
      </c>
      <c r="T6" s="23" t="n">
        <f aca="false">IF(A6="","",ROUND(F6-S6,2))</f>
        <v>-59.1</v>
      </c>
      <c r="U6" s="16" t="n">
        <f aca="false">IF(A6="","",ROUND(E6*I6+H6,2))</f>
        <v>226200</v>
      </c>
    </row>
    <row r="7" customFormat="false" ht="15" hidden="false" customHeight="false" outlineLevel="0" collapsed="false">
      <c r="A7" s="15" t="s">
        <v>111</v>
      </c>
      <c r="B7" s="15" t="s">
        <v>72</v>
      </c>
      <c r="C7" s="18" t="n">
        <v>18</v>
      </c>
      <c r="D7" s="18" t="n">
        <v>22</v>
      </c>
      <c r="E7" s="7" t="n">
        <v>1980</v>
      </c>
      <c r="F7" s="9" t="n">
        <v>12</v>
      </c>
      <c r="G7" s="17" t="n">
        <v>80</v>
      </c>
      <c r="H7" s="17" t="n">
        <v>1200</v>
      </c>
      <c r="I7" s="18" t="n">
        <v>24</v>
      </c>
      <c r="J7" s="20" t="n">
        <f aca="false">IF(A7="","",C7+D7)</f>
        <v>40</v>
      </c>
      <c r="K7" s="16" t="n">
        <f aca="false">IF(A7="","",IFERROR(ROUND('Tool Stack'!$B$29/$J$35*J7,2),0))</f>
        <v>158.71</v>
      </c>
      <c r="L7" s="16" t="n">
        <f aca="false">IF(A7="","",ROUND(F7*Settings!$B$19,2))</f>
        <v>681.48</v>
      </c>
      <c r="M7" s="16" t="n">
        <f aca="false">IF(A7="","",K7+G7+L7)</f>
        <v>920.19</v>
      </c>
      <c r="N7" s="16" t="n">
        <f aca="false">IF(A7="","",ROUND(E7-M7,2))</f>
        <v>1059.81</v>
      </c>
      <c r="O7" s="21" t="n">
        <f aca="false">IF(A7="","",IFERROR(ROUND(N7/E7*100,2),0))</f>
        <v>53.53</v>
      </c>
      <c r="P7" s="16" t="n">
        <f aca="false">IF(A7="","",IFERROR(ROUND(E7/C7,2),0))</f>
        <v>110</v>
      </c>
      <c r="Q7" s="16" t="n">
        <f aca="false">IF(A7="","",IFERROR(ROUND(M7/C7,2),0))</f>
        <v>51.12</v>
      </c>
      <c r="R7" s="16" t="n">
        <f aca="false">IF(A7="","",IFERROR(ROUND(Q7/(1-Settings!$B$13/100),2),0))</f>
        <v>73.03</v>
      </c>
      <c r="S7" s="22" t="n">
        <f aca="false">IF(A7="","",IFERROR(ROUND((E7-K7-G7)/Settings!$B$19,2),0))</f>
        <v>30.66</v>
      </c>
      <c r="T7" s="23" t="n">
        <f aca="false">IF(A7="","",ROUND(F7-S7,2))</f>
        <v>-18.66</v>
      </c>
      <c r="U7" s="16" t="n">
        <f aca="false">IF(A7="","",ROUND(E7*I7+H7,2))</f>
        <v>48720</v>
      </c>
    </row>
    <row r="8" customFormat="false" ht="15" hidden="false" customHeight="false" outlineLevel="0" collapsed="false">
      <c r="A8" s="15" t="s">
        <v>112</v>
      </c>
      <c r="B8" s="15" t="s">
        <v>69</v>
      </c>
      <c r="C8" s="18" t="n">
        <v>12</v>
      </c>
      <c r="D8" s="18" t="n">
        <v>20</v>
      </c>
      <c r="E8" s="7" t="n">
        <v>950</v>
      </c>
      <c r="F8" s="9" t="n">
        <v>16</v>
      </c>
      <c r="G8" s="17" t="n">
        <v>0</v>
      </c>
      <c r="H8" s="17" t="n">
        <v>800</v>
      </c>
      <c r="I8" s="18" t="n">
        <v>12</v>
      </c>
      <c r="J8" s="20" t="n">
        <f aca="false">IF(A8="","",C8+D8)</f>
        <v>32</v>
      </c>
      <c r="K8" s="16" t="n">
        <f aca="false">IF(A8="","",IFERROR(ROUND('Tool Stack'!$B$29/$J$35*J8,2),0))</f>
        <v>126.97</v>
      </c>
      <c r="L8" s="16" t="n">
        <f aca="false">IF(A8="","",ROUND(F8*Settings!$B$19,2))</f>
        <v>908.64</v>
      </c>
      <c r="M8" s="16" t="n">
        <f aca="false">IF(A8="","",K8+G8+L8)</f>
        <v>1035.61</v>
      </c>
      <c r="N8" s="16" t="n">
        <f aca="false">IF(A8="","",ROUND(E8-M8,2))</f>
        <v>-85.61</v>
      </c>
      <c r="O8" s="21" t="n">
        <f aca="false">IF(A8="","",IFERROR(ROUND(N8/E8*100,2),0))</f>
        <v>-9.01</v>
      </c>
      <c r="P8" s="16" t="n">
        <f aca="false">IF(A8="","",IFERROR(ROUND(E8/C8,2),0))</f>
        <v>79.17</v>
      </c>
      <c r="Q8" s="16" t="n">
        <f aca="false">IF(A8="","",IFERROR(ROUND(M8/C8,2),0))</f>
        <v>86.3</v>
      </c>
      <c r="R8" s="16" t="n">
        <f aca="false">IF(A8="","",IFERROR(ROUND(Q8/(1-Settings!$B$13/100),2),0))</f>
        <v>123.29</v>
      </c>
      <c r="S8" s="22" t="n">
        <f aca="false">IF(A8="","",IFERROR(ROUND((E8-K8-G8)/Settings!$B$19,2),0))</f>
        <v>14.49</v>
      </c>
      <c r="T8" s="23" t="n">
        <f aca="false">IF(A8="","",ROUND(F8-S8,2))</f>
        <v>1.51</v>
      </c>
      <c r="U8" s="16" t="n">
        <f aca="false">IF(A8="","",ROUND(E8*I8+H8,2))</f>
        <v>12200</v>
      </c>
    </row>
    <row r="9" customFormat="false" ht="15" hidden="false" customHeight="false" outlineLevel="0" collapsed="false">
      <c r="A9" s="15" t="s">
        <v>113</v>
      </c>
      <c r="B9" s="15" t="s">
        <v>72</v>
      </c>
      <c r="C9" s="18" t="n">
        <v>30</v>
      </c>
      <c r="D9" s="18" t="n">
        <v>35</v>
      </c>
      <c r="E9" s="7" t="n">
        <v>3150</v>
      </c>
      <c r="F9" s="9" t="n">
        <v>18</v>
      </c>
      <c r="G9" s="17" t="n">
        <v>60</v>
      </c>
      <c r="H9" s="17" t="n">
        <v>1800</v>
      </c>
      <c r="I9" s="18" t="n">
        <v>36</v>
      </c>
      <c r="J9" s="20" t="n">
        <f aca="false">IF(A9="","",C9+D9)</f>
        <v>65</v>
      </c>
      <c r="K9" s="16" t="n">
        <f aca="false">IF(A9="","",IFERROR(ROUND('Tool Stack'!$B$29/$J$35*J9,2),0))</f>
        <v>257.9</v>
      </c>
      <c r="L9" s="16" t="n">
        <f aca="false">IF(A9="","",ROUND(F9*Settings!$B$19,2))</f>
        <v>1022.22</v>
      </c>
      <c r="M9" s="16" t="n">
        <f aca="false">IF(A9="","",K9+G9+L9)</f>
        <v>1340.12</v>
      </c>
      <c r="N9" s="16" t="n">
        <f aca="false">IF(A9="","",ROUND(E9-M9,2))</f>
        <v>1809.88</v>
      </c>
      <c r="O9" s="21" t="n">
        <f aca="false">IF(A9="","",IFERROR(ROUND(N9/E9*100,2),0))</f>
        <v>57.46</v>
      </c>
      <c r="P9" s="16" t="n">
        <f aca="false">IF(A9="","",IFERROR(ROUND(E9/C9,2),0))</f>
        <v>105</v>
      </c>
      <c r="Q9" s="16" t="n">
        <f aca="false">IF(A9="","",IFERROR(ROUND(M9/C9,2),0))</f>
        <v>44.67</v>
      </c>
      <c r="R9" s="16" t="n">
        <f aca="false">IF(A9="","",IFERROR(ROUND(Q9/(1-Settings!$B$13/100),2),0))</f>
        <v>63.81</v>
      </c>
      <c r="S9" s="22" t="n">
        <f aca="false">IF(A9="","",IFERROR(ROUND((E9-K9-G9)/Settings!$B$19,2),0))</f>
        <v>49.87</v>
      </c>
      <c r="T9" s="23" t="n">
        <f aca="false">IF(A9="","",ROUND(F9-S9,2))</f>
        <v>-31.87</v>
      </c>
      <c r="U9" s="16" t="n">
        <f aca="false">IF(A9="","",ROUND(E9*I9+H9,2))</f>
        <v>115200</v>
      </c>
    </row>
    <row r="10" customFormat="false" ht="15" hidden="false" customHeight="false" outlineLevel="0" collapsed="false">
      <c r="A10" s="15" t="s">
        <v>114</v>
      </c>
      <c r="B10" s="15" t="s">
        <v>69</v>
      </c>
      <c r="C10" s="18" t="n">
        <v>15</v>
      </c>
      <c r="D10" s="18" t="n">
        <v>28</v>
      </c>
      <c r="E10" s="7" t="n">
        <v>1250</v>
      </c>
      <c r="F10" s="9" t="n">
        <v>10</v>
      </c>
      <c r="G10" s="17" t="n">
        <v>0</v>
      </c>
      <c r="H10" s="17" t="n">
        <v>900</v>
      </c>
      <c r="I10" s="18" t="n">
        <v>12</v>
      </c>
      <c r="J10" s="20" t="n">
        <f aca="false">IF(A10="","",C10+D10)</f>
        <v>43</v>
      </c>
      <c r="K10" s="16" t="n">
        <f aca="false">IF(A10="","",IFERROR(ROUND('Tool Stack'!$B$29/$J$35*J10,2),0))</f>
        <v>170.61</v>
      </c>
      <c r="L10" s="16" t="n">
        <f aca="false">IF(A10="","",ROUND(F10*Settings!$B$19,2))</f>
        <v>567.9</v>
      </c>
      <c r="M10" s="16" t="n">
        <f aca="false">IF(A10="","",K10+G10+L10)</f>
        <v>738.51</v>
      </c>
      <c r="N10" s="16" t="n">
        <f aca="false">IF(A10="","",ROUND(E10-M10,2))</f>
        <v>511.49</v>
      </c>
      <c r="O10" s="21" t="n">
        <f aca="false">IF(A10="","",IFERROR(ROUND(N10/E10*100,2),0))</f>
        <v>40.92</v>
      </c>
      <c r="P10" s="16" t="n">
        <f aca="false">IF(A10="","",IFERROR(ROUND(E10/C10,2),0))</f>
        <v>83.33</v>
      </c>
      <c r="Q10" s="16" t="n">
        <f aca="false">IF(A10="","",IFERROR(ROUND(M10/C10,2),0))</f>
        <v>49.23</v>
      </c>
      <c r="R10" s="16" t="n">
        <f aca="false">IF(A10="","",IFERROR(ROUND(Q10/(1-Settings!$B$13/100),2),0))</f>
        <v>70.33</v>
      </c>
      <c r="S10" s="22" t="n">
        <f aca="false">IF(A10="","",IFERROR(ROUND((E10-K10-G10)/Settings!$B$19,2),0))</f>
        <v>19.01</v>
      </c>
      <c r="T10" s="23" t="n">
        <f aca="false">IF(A10="","",ROUND(F10-S10,2))</f>
        <v>-9.01</v>
      </c>
      <c r="U10" s="16" t="n">
        <f aca="false">IF(A10="","",ROUND(E10*I10+H10,2))</f>
        <v>15900</v>
      </c>
    </row>
    <row r="11" customFormat="false" ht="15" hidden="false" customHeight="false" outlineLevel="0" collapsed="false">
      <c r="A11" s="15" t="s">
        <v>115</v>
      </c>
      <c r="B11" s="15" t="s">
        <v>110</v>
      </c>
      <c r="C11" s="18" t="n">
        <v>40</v>
      </c>
      <c r="D11" s="18" t="n">
        <v>90</v>
      </c>
      <c r="E11" s="7" t="n">
        <v>3200</v>
      </c>
      <c r="F11" s="9" t="n">
        <v>45</v>
      </c>
      <c r="G11" s="17" t="n">
        <v>200</v>
      </c>
      <c r="H11" s="17" t="n">
        <v>2500</v>
      </c>
      <c r="I11" s="18" t="n">
        <v>36</v>
      </c>
      <c r="J11" s="20" t="n">
        <f aca="false">IF(A11="","",C11+D11)</f>
        <v>130</v>
      </c>
      <c r="K11" s="16" t="n">
        <f aca="false">IF(A11="","",IFERROR(ROUND('Tool Stack'!$B$29/$J$35*J11,2),0))</f>
        <v>515.81</v>
      </c>
      <c r="L11" s="16" t="n">
        <f aca="false">IF(A11="","",ROUND(F11*Settings!$B$19,2))</f>
        <v>2555.55</v>
      </c>
      <c r="M11" s="16" t="n">
        <f aca="false">IF(A11="","",K11+G11+L11)</f>
        <v>3271.36</v>
      </c>
      <c r="N11" s="16" t="n">
        <f aca="false">IF(A11="","",ROUND(E11-M11,2))</f>
        <v>-71.36</v>
      </c>
      <c r="O11" s="21" t="n">
        <f aca="false">IF(A11="","",IFERROR(ROUND(N11/E11*100,2),0))</f>
        <v>-2.23</v>
      </c>
      <c r="P11" s="16" t="n">
        <f aca="false">IF(A11="","",IFERROR(ROUND(E11/C11,2),0))</f>
        <v>80</v>
      </c>
      <c r="Q11" s="16" t="n">
        <f aca="false">IF(A11="","",IFERROR(ROUND(M11/C11,2),0))</f>
        <v>81.78</v>
      </c>
      <c r="R11" s="16" t="n">
        <f aca="false">IF(A11="","",IFERROR(ROUND(Q11/(1-Settings!$B$13/100),2),0))</f>
        <v>116.83</v>
      </c>
      <c r="S11" s="22" t="n">
        <f aca="false">IF(A11="","",IFERROR(ROUND((E11-K11-G11)/Settings!$B$19,2),0))</f>
        <v>43.74</v>
      </c>
      <c r="T11" s="23" t="n">
        <f aca="false">IF(A11="","",ROUND(F11-S11,2))</f>
        <v>1.26</v>
      </c>
      <c r="U11" s="16" t="n">
        <f aca="false">IF(A11="","",ROUND(E11*I11+H11,2))</f>
        <v>117700</v>
      </c>
    </row>
    <row r="12" customFormat="false" ht="15" hidden="false" customHeight="false" outlineLevel="0" collapsed="false">
      <c r="A12" s="15" t="s">
        <v>116</v>
      </c>
      <c r="B12" s="15" t="s">
        <v>72</v>
      </c>
      <c r="C12" s="18" t="n">
        <v>50</v>
      </c>
      <c r="D12" s="18" t="n">
        <v>70</v>
      </c>
      <c r="E12" s="7" t="n">
        <v>4800</v>
      </c>
      <c r="F12" s="9" t="n">
        <v>30</v>
      </c>
      <c r="G12" s="17" t="n">
        <v>120</v>
      </c>
      <c r="H12" s="17" t="n">
        <v>2000</v>
      </c>
      <c r="I12" s="18" t="n">
        <v>24</v>
      </c>
      <c r="J12" s="20" t="n">
        <f aca="false">IF(A12="","",C12+D12)</f>
        <v>120</v>
      </c>
      <c r="K12" s="16" t="n">
        <f aca="false">IF(A12="","",IFERROR(ROUND('Tool Stack'!$B$29/$J$35*J12,2),0))</f>
        <v>476.13</v>
      </c>
      <c r="L12" s="16" t="n">
        <f aca="false">IF(A12="","",ROUND(F12*Settings!$B$19,2))</f>
        <v>1703.7</v>
      </c>
      <c r="M12" s="16" t="n">
        <f aca="false">IF(A12="","",K12+G12+L12)</f>
        <v>2299.83</v>
      </c>
      <c r="N12" s="16" t="n">
        <f aca="false">IF(A12="","",ROUND(E12-M12,2))</f>
        <v>2500.17</v>
      </c>
      <c r="O12" s="21" t="n">
        <f aca="false">IF(A12="","",IFERROR(ROUND(N12/E12*100,2),0))</f>
        <v>52.09</v>
      </c>
      <c r="P12" s="16" t="n">
        <f aca="false">IF(A12="","",IFERROR(ROUND(E12/C12,2),0))</f>
        <v>96</v>
      </c>
      <c r="Q12" s="16" t="n">
        <f aca="false">IF(A12="","",IFERROR(ROUND(M12/C12,2),0))</f>
        <v>46</v>
      </c>
      <c r="R12" s="16" t="n">
        <f aca="false">IF(A12="","",IFERROR(ROUND(Q12/(1-Settings!$B$13/100),2),0))</f>
        <v>65.71</v>
      </c>
      <c r="S12" s="22" t="n">
        <f aca="false">IF(A12="","",IFERROR(ROUND((E12-K12-G12)/Settings!$B$19,2),0))</f>
        <v>74.02</v>
      </c>
      <c r="T12" s="23" t="n">
        <f aca="false">IF(A12="","",ROUND(F12-S12,2))</f>
        <v>-44.02</v>
      </c>
      <c r="U12" s="16" t="n">
        <f aca="false">IF(A12="","",ROUND(E12*I12+H12,2))</f>
        <v>117200</v>
      </c>
    </row>
    <row r="13" customFormat="false" ht="15" hidden="false" customHeight="false" outlineLevel="0" collapsed="false">
      <c r="A13" s="15"/>
      <c r="B13" s="15"/>
      <c r="C13" s="18"/>
      <c r="D13" s="18"/>
      <c r="E13" s="17"/>
      <c r="F13" s="24"/>
      <c r="G13" s="17"/>
      <c r="H13" s="17"/>
      <c r="I13" s="18"/>
      <c r="J13" s="20" t="str">
        <f aca="false">IF(A13="","",C13+D13)</f>
        <v/>
      </c>
      <c r="K13" s="16" t="str">
        <f aca="false">IF(A13="","",IFERROR(ROUND('Tool Stack'!$B$29/$J$35*J13,2),0))</f>
        <v/>
      </c>
      <c r="L13" s="16" t="str">
        <f aca="false">IF(A13="","",ROUND(F13*Settings!$B$19,2))</f>
        <v/>
      </c>
      <c r="M13" s="16" t="str">
        <f aca="false">IF(A13="","",K13+G13+L13)</f>
        <v/>
      </c>
      <c r="N13" s="16" t="str">
        <f aca="false">IF(A13="","",ROUND(E13-M13,2))</f>
        <v/>
      </c>
      <c r="O13" s="21" t="str">
        <f aca="false">IF(A13="","",IFERROR(ROUND(N13/E13*100,2),0))</f>
        <v/>
      </c>
      <c r="P13" s="16" t="str">
        <f aca="false">IF(A13="","",IFERROR(ROUND(E13/C13,2),0))</f>
        <v/>
      </c>
      <c r="Q13" s="16" t="str">
        <f aca="false">IF(A13="","",IFERROR(ROUND(M13/C13,2),0))</f>
        <v/>
      </c>
      <c r="R13" s="16" t="str">
        <f aca="false">IF(A13="","",IFERROR(ROUND(Q13/(1-Settings!$B$13/100),2),0))</f>
        <v/>
      </c>
      <c r="S13" s="22" t="str">
        <f aca="false">IF(A13="","",IFERROR(ROUND((E13-K13-G13)/Settings!$B$19,2),0))</f>
        <v/>
      </c>
      <c r="T13" s="23" t="str">
        <f aca="false">IF(A13="","",ROUND(F13-S13,2))</f>
        <v/>
      </c>
      <c r="U13" s="16" t="str">
        <f aca="false">IF(A13="","",ROUND(E13*I13+H13,2))</f>
        <v/>
      </c>
    </row>
    <row r="14" customFormat="false" ht="15" hidden="false" customHeight="false" outlineLevel="0" collapsed="false">
      <c r="A14" s="15"/>
      <c r="B14" s="15"/>
      <c r="C14" s="18"/>
      <c r="D14" s="18"/>
      <c r="E14" s="17"/>
      <c r="F14" s="24"/>
      <c r="G14" s="17"/>
      <c r="H14" s="17"/>
      <c r="I14" s="18"/>
      <c r="J14" s="20" t="str">
        <f aca="false">IF(A14="","",C14+D14)</f>
        <v/>
      </c>
      <c r="K14" s="16" t="str">
        <f aca="false">IF(A14="","",IFERROR(ROUND('Tool Stack'!$B$29/$J$35*J14,2),0))</f>
        <v/>
      </c>
      <c r="L14" s="16" t="str">
        <f aca="false">IF(A14="","",ROUND(F14*Settings!$B$19,2))</f>
        <v/>
      </c>
      <c r="M14" s="16" t="str">
        <f aca="false">IF(A14="","",K14+G14+L14)</f>
        <v/>
      </c>
      <c r="N14" s="16" t="str">
        <f aca="false">IF(A14="","",ROUND(E14-M14,2))</f>
        <v/>
      </c>
      <c r="O14" s="21" t="str">
        <f aca="false">IF(A14="","",IFERROR(ROUND(N14/E14*100,2),0))</f>
        <v/>
      </c>
      <c r="P14" s="16" t="str">
        <f aca="false">IF(A14="","",IFERROR(ROUND(E14/C14,2),0))</f>
        <v/>
      </c>
      <c r="Q14" s="16" t="str">
        <f aca="false">IF(A14="","",IFERROR(ROUND(M14/C14,2),0))</f>
        <v/>
      </c>
      <c r="R14" s="16" t="str">
        <f aca="false">IF(A14="","",IFERROR(ROUND(Q14/(1-Settings!$B$13/100),2),0))</f>
        <v/>
      </c>
      <c r="S14" s="22" t="str">
        <f aca="false">IF(A14="","",IFERROR(ROUND((E14-K14-G14)/Settings!$B$19,2),0))</f>
        <v/>
      </c>
      <c r="T14" s="23" t="str">
        <f aca="false">IF(A14="","",ROUND(F14-S14,2))</f>
        <v/>
      </c>
      <c r="U14" s="16" t="str">
        <f aca="false">IF(A14="","",ROUND(E14*I14+H14,2))</f>
        <v/>
      </c>
    </row>
    <row r="15" customFormat="false" ht="15" hidden="false" customHeight="false" outlineLevel="0" collapsed="false">
      <c r="A15" s="15"/>
      <c r="B15" s="15"/>
      <c r="C15" s="18"/>
      <c r="D15" s="18"/>
      <c r="E15" s="17"/>
      <c r="F15" s="24"/>
      <c r="G15" s="17"/>
      <c r="H15" s="17"/>
      <c r="I15" s="18"/>
      <c r="J15" s="20" t="str">
        <f aca="false">IF(A15="","",C15+D15)</f>
        <v/>
      </c>
      <c r="K15" s="16" t="str">
        <f aca="false">IF(A15="","",IFERROR(ROUND('Tool Stack'!$B$29/$J$35*J15,2),0))</f>
        <v/>
      </c>
      <c r="L15" s="16" t="str">
        <f aca="false">IF(A15="","",ROUND(F15*Settings!$B$19,2))</f>
        <v/>
      </c>
      <c r="M15" s="16" t="str">
        <f aca="false">IF(A15="","",K15+G15+L15)</f>
        <v/>
      </c>
      <c r="N15" s="16" t="str">
        <f aca="false">IF(A15="","",ROUND(E15-M15,2))</f>
        <v/>
      </c>
      <c r="O15" s="21" t="str">
        <f aca="false">IF(A15="","",IFERROR(ROUND(N15/E15*100,2),0))</f>
        <v/>
      </c>
      <c r="P15" s="16" t="str">
        <f aca="false">IF(A15="","",IFERROR(ROUND(E15/C15,2),0))</f>
        <v/>
      </c>
      <c r="Q15" s="16" t="str">
        <f aca="false">IF(A15="","",IFERROR(ROUND(M15/C15,2),0))</f>
        <v/>
      </c>
      <c r="R15" s="16" t="str">
        <f aca="false">IF(A15="","",IFERROR(ROUND(Q15/(1-Settings!$B$13/100),2),0))</f>
        <v/>
      </c>
      <c r="S15" s="22" t="str">
        <f aca="false">IF(A15="","",IFERROR(ROUND((E15-K15-G15)/Settings!$B$19,2),0))</f>
        <v/>
      </c>
      <c r="T15" s="23" t="str">
        <f aca="false">IF(A15="","",ROUND(F15-S15,2))</f>
        <v/>
      </c>
      <c r="U15" s="16" t="str">
        <f aca="false">IF(A15="","",ROUND(E15*I15+H15,2))</f>
        <v/>
      </c>
    </row>
    <row r="16" customFormat="false" ht="15" hidden="false" customHeight="false" outlineLevel="0" collapsed="false">
      <c r="A16" s="15"/>
      <c r="B16" s="15"/>
      <c r="C16" s="18"/>
      <c r="D16" s="18"/>
      <c r="E16" s="17"/>
      <c r="F16" s="24"/>
      <c r="G16" s="17"/>
      <c r="H16" s="17"/>
      <c r="I16" s="18"/>
      <c r="J16" s="20" t="str">
        <f aca="false">IF(A16="","",C16+D16)</f>
        <v/>
      </c>
      <c r="K16" s="16" t="str">
        <f aca="false">IF(A16="","",IFERROR(ROUND('Tool Stack'!$B$29/$J$35*J16,2),0))</f>
        <v/>
      </c>
      <c r="L16" s="16" t="str">
        <f aca="false">IF(A16="","",ROUND(F16*Settings!$B$19,2))</f>
        <v/>
      </c>
      <c r="M16" s="16" t="str">
        <f aca="false">IF(A16="","",K16+G16+L16)</f>
        <v/>
      </c>
      <c r="N16" s="16" t="str">
        <f aca="false">IF(A16="","",ROUND(E16-M16,2))</f>
        <v/>
      </c>
      <c r="O16" s="21" t="str">
        <f aca="false">IF(A16="","",IFERROR(ROUND(N16/E16*100,2),0))</f>
        <v/>
      </c>
      <c r="P16" s="16" t="str">
        <f aca="false">IF(A16="","",IFERROR(ROUND(E16/C16,2),0))</f>
        <v/>
      </c>
      <c r="Q16" s="16" t="str">
        <f aca="false">IF(A16="","",IFERROR(ROUND(M16/C16,2),0))</f>
        <v/>
      </c>
      <c r="R16" s="16" t="str">
        <f aca="false">IF(A16="","",IFERROR(ROUND(Q16/(1-Settings!$B$13/100),2),0))</f>
        <v/>
      </c>
      <c r="S16" s="22" t="str">
        <f aca="false">IF(A16="","",IFERROR(ROUND((E16-K16-G16)/Settings!$B$19,2),0))</f>
        <v/>
      </c>
      <c r="T16" s="23" t="str">
        <f aca="false">IF(A16="","",ROUND(F16-S16,2))</f>
        <v/>
      </c>
      <c r="U16" s="16" t="str">
        <f aca="false">IF(A16="","",ROUND(E16*I16+H16,2))</f>
        <v/>
      </c>
    </row>
    <row r="17" customFormat="false" ht="15" hidden="false" customHeight="false" outlineLevel="0" collapsed="false">
      <c r="A17" s="15"/>
      <c r="B17" s="15"/>
      <c r="C17" s="18"/>
      <c r="D17" s="18"/>
      <c r="E17" s="17"/>
      <c r="F17" s="24"/>
      <c r="G17" s="17"/>
      <c r="H17" s="17"/>
      <c r="I17" s="18"/>
      <c r="J17" s="20" t="str">
        <f aca="false">IF(A17="","",C17+D17)</f>
        <v/>
      </c>
      <c r="K17" s="16" t="str">
        <f aca="false">IF(A17="","",IFERROR(ROUND('Tool Stack'!$B$29/$J$35*J17,2),0))</f>
        <v/>
      </c>
      <c r="L17" s="16" t="str">
        <f aca="false">IF(A17="","",ROUND(F17*Settings!$B$19,2))</f>
        <v/>
      </c>
      <c r="M17" s="16" t="str">
        <f aca="false">IF(A17="","",K17+G17+L17)</f>
        <v/>
      </c>
      <c r="N17" s="16" t="str">
        <f aca="false">IF(A17="","",ROUND(E17-M17,2))</f>
        <v/>
      </c>
      <c r="O17" s="21" t="str">
        <f aca="false">IF(A17="","",IFERROR(ROUND(N17/E17*100,2),0))</f>
        <v/>
      </c>
      <c r="P17" s="16" t="str">
        <f aca="false">IF(A17="","",IFERROR(ROUND(E17/C17,2),0))</f>
        <v/>
      </c>
      <c r="Q17" s="16" t="str">
        <f aca="false">IF(A17="","",IFERROR(ROUND(M17/C17,2),0))</f>
        <v/>
      </c>
      <c r="R17" s="16" t="str">
        <f aca="false">IF(A17="","",IFERROR(ROUND(Q17/(1-Settings!$B$13/100),2),0))</f>
        <v/>
      </c>
      <c r="S17" s="22" t="str">
        <f aca="false">IF(A17="","",IFERROR(ROUND((E17-K17-G17)/Settings!$B$19,2),0))</f>
        <v/>
      </c>
      <c r="T17" s="23" t="str">
        <f aca="false">IF(A17="","",ROUND(F17-S17,2))</f>
        <v/>
      </c>
      <c r="U17" s="16" t="str">
        <f aca="false">IF(A17="","",ROUND(E17*I17+H17,2))</f>
        <v/>
      </c>
    </row>
    <row r="18" customFormat="false" ht="15" hidden="false" customHeight="false" outlineLevel="0" collapsed="false">
      <c r="A18" s="15"/>
      <c r="B18" s="15"/>
      <c r="C18" s="18"/>
      <c r="D18" s="18"/>
      <c r="E18" s="17"/>
      <c r="F18" s="24"/>
      <c r="G18" s="17"/>
      <c r="H18" s="17"/>
      <c r="I18" s="18"/>
      <c r="J18" s="20" t="str">
        <f aca="false">IF(A18="","",C18+D18)</f>
        <v/>
      </c>
      <c r="K18" s="16" t="str">
        <f aca="false">IF(A18="","",IFERROR(ROUND('Tool Stack'!$B$29/$J$35*J18,2),0))</f>
        <v/>
      </c>
      <c r="L18" s="16" t="str">
        <f aca="false">IF(A18="","",ROUND(F18*Settings!$B$19,2))</f>
        <v/>
      </c>
      <c r="M18" s="16" t="str">
        <f aca="false">IF(A18="","",K18+G18+L18)</f>
        <v/>
      </c>
      <c r="N18" s="16" t="str">
        <f aca="false">IF(A18="","",ROUND(E18-M18,2))</f>
        <v/>
      </c>
      <c r="O18" s="21" t="str">
        <f aca="false">IF(A18="","",IFERROR(ROUND(N18/E18*100,2),0))</f>
        <v/>
      </c>
      <c r="P18" s="16" t="str">
        <f aca="false">IF(A18="","",IFERROR(ROUND(E18/C18,2),0))</f>
        <v/>
      </c>
      <c r="Q18" s="16" t="str">
        <f aca="false">IF(A18="","",IFERROR(ROUND(M18/C18,2),0))</f>
        <v/>
      </c>
      <c r="R18" s="16" t="str">
        <f aca="false">IF(A18="","",IFERROR(ROUND(Q18/(1-Settings!$B$13/100),2),0))</f>
        <v/>
      </c>
      <c r="S18" s="22" t="str">
        <f aca="false">IF(A18="","",IFERROR(ROUND((E18-K18-G18)/Settings!$B$19,2),0))</f>
        <v/>
      </c>
      <c r="T18" s="23" t="str">
        <f aca="false">IF(A18="","",ROUND(F18-S18,2))</f>
        <v/>
      </c>
      <c r="U18" s="16" t="str">
        <f aca="false">IF(A18="","",ROUND(E18*I18+H18,2))</f>
        <v/>
      </c>
    </row>
    <row r="19" customFormat="false" ht="15" hidden="false" customHeight="false" outlineLevel="0" collapsed="false">
      <c r="A19" s="15"/>
      <c r="B19" s="15"/>
      <c r="C19" s="18"/>
      <c r="D19" s="18"/>
      <c r="E19" s="17"/>
      <c r="F19" s="24"/>
      <c r="G19" s="17"/>
      <c r="H19" s="17"/>
      <c r="I19" s="18"/>
      <c r="J19" s="20" t="str">
        <f aca="false">IF(A19="","",C19+D19)</f>
        <v/>
      </c>
      <c r="K19" s="16" t="str">
        <f aca="false">IF(A19="","",IFERROR(ROUND('Tool Stack'!$B$29/$J$35*J19,2),0))</f>
        <v/>
      </c>
      <c r="L19" s="16" t="str">
        <f aca="false">IF(A19="","",ROUND(F19*Settings!$B$19,2))</f>
        <v/>
      </c>
      <c r="M19" s="16" t="str">
        <f aca="false">IF(A19="","",K19+G19+L19)</f>
        <v/>
      </c>
      <c r="N19" s="16" t="str">
        <f aca="false">IF(A19="","",ROUND(E19-M19,2))</f>
        <v/>
      </c>
      <c r="O19" s="21" t="str">
        <f aca="false">IF(A19="","",IFERROR(ROUND(N19/E19*100,2),0))</f>
        <v/>
      </c>
      <c r="P19" s="16" t="str">
        <f aca="false">IF(A19="","",IFERROR(ROUND(E19/C19,2),0))</f>
        <v/>
      </c>
      <c r="Q19" s="16" t="str">
        <f aca="false">IF(A19="","",IFERROR(ROUND(M19/C19,2),0))</f>
        <v/>
      </c>
      <c r="R19" s="16" t="str">
        <f aca="false">IF(A19="","",IFERROR(ROUND(Q19/(1-Settings!$B$13/100),2),0))</f>
        <v/>
      </c>
      <c r="S19" s="22" t="str">
        <f aca="false">IF(A19="","",IFERROR(ROUND((E19-K19-G19)/Settings!$B$19,2),0))</f>
        <v/>
      </c>
      <c r="T19" s="23" t="str">
        <f aca="false">IF(A19="","",ROUND(F19-S19,2))</f>
        <v/>
      </c>
      <c r="U19" s="16" t="str">
        <f aca="false">IF(A19="","",ROUND(E19*I19+H19,2))</f>
        <v/>
      </c>
    </row>
    <row r="20" customFormat="false" ht="15" hidden="false" customHeight="false" outlineLevel="0" collapsed="false">
      <c r="A20" s="15"/>
      <c r="B20" s="15"/>
      <c r="C20" s="18"/>
      <c r="D20" s="18"/>
      <c r="E20" s="17"/>
      <c r="F20" s="24"/>
      <c r="G20" s="17"/>
      <c r="H20" s="17"/>
      <c r="I20" s="18"/>
      <c r="J20" s="20" t="str">
        <f aca="false">IF(A20="","",C20+D20)</f>
        <v/>
      </c>
      <c r="K20" s="16" t="str">
        <f aca="false">IF(A20="","",IFERROR(ROUND('Tool Stack'!$B$29/$J$35*J20,2),0))</f>
        <v/>
      </c>
      <c r="L20" s="16" t="str">
        <f aca="false">IF(A20="","",ROUND(F20*Settings!$B$19,2))</f>
        <v/>
      </c>
      <c r="M20" s="16" t="str">
        <f aca="false">IF(A20="","",K20+G20+L20)</f>
        <v/>
      </c>
      <c r="N20" s="16" t="str">
        <f aca="false">IF(A20="","",ROUND(E20-M20,2))</f>
        <v/>
      </c>
      <c r="O20" s="21" t="str">
        <f aca="false">IF(A20="","",IFERROR(ROUND(N20/E20*100,2),0))</f>
        <v/>
      </c>
      <c r="P20" s="16" t="str">
        <f aca="false">IF(A20="","",IFERROR(ROUND(E20/C20,2),0))</f>
        <v/>
      </c>
      <c r="Q20" s="16" t="str">
        <f aca="false">IF(A20="","",IFERROR(ROUND(M20/C20,2),0))</f>
        <v/>
      </c>
      <c r="R20" s="16" t="str">
        <f aca="false">IF(A20="","",IFERROR(ROUND(Q20/(1-Settings!$B$13/100),2),0))</f>
        <v/>
      </c>
      <c r="S20" s="22" t="str">
        <f aca="false">IF(A20="","",IFERROR(ROUND((E20-K20-G20)/Settings!$B$19,2),0))</f>
        <v/>
      </c>
      <c r="T20" s="23" t="str">
        <f aca="false">IF(A20="","",ROUND(F20-S20,2))</f>
        <v/>
      </c>
      <c r="U20" s="16" t="str">
        <f aca="false">IF(A20="","",ROUND(E20*I20+H20,2))</f>
        <v/>
      </c>
    </row>
    <row r="21" customFormat="false" ht="15" hidden="false" customHeight="false" outlineLevel="0" collapsed="false">
      <c r="A21" s="15"/>
      <c r="B21" s="15"/>
      <c r="C21" s="18"/>
      <c r="D21" s="18"/>
      <c r="E21" s="17"/>
      <c r="F21" s="24"/>
      <c r="G21" s="17"/>
      <c r="H21" s="17"/>
      <c r="I21" s="18"/>
      <c r="J21" s="20" t="str">
        <f aca="false">IF(A21="","",C21+D21)</f>
        <v/>
      </c>
      <c r="K21" s="16" t="str">
        <f aca="false">IF(A21="","",IFERROR(ROUND('Tool Stack'!$B$29/$J$35*J21,2),0))</f>
        <v/>
      </c>
      <c r="L21" s="16" t="str">
        <f aca="false">IF(A21="","",ROUND(F21*Settings!$B$19,2))</f>
        <v/>
      </c>
      <c r="M21" s="16" t="str">
        <f aca="false">IF(A21="","",K21+G21+L21)</f>
        <v/>
      </c>
      <c r="N21" s="16" t="str">
        <f aca="false">IF(A21="","",ROUND(E21-M21,2))</f>
        <v/>
      </c>
      <c r="O21" s="21" t="str">
        <f aca="false">IF(A21="","",IFERROR(ROUND(N21/E21*100,2),0))</f>
        <v/>
      </c>
      <c r="P21" s="16" t="str">
        <f aca="false">IF(A21="","",IFERROR(ROUND(E21/C21,2),0))</f>
        <v/>
      </c>
      <c r="Q21" s="16" t="str">
        <f aca="false">IF(A21="","",IFERROR(ROUND(M21/C21,2),0))</f>
        <v/>
      </c>
      <c r="R21" s="16" t="str">
        <f aca="false">IF(A21="","",IFERROR(ROUND(Q21/(1-Settings!$B$13/100),2),0))</f>
        <v/>
      </c>
      <c r="S21" s="22" t="str">
        <f aca="false">IF(A21="","",IFERROR(ROUND((E21-K21-G21)/Settings!$B$19,2),0))</f>
        <v/>
      </c>
      <c r="T21" s="23" t="str">
        <f aca="false">IF(A21="","",ROUND(F21-S21,2))</f>
        <v/>
      </c>
      <c r="U21" s="16" t="str">
        <f aca="false">IF(A21="","",ROUND(E21*I21+H21,2))</f>
        <v/>
      </c>
    </row>
    <row r="22" customFormat="false" ht="15" hidden="false" customHeight="false" outlineLevel="0" collapsed="false">
      <c r="A22" s="15"/>
      <c r="B22" s="15"/>
      <c r="C22" s="18"/>
      <c r="D22" s="18"/>
      <c r="E22" s="17"/>
      <c r="F22" s="24"/>
      <c r="G22" s="17"/>
      <c r="H22" s="17"/>
      <c r="I22" s="18"/>
      <c r="J22" s="20" t="str">
        <f aca="false">IF(A22="","",C22+D22)</f>
        <v/>
      </c>
      <c r="K22" s="16" t="str">
        <f aca="false">IF(A22="","",IFERROR(ROUND('Tool Stack'!$B$29/$J$35*J22,2),0))</f>
        <v/>
      </c>
      <c r="L22" s="16" t="str">
        <f aca="false">IF(A22="","",ROUND(F22*Settings!$B$19,2))</f>
        <v/>
      </c>
      <c r="M22" s="16" t="str">
        <f aca="false">IF(A22="","",K22+G22+L22)</f>
        <v/>
      </c>
      <c r="N22" s="16" t="str">
        <f aca="false">IF(A22="","",ROUND(E22-M22,2))</f>
        <v/>
      </c>
      <c r="O22" s="21" t="str">
        <f aca="false">IF(A22="","",IFERROR(ROUND(N22/E22*100,2),0))</f>
        <v/>
      </c>
      <c r="P22" s="16" t="str">
        <f aca="false">IF(A22="","",IFERROR(ROUND(E22/C22,2),0))</f>
        <v/>
      </c>
      <c r="Q22" s="16" t="str">
        <f aca="false">IF(A22="","",IFERROR(ROUND(M22/C22,2),0))</f>
        <v/>
      </c>
      <c r="R22" s="16" t="str">
        <f aca="false">IF(A22="","",IFERROR(ROUND(Q22/(1-Settings!$B$13/100),2),0))</f>
        <v/>
      </c>
      <c r="S22" s="22" t="str">
        <f aca="false">IF(A22="","",IFERROR(ROUND((E22-K22-G22)/Settings!$B$19,2),0))</f>
        <v/>
      </c>
      <c r="T22" s="23" t="str">
        <f aca="false">IF(A22="","",ROUND(F22-S22,2))</f>
        <v/>
      </c>
      <c r="U22" s="16" t="str">
        <f aca="false">IF(A22="","",ROUND(E22*I22+H22,2))</f>
        <v/>
      </c>
    </row>
    <row r="23" customFormat="false" ht="15" hidden="false" customHeight="false" outlineLevel="0" collapsed="false">
      <c r="A23" s="15"/>
      <c r="B23" s="15"/>
      <c r="C23" s="18"/>
      <c r="D23" s="18"/>
      <c r="E23" s="17"/>
      <c r="F23" s="24"/>
      <c r="G23" s="17"/>
      <c r="H23" s="17"/>
      <c r="I23" s="18"/>
      <c r="J23" s="20" t="str">
        <f aca="false">IF(A23="","",C23+D23)</f>
        <v/>
      </c>
      <c r="K23" s="16" t="str">
        <f aca="false">IF(A23="","",IFERROR(ROUND('Tool Stack'!$B$29/$J$35*J23,2),0))</f>
        <v/>
      </c>
      <c r="L23" s="16" t="str">
        <f aca="false">IF(A23="","",ROUND(F23*Settings!$B$19,2))</f>
        <v/>
      </c>
      <c r="M23" s="16" t="str">
        <f aca="false">IF(A23="","",K23+G23+L23)</f>
        <v/>
      </c>
      <c r="N23" s="16" t="str">
        <f aca="false">IF(A23="","",ROUND(E23-M23,2))</f>
        <v/>
      </c>
      <c r="O23" s="21" t="str">
        <f aca="false">IF(A23="","",IFERROR(ROUND(N23/E23*100,2),0))</f>
        <v/>
      </c>
      <c r="P23" s="16" t="str">
        <f aca="false">IF(A23="","",IFERROR(ROUND(E23/C23,2),0))</f>
        <v/>
      </c>
      <c r="Q23" s="16" t="str">
        <f aca="false">IF(A23="","",IFERROR(ROUND(M23/C23,2),0))</f>
        <v/>
      </c>
      <c r="R23" s="16" t="str">
        <f aca="false">IF(A23="","",IFERROR(ROUND(Q23/(1-Settings!$B$13/100),2),0))</f>
        <v/>
      </c>
      <c r="S23" s="22" t="str">
        <f aca="false">IF(A23="","",IFERROR(ROUND((E23-K23-G23)/Settings!$B$19,2),0))</f>
        <v/>
      </c>
      <c r="T23" s="23" t="str">
        <f aca="false">IF(A23="","",ROUND(F23-S23,2))</f>
        <v/>
      </c>
      <c r="U23" s="16" t="str">
        <f aca="false">IF(A23="","",ROUND(E23*I23+H23,2))</f>
        <v/>
      </c>
    </row>
    <row r="24" customFormat="false" ht="15" hidden="false" customHeight="false" outlineLevel="0" collapsed="false">
      <c r="A24" s="15"/>
      <c r="B24" s="15"/>
      <c r="C24" s="18"/>
      <c r="D24" s="18"/>
      <c r="E24" s="17"/>
      <c r="F24" s="24"/>
      <c r="G24" s="17"/>
      <c r="H24" s="17"/>
      <c r="I24" s="18"/>
      <c r="J24" s="20" t="str">
        <f aca="false">IF(A24="","",C24+D24)</f>
        <v/>
      </c>
      <c r="K24" s="16" t="str">
        <f aca="false">IF(A24="","",IFERROR(ROUND('Tool Stack'!$B$29/$J$35*J24,2),0))</f>
        <v/>
      </c>
      <c r="L24" s="16" t="str">
        <f aca="false">IF(A24="","",ROUND(F24*Settings!$B$19,2))</f>
        <v/>
      </c>
      <c r="M24" s="16" t="str">
        <f aca="false">IF(A24="","",K24+G24+L24)</f>
        <v/>
      </c>
      <c r="N24" s="16" t="str">
        <f aca="false">IF(A24="","",ROUND(E24-M24,2))</f>
        <v/>
      </c>
      <c r="O24" s="21" t="str">
        <f aca="false">IF(A24="","",IFERROR(ROUND(N24/E24*100,2),0))</f>
        <v/>
      </c>
      <c r="P24" s="16" t="str">
        <f aca="false">IF(A24="","",IFERROR(ROUND(E24/C24,2),0))</f>
        <v/>
      </c>
      <c r="Q24" s="16" t="str">
        <f aca="false">IF(A24="","",IFERROR(ROUND(M24/C24,2),0))</f>
        <v/>
      </c>
      <c r="R24" s="16" t="str">
        <f aca="false">IF(A24="","",IFERROR(ROUND(Q24/(1-Settings!$B$13/100),2),0))</f>
        <v/>
      </c>
      <c r="S24" s="22" t="str">
        <f aca="false">IF(A24="","",IFERROR(ROUND((E24-K24-G24)/Settings!$B$19,2),0))</f>
        <v/>
      </c>
      <c r="T24" s="23" t="str">
        <f aca="false">IF(A24="","",ROUND(F24-S24,2))</f>
        <v/>
      </c>
      <c r="U24" s="16" t="str">
        <f aca="false">IF(A24="","",ROUND(E24*I24+H24,2))</f>
        <v/>
      </c>
    </row>
    <row r="25" customFormat="false" ht="15" hidden="false" customHeight="false" outlineLevel="0" collapsed="false">
      <c r="A25" s="15"/>
      <c r="B25" s="15"/>
      <c r="C25" s="18"/>
      <c r="D25" s="18"/>
      <c r="E25" s="17"/>
      <c r="F25" s="24"/>
      <c r="G25" s="17"/>
      <c r="H25" s="17"/>
      <c r="I25" s="18"/>
      <c r="J25" s="20" t="str">
        <f aca="false">IF(A25="","",C25+D25)</f>
        <v/>
      </c>
      <c r="K25" s="16" t="str">
        <f aca="false">IF(A25="","",IFERROR(ROUND('Tool Stack'!$B$29/$J$35*J25,2),0))</f>
        <v/>
      </c>
      <c r="L25" s="16" t="str">
        <f aca="false">IF(A25="","",ROUND(F25*Settings!$B$19,2))</f>
        <v/>
      </c>
      <c r="M25" s="16" t="str">
        <f aca="false">IF(A25="","",K25+G25+L25)</f>
        <v/>
      </c>
      <c r="N25" s="16" t="str">
        <f aca="false">IF(A25="","",ROUND(E25-M25,2))</f>
        <v/>
      </c>
      <c r="O25" s="21" t="str">
        <f aca="false">IF(A25="","",IFERROR(ROUND(N25/E25*100,2),0))</f>
        <v/>
      </c>
      <c r="P25" s="16" t="str">
        <f aca="false">IF(A25="","",IFERROR(ROUND(E25/C25,2),0))</f>
        <v/>
      </c>
      <c r="Q25" s="16" t="str">
        <f aca="false">IF(A25="","",IFERROR(ROUND(M25/C25,2),0))</f>
        <v/>
      </c>
      <c r="R25" s="16" t="str">
        <f aca="false">IF(A25="","",IFERROR(ROUND(Q25/(1-Settings!$B$13/100),2),0))</f>
        <v/>
      </c>
      <c r="S25" s="22" t="str">
        <f aca="false">IF(A25="","",IFERROR(ROUND((E25-K25-G25)/Settings!$B$19,2),0))</f>
        <v/>
      </c>
      <c r="T25" s="23" t="str">
        <f aca="false">IF(A25="","",ROUND(F25-S25,2))</f>
        <v/>
      </c>
      <c r="U25" s="16" t="str">
        <f aca="false">IF(A25="","",ROUND(E25*I25+H25,2))</f>
        <v/>
      </c>
    </row>
    <row r="26" customFormat="false" ht="15" hidden="false" customHeight="false" outlineLevel="0" collapsed="false">
      <c r="A26" s="15"/>
      <c r="B26" s="15"/>
      <c r="C26" s="18"/>
      <c r="D26" s="18"/>
      <c r="E26" s="17"/>
      <c r="F26" s="24"/>
      <c r="G26" s="17"/>
      <c r="H26" s="17"/>
      <c r="I26" s="18"/>
      <c r="J26" s="20" t="str">
        <f aca="false">IF(A26="","",C26+D26)</f>
        <v/>
      </c>
      <c r="K26" s="16" t="str">
        <f aca="false">IF(A26="","",IFERROR(ROUND('Tool Stack'!$B$29/$J$35*J26,2),0))</f>
        <v/>
      </c>
      <c r="L26" s="16" t="str">
        <f aca="false">IF(A26="","",ROUND(F26*Settings!$B$19,2))</f>
        <v/>
      </c>
      <c r="M26" s="16" t="str">
        <f aca="false">IF(A26="","",K26+G26+L26)</f>
        <v/>
      </c>
      <c r="N26" s="16" t="str">
        <f aca="false">IF(A26="","",ROUND(E26-M26,2))</f>
        <v/>
      </c>
      <c r="O26" s="21" t="str">
        <f aca="false">IF(A26="","",IFERROR(ROUND(N26/E26*100,2),0))</f>
        <v/>
      </c>
      <c r="P26" s="16" t="str">
        <f aca="false">IF(A26="","",IFERROR(ROUND(E26/C26,2),0))</f>
        <v/>
      </c>
      <c r="Q26" s="16" t="str">
        <f aca="false">IF(A26="","",IFERROR(ROUND(M26/C26,2),0))</f>
        <v/>
      </c>
      <c r="R26" s="16" t="str">
        <f aca="false">IF(A26="","",IFERROR(ROUND(Q26/(1-Settings!$B$13/100),2),0))</f>
        <v/>
      </c>
      <c r="S26" s="22" t="str">
        <f aca="false">IF(A26="","",IFERROR(ROUND((E26-K26-G26)/Settings!$B$19,2),0))</f>
        <v/>
      </c>
      <c r="T26" s="23" t="str">
        <f aca="false">IF(A26="","",ROUND(F26-S26,2))</f>
        <v/>
      </c>
      <c r="U26" s="16" t="str">
        <f aca="false">IF(A26="","",ROUND(E26*I26+H26,2))</f>
        <v/>
      </c>
    </row>
    <row r="27" customFormat="false" ht="15" hidden="false" customHeight="false" outlineLevel="0" collapsed="false">
      <c r="A27" s="15"/>
      <c r="B27" s="15"/>
      <c r="C27" s="18"/>
      <c r="D27" s="18"/>
      <c r="E27" s="17"/>
      <c r="F27" s="24"/>
      <c r="G27" s="17"/>
      <c r="H27" s="17"/>
      <c r="I27" s="18"/>
      <c r="J27" s="20" t="str">
        <f aca="false">IF(A27="","",C27+D27)</f>
        <v/>
      </c>
      <c r="K27" s="16" t="str">
        <f aca="false">IF(A27="","",IFERROR(ROUND('Tool Stack'!$B$29/$J$35*J27,2),0))</f>
        <v/>
      </c>
      <c r="L27" s="16" t="str">
        <f aca="false">IF(A27="","",ROUND(F27*Settings!$B$19,2))</f>
        <v/>
      </c>
      <c r="M27" s="16" t="str">
        <f aca="false">IF(A27="","",K27+G27+L27)</f>
        <v/>
      </c>
      <c r="N27" s="16" t="str">
        <f aca="false">IF(A27="","",ROUND(E27-M27,2))</f>
        <v/>
      </c>
      <c r="O27" s="21" t="str">
        <f aca="false">IF(A27="","",IFERROR(ROUND(N27/E27*100,2),0))</f>
        <v/>
      </c>
      <c r="P27" s="16" t="str">
        <f aca="false">IF(A27="","",IFERROR(ROUND(E27/C27,2),0))</f>
        <v/>
      </c>
      <c r="Q27" s="16" t="str">
        <f aca="false">IF(A27="","",IFERROR(ROUND(M27/C27,2),0))</f>
        <v/>
      </c>
      <c r="R27" s="16" t="str">
        <f aca="false">IF(A27="","",IFERROR(ROUND(Q27/(1-Settings!$B$13/100),2),0))</f>
        <v/>
      </c>
      <c r="S27" s="22" t="str">
        <f aca="false">IF(A27="","",IFERROR(ROUND((E27-K27-G27)/Settings!$B$19,2),0))</f>
        <v/>
      </c>
      <c r="T27" s="23" t="str">
        <f aca="false">IF(A27="","",ROUND(F27-S27,2))</f>
        <v/>
      </c>
      <c r="U27" s="16" t="str">
        <f aca="false">IF(A27="","",ROUND(E27*I27+H27,2))</f>
        <v/>
      </c>
    </row>
    <row r="28" customFormat="false" ht="15" hidden="false" customHeight="false" outlineLevel="0" collapsed="false">
      <c r="A28" s="15"/>
      <c r="B28" s="15"/>
      <c r="C28" s="18"/>
      <c r="D28" s="18"/>
      <c r="E28" s="17"/>
      <c r="F28" s="24"/>
      <c r="G28" s="17"/>
      <c r="H28" s="17"/>
      <c r="I28" s="18"/>
      <c r="J28" s="20" t="str">
        <f aca="false">IF(A28="","",C28+D28)</f>
        <v/>
      </c>
      <c r="K28" s="16" t="str">
        <f aca="false">IF(A28="","",IFERROR(ROUND('Tool Stack'!$B$29/$J$35*J28,2),0))</f>
        <v/>
      </c>
      <c r="L28" s="16" t="str">
        <f aca="false">IF(A28="","",ROUND(F28*Settings!$B$19,2))</f>
        <v/>
      </c>
      <c r="M28" s="16" t="str">
        <f aca="false">IF(A28="","",K28+G28+L28)</f>
        <v/>
      </c>
      <c r="N28" s="16" t="str">
        <f aca="false">IF(A28="","",ROUND(E28-M28,2))</f>
        <v/>
      </c>
      <c r="O28" s="21" t="str">
        <f aca="false">IF(A28="","",IFERROR(ROUND(N28/E28*100,2),0))</f>
        <v/>
      </c>
      <c r="P28" s="16" t="str">
        <f aca="false">IF(A28="","",IFERROR(ROUND(E28/C28,2),0))</f>
        <v/>
      </c>
      <c r="Q28" s="16" t="str">
        <f aca="false">IF(A28="","",IFERROR(ROUND(M28/C28,2),0))</f>
        <v/>
      </c>
      <c r="R28" s="16" t="str">
        <f aca="false">IF(A28="","",IFERROR(ROUND(Q28/(1-Settings!$B$13/100),2),0))</f>
        <v/>
      </c>
      <c r="S28" s="22" t="str">
        <f aca="false">IF(A28="","",IFERROR(ROUND((E28-K28-G28)/Settings!$B$19,2),0))</f>
        <v/>
      </c>
      <c r="T28" s="23" t="str">
        <f aca="false">IF(A28="","",ROUND(F28-S28,2))</f>
        <v/>
      </c>
      <c r="U28" s="16" t="str">
        <f aca="false">IF(A28="","",ROUND(E28*I28+H28,2))</f>
        <v/>
      </c>
    </row>
    <row r="29" customFormat="false" ht="15" hidden="false" customHeight="false" outlineLevel="0" collapsed="false">
      <c r="A29" s="15"/>
      <c r="B29" s="15"/>
      <c r="C29" s="18"/>
      <c r="D29" s="18"/>
      <c r="E29" s="17"/>
      <c r="F29" s="24"/>
      <c r="G29" s="17"/>
      <c r="H29" s="17"/>
      <c r="I29" s="18"/>
      <c r="J29" s="20" t="str">
        <f aca="false">IF(A29="","",C29+D29)</f>
        <v/>
      </c>
      <c r="K29" s="16" t="str">
        <f aca="false">IF(A29="","",IFERROR(ROUND('Tool Stack'!$B$29/$J$35*J29,2),0))</f>
        <v/>
      </c>
      <c r="L29" s="16" t="str">
        <f aca="false">IF(A29="","",ROUND(F29*Settings!$B$19,2))</f>
        <v/>
      </c>
      <c r="M29" s="16" t="str">
        <f aca="false">IF(A29="","",K29+G29+L29)</f>
        <v/>
      </c>
      <c r="N29" s="16" t="str">
        <f aca="false">IF(A29="","",ROUND(E29-M29,2))</f>
        <v/>
      </c>
      <c r="O29" s="21" t="str">
        <f aca="false">IF(A29="","",IFERROR(ROUND(N29/E29*100,2),0))</f>
        <v/>
      </c>
      <c r="P29" s="16" t="str">
        <f aca="false">IF(A29="","",IFERROR(ROUND(E29/C29,2),0))</f>
        <v/>
      </c>
      <c r="Q29" s="16" t="str">
        <f aca="false">IF(A29="","",IFERROR(ROUND(M29/C29,2),0))</f>
        <v/>
      </c>
      <c r="R29" s="16" t="str">
        <f aca="false">IF(A29="","",IFERROR(ROUND(Q29/(1-Settings!$B$13/100),2),0))</f>
        <v/>
      </c>
      <c r="S29" s="22" t="str">
        <f aca="false">IF(A29="","",IFERROR(ROUND((E29-K29-G29)/Settings!$B$19,2),0))</f>
        <v/>
      </c>
      <c r="T29" s="23" t="str">
        <f aca="false">IF(A29="","",ROUND(F29-S29,2))</f>
        <v/>
      </c>
      <c r="U29" s="16" t="str">
        <f aca="false">IF(A29="","",ROUND(E29*I29+H29,2))</f>
        <v/>
      </c>
    </row>
    <row r="30" customFormat="false" ht="15" hidden="false" customHeight="false" outlineLevel="0" collapsed="false">
      <c r="A30" s="15"/>
      <c r="B30" s="15"/>
      <c r="C30" s="18"/>
      <c r="D30" s="18"/>
      <c r="E30" s="17"/>
      <c r="F30" s="24"/>
      <c r="G30" s="17"/>
      <c r="H30" s="17"/>
      <c r="I30" s="18"/>
      <c r="J30" s="20" t="str">
        <f aca="false">IF(A30="","",C30+D30)</f>
        <v/>
      </c>
      <c r="K30" s="16" t="str">
        <f aca="false">IF(A30="","",IFERROR(ROUND('Tool Stack'!$B$29/$J$35*J30,2),0))</f>
        <v/>
      </c>
      <c r="L30" s="16" t="str">
        <f aca="false">IF(A30="","",ROUND(F30*Settings!$B$19,2))</f>
        <v/>
      </c>
      <c r="M30" s="16" t="str">
        <f aca="false">IF(A30="","",K30+G30+L30)</f>
        <v/>
      </c>
      <c r="N30" s="16" t="str">
        <f aca="false">IF(A30="","",ROUND(E30-M30,2))</f>
        <v/>
      </c>
      <c r="O30" s="21" t="str">
        <f aca="false">IF(A30="","",IFERROR(ROUND(N30/E30*100,2),0))</f>
        <v/>
      </c>
      <c r="P30" s="16" t="str">
        <f aca="false">IF(A30="","",IFERROR(ROUND(E30/C30,2),0))</f>
        <v/>
      </c>
      <c r="Q30" s="16" t="str">
        <f aca="false">IF(A30="","",IFERROR(ROUND(M30/C30,2),0))</f>
        <v/>
      </c>
      <c r="R30" s="16" t="str">
        <f aca="false">IF(A30="","",IFERROR(ROUND(Q30/(1-Settings!$B$13/100),2),0))</f>
        <v/>
      </c>
      <c r="S30" s="22" t="str">
        <f aca="false">IF(A30="","",IFERROR(ROUND((E30-K30-G30)/Settings!$B$19,2),0))</f>
        <v/>
      </c>
      <c r="T30" s="23" t="str">
        <f aca="false">IF(A30="","",ROUND(F30-S30,2))</f>
        <v/>
      </c>
      <c r="U30" s="16" t="str">
        <f aca="false">IF(A30="","",ROUND(E30*I30+H30,2))</f>
        <v/>
      </c>
    </row>
    <row r="31" customFormat="false" ht="15" hidden="false" customHeight="false" outlineLevel="0" collapsed="false">
      <c r="A31" s="15"/>
      <c r="B31" s="15"/>
      <c r="C31" s="18"/>
      <c r="D31" s="18"/>
      <c r="E31" s="17"/>
      <c r="F31" s="24"/>
      <c r="G31" s="17"/>
      <c r="H31" s="17"/>
      <c r="I31" s="18"/>
      <c r="J31" s="20" t="str">
        <f aca="false">IF(A31="","",C31+D31)</f>
        <v/>
      </c>
      <c r="K31" s="16" t="str">
        <f aca="false">IF(A31="","",IFERROR(ROUND('Tool Stack'!$B$29/$J$35*J31,2),0))</f>
        <v/>
      </c>
      <c r="L31" s="16" t="str">
        <f aca="false">IF(A31="","",ROUND(F31*Settings!$B$19,2))</f>
        <v/>
      </c>
      <c r="M31" s="16" t="str">
        <f aca="false">IF(A31="","",K31+G31+L31)</f>
        <v/>
      </c>
      <c r="N31" s="16" t="str">
        <f aca="false">IF(A31="","",ROUND(E31-M31,2))</f>
        <v/>
      </c>
      <c r="O31" s="21" t="str">
        <f aca="false">IF(A31="","",IFERROR(ROUND(N31/E31*100,2),0))</f>
        <v/>
      </c>
      <c r="P31" s="16" t="str">
        <f aca="false">IF(A31="","",IFERROR(ROUND(E31/C31,2),0))</f>
        <v/>
      </c>
      <c r="Q31" s="16" t="str">
        <f aca="false">IF(A31="","",IFERROR(ROUND(M31/C31,2),0))</f>
        <v/>
      </c>
      <c r="R31" s="16" t="str">
        <f aca="false">IF(A31="","",IFERROR(ROUND(Q31/(1-Settings!$B$13/100),2),0))</f>
        <v/>
      </c>
      <c r="S31" s="22" t="str">
        <f aca="false">IF(A31="","",IFERROR(ROUND((E31-K31-G31)/Settings!$B$19,2),0))</f>
        <v/>
      </c>
      <c r="T31" s="23" t="str">
        <f aca="false">IF(A31="","",ROUND(F31-S31,2))</f>
        <v/>
      </c>
      <c r="U31" s="16" t="str">
        <f aca="false">IF(A31="","",ROUND(E31*I31+H31,2))</f>
        <v/>
      </c>
    </row>
    <row r="32" customFormat="false" ht="15" hidden="false" customHeight="false" outlineLevel="0" collapsed="false">
      <c r="A32" s="15"/>
      <c r="B32" s="15"/>
      <c r="C32" s="18"/>
      <c r="D32" s="18"/>
      <c r="E32" s="17"/>
      <c r="F32" s="24"/>
      <c r="G32" s="17"/>
      <c r="H32" s="17"/>
      <c r="I32" s="18"/>
      <c r="J32" s="20" t="str">
        <f aca="false">IF(A32="","",C32+D32)</f>
        <v/>
      </c>
      <c r="K32" s="16" t="str">
        <f aca="false">IF(A32="","",IFERROR(ROUND('Tool Stack'!$B$29/$J$35*J32,2),0))</f>
        <v/>
      </c>
      <c r="L32" s="16" t="str">
        <f aca="false">IF(A32="","",ROUND(F32*Settings!$B$19,2))</f>
        <v/>
      </c>
      <c r="M32" s="16" t="str">
        <f aca="false">IF(A32="","",K32+G32+L32)</f>
        <v/>
      </c>
      <c r="N32" s="16" t="str">
        <f aca="false">IF(A32="","",ROUND(E32-M32,2))</f>
        <v/>
      </c>
      <c r="O32" s="21" t="str">
        <f aca="false">IF(A32="","",IFERROR(ROUND(N32/E32*100,2),0))</f>
        <v/>
      </c>
      <c r="P32" s="16" t="str">
        <f aca="false">IF(A32="","",IFERROR(ROUND(E32/C32,2),0))</f>
        <v/>
      </c>
      <c r="Q32" s="16" t="str">
        <f aca="false">IF(A32="","",IFERROR(ROUND(M32/C32,2),0))</f>
        <v/>
      </c>
      <c r="R32" s="16" t="str">
        <f aca="false">IF(A32="","",IFERROR(ROUND(Q32/(1-Settings!$B$13/100),2),0))</f>
        <v/>
      </c>
      <c r="S32" s="22" t="str">
        <f aca="false">IF(A32="","",IFERROR(ROUND((E32-K32-G32)/Settings!$B$19,2),0))</f>
        <v/>
      </c>
      <c r="T32" s="23" t="str">
        <f aca="false">IF(A32="","",ROUND(F32-S32,2))</f>
        <v/>
      </c>
      <c r="U32" s="16" t="str">
        <f aca="false">IF(A32="","",ROUND(E32*I32+H32,2))</f>
        <v/>
      </c>
    </row>
    <row r="33" customFormat="false" ht="15" hidden="false" customHeight="false" outlineLevel="0" collapsed="false">
      <c r="A33" s="15"/>
      <c r="B33" s="15"/>
      <c r="C33" s="18"/>
      <c r="D33" s="18"/>
      <c r="E33" s="17"/>
      <c r="F33" s="24"/>
      <c r="G33" s="17"/>
      <c r="H33" s="17"/>
      <c r="I33" s="18"/>
      <c r="J33" s="20" t="str">
        <f aca="false">IF(A33="","",C33+D33)</f>
        <v/>
      </c>
      <c r="K33" s="16" t="str">
        <f aca="false">IF(A33="","",IFERROR(ROUND('Tool Stack'!$B$29/$J$35*J33,2),0))</f>
        <v/>
      </c>
      <c r="L33" s="16" t="str">
        <f aca="false">IF(A33="","",ROUND(F33*Settings!$B$19,2))</f>
        <v/>
      </c>
      <c r="M33" s="16" t="str">
        <f aca="false">IF(A33="","",K33+G33+L33)</f>
        <v/>
      </c>
      <c r="N33" s="16" t="str">
        <f aca="false">IF(A33="","",ROUND(E33-M33,2))</f>
        <v/>
      </c>
      <c r="O33" s="21" t="str">
        <f aca="false">IF(A33="","",IFERROR(ROUND(N33/E33*100,2),0))</f>
        <v/>
      </c>
      <c r="P33" s="16" t="str">
        <f aca="false">IF(A33="","",IFERROR(ROUND(E33/C33,2),0))</f>
        <v/>
      </c>
      <c r="Q33" s="16" t="str">
        <f aca="false">IF(A33="","",IFERROR(ROUND(M33/C33,2),0))</f>
        <v/>
      </c>
      <c r="R33" s="16" t="str">
        <f aca="false">IF(A33="","",IFERROR(ROUND(Q33/(1-Settings!$B$13/100),2),0))</f>
        <v/>
      </c>
      <c r="S33" s="22" t="str">
        <f aca="false">IF(A33="","",IFERROR(ROUND((E33-K33-G33)/Settings!$B$19,2),0))</f>
        <v/>
      </c>
      <c r="T33" s="23" t="str">
        <f aca="false">IF(A33="","",ROUND(F33-S33,2))</f>
        <v/>
      </c>
      <c r="U33" s="16" t="str">
        <f aca="false">IF(A33="","",ROUND(E33*I33+H33,2))</f>
        <v/>
      </c>
    </row>
    <row r="34" customFormat="false" ht="15" hidden="false" customHeight="false" outlineLevel="0" collapsed="false">
      <c r="A34" s="15"/>
      <c r="B34" s="15"/>
      <c r="C34" s="18"/>
      <c r="D34" s="18"/>
      <c r="E34" s="17"/>
      <c r="F34" s="24"/>
      <c r="G34" s="17"/>
      <c r="H34" s="17"/>
      <c r="I34" s="18"/>
      <c r="J34" s="20" t="str">
        <f aca="false">IF(A34="","",C34+D34)</f>
        <v/>
      </c>
      <c r="K34" s="16" t="str">
        <f aca="false">IF(A34="","",IFERROR(ROUND('Tool Stack'!$B$29/$J$35*J34,2),0))</f>
        <v/>
      </c>
      <c r="L34" s="16" t="str">
        <f aca="false">IF(A34="","",ROUND(F34*Settings!$B$19,2))</f>
        <v/>
      </c>
      <c r="M34" s="16" t="str">
        <f aca="false">IF(A34="","",K34+G34+L34)</f>
        <v/>
      </c>
      <c r="N34" s="16" t="str">
        <f aca="false">IF(A34="","",ROUND(E34-M34,2))</f>
        <v/>
      </c>
      <c r="O34" s="21" t="str">
        <f aca="false">IF(A34="","",IFERROR(ROUND(N34/E34*100,2),0))</f>
        <v/>
      </c>
      <c r="P34" s="16" t="str">
        <f aca="false">IF(A34="","",IFERROR(ROUND(E34/C34,2),0))</f>
        <v/>
      </c>
      <c r="Q34" s="16" t="str">
        <f aca="false">IF(A34="","",IFERROR(ROUND(M34/C34,2),0))</f>
        <v/>
      </c>
      <c r="R34" s="16" t="str">
        <f aca="false">IF(A34="","",IFERROR(ROUND(Q34/(1-Settings!$B$13/100),2),0))</f>
        <v/>
      </c>
      <c r="S34" s="22" t="str">
        <f aca="false">IF(A34="","",IFERROR(ROUND((E34-K34-G34)/Settings!$B$19,2),0))</f>
        <v/>
      </c>
      <c r="T34" s="23" t="str">
        <f aca="false">IF(A34="","",ROUND(F34-S34,2))</f>
        <v/>
      </c>
      <c r="U34" s="16" t="str">
        <f aca="false">IF(A34="","",ROUND(E34*I34+H34,2))</f>
        <v/>
      </c>
    </row>
    <row r="35" customFormat="false" ht="15" hidden="false" customHeight="false" outlineLevel="0" collapsed="false">
      <c r="A35" s="5" t="s">
        <v>79</v>
      </c>
      <c r="B35" s="25" t="n">
        <f aca="false">COUNTA(A5:A34)</f>
        <v>8</v>
      </c>
      <c r="C35" s="19" t="n">
        <f aca="false">SUM(C5:C34)</f>
        <v>250</v>
      </c>
      <c r="D35" s="19" t="n">
        <f aca="false">SUM(D5:D34)</f>
        <v>370</v>
      </c>
      <c r="E35" s="10" t="n">
        <f aca="false">SUM(E5:E34)</f>
        <v>24280</v>
      </c>
      <c r="F35" s="26" t="n">
        <f aca="false">SUM(F5:F34)</f>
        <v>183</v>
      </c>
      <c r="G35" s="10" t="n">
        <f aca="false">SUM(G5:G34)</f>
        <v>610</v>
      </c>
      <c r="H35" s="10" t="n">
        <f aca="false">SUM(H5:H34)</f>
        <v>13700</v>
      </c>
      <c r="J35" s="19" t="n">
        <f aca="false">SUM(J5:J34)</f>
        <v>620</v>
      </c>
      <c r="K35" s="10" t="n">
        <f aca="false">SUM(K5:K34)</f>
        <v>2460.01</v>
      </c>
      <c r="L35" s="10" t="n">
        <f aca="false">SUM(L5:L34)</f>
        <v>10392.57</v>
      </c>
      <c r="M35" s="10" t="n">
        <f aca="false">SUM(M5:M34)</f>
        <v>13462.58</v>
      </c>
      <c r="N35" s="10" t="n">
        <f aca="false">SUM(N5:N34)</f>
        <v>10817.42</v>
      </c>
      <c r="O35" s="27" t="n">
        <f aca="false">IFERROR(ROUND(N35/E35*100,2),0)</f>
        <v>44.55</v>
      </c>
      <c r="U35" s="10" t="n">
        <f aca="false">SUM(U5:U34)</f>
        <v>720620</v>
      </c>
    </row>
    <row r="36" customFormat="false" ht="15" hidden="false" customHeight="false" outlineLevel="0" collapsed="false">
      <c r="A36" s="3" t="s">
        <v>117</v>
      </c>
    </row>
  </sheetData>
  <dataValidations count="1">
    <dataValidation allowBlank="true" errorStyle="stop" operator="between" showDropDown="false" showErrorMessage="false" showInputMessage="false" sqref="B5:B34" type="list">
      <formula1>"per user,per device,hybrid"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11"/>
    <col collapsed="false" customWidth="true" hidden="false" outlineLevel="0" max="4" min="4" style="1" width="13"/>
    <col collapsed="false" customWidth="true" hidden="false" outlineLevel="0" max="5" min="5" style="1" width="12"/>
    <col collapsed="false" customWidth="true" hidden="false" outlineLevel="0" max="6" min="6" style="1" width="13"/>
    <col collapsed="false" customWidth="true" hidden="false" outlineLevel="0" max="7" min="7" style="1" width="15"/>
    <col collapsed="false" customWidth="true" hidden="false" outlineLevel="0" max="8" min="8" style="1" width="12"/>
    <col collapsed="false" customWidth="true" hidden="false" outlineLevel="0" max="10" min="9" style="1" width="13"/>
    <col collapsed="false" customWidth="true" hidden="false" outlineLevel="0" max="14" min="11" style="1" width="11"/>
    <col collapsed="false" customWidth="true" hidden="false" outlineLevel="0" max="15" min="15" style="1" width="13"/>
  </cols>
  <sheetData>
    <row r="1" customFormat="false" ht="17.35" hidden="false" customHeight="false" outlineLevel="0" collapsed="false">
      <c r="A1" s="2" t="s">
        <v>118</v>
      </c>
    </row>
    <row r="2" customFormat="false" ht="15" hidden="false" customHeight="false" outlineLevel="0" collapsed="false">
      <c r="A2" s="3" t="s">
        <v>119</v>
      </c>
    </row>
    <row r="4" customFormat="false" ht="52.2" hidden="false" customHeight="false" outlineLevel="0" collapsed="false">
      <c r="A4" s="14" t="s">
        <v>120</v>
      </c>
      <c r="B4" s="14" t="s">
        <v>121</v>
      </c>
      <c r="C4" s="14" t="s">
        <v>122</v>
      </c>
      <c r="D4" s="14" t="s">
        <v>123</v>
      </c>
      <c r="E4" s="14" t="s">
        <v>124</v>
      </c>
      <c r="F4" s="14" t="s">
        <v>125</v>
      </c>
      <c r="G4" s="14" t="s">
        <v>126</v>
      </c>
      <c r="H4" s="14" t="s">
        <v>124</v>
      </c>
      <c r="I4" s="14" t="s">
        <v>127</v>
      </c>
      <c r="J4" s="14" t="s">
        <v>99</v>
      </c>
      <c r="K4" s="14" t="s">
        <v>128</v>
      </c>
      <c r="L4" s="14" t="s">
        <v>129</v>
      </c>
      <c r="M4" s="14" t="s">
        <v>130</v>
      </c>
      <c r="N4" s="14" t="s">
        <v>131</v>
      </c>
      <c r="O4" s="14" t="s">
        <v>132</v>
      </c>
    </row>
    <row r="5" customFormat="false" ht="15" hidden="false" customHeight="false" outlineLevel="0" collapsed="false">
      <c r="A5" s="28" t="n">
        <v>46023</v>
      </c>
      <c r="B5" s="6" t="n">
        <v>310</v>
      </c>
      <c r="C5" s="9" t="n">
        <v>32</v>
      </c>
      <c r="D5" s="16" t="n">
        <f aca="false">IF(A5="","",Settings!$B$17)</f>
        <v>16200</v>
      </c>
      <c r="E5" s="17"/>
      <c r="F5" s="16" t="n">
        <f aca="false">IF(A5="","",IF(E5&lt;&gt;"",E5,D5))</f>
        <v>16200</v>
      </c>
      <c r="G5" s="16" t="n">
        <f aca="false">IF(A5="","",'Tool Stack'!$E$25+Settings!$B$12)</f>
        <v>8725</v>
      </c>
      <c r="H5" s="17"/>
      <c r="I5" s="16" t="n">
        <f aca="false">IF(A5="","",IF(H5&lt;&gt;"",H5,G5))</f>
        <v>8725</v>
      </c>
      <c r="J5" s="16" t="n">
        <f aca="false">IF(A5="","",F5+I5)</f>
        <v>24925</v>
      </c>
      <c r="K5" s="16" t="n">
        <f aca="false">IF(A5="","",IFERROR(ROUND(J5/B5,2),0))</f>
        <v>80.4</v>
      </c>
      <c r="L5" s="16" t="n">
        <f aca="false">IF(A5="","",ROUND(C5*Settings!$B$20,2))</f>
        <v>30.29</v>
      </c>
      <c r="M5" s="22" t="n">
        <f aca="false">IF(A5="","",IFERROR(ROUND(B5/Settings!$B$2,2),0))</f>
        <v>103.33</v>
      </c>
      <c r="N5" s="22" t="n">
        <f aca="false">IF(A5="","",ROUND(B5*C5/60,2))</f>
        <v>165.33</v>
      </c>
      <c r="O5" s="21" t="n">
        <f aca="false">IF(A5="","",IFERROR(ROUND(N5/Settings!$B$18*100,2),0))</f>
        <v>42.39</v>
      </c>
    </row>
    <row r="6" customFormat="false" ht="15" hidden="false" customHeight="false" outlineLevel="0" collapsed="false">
      <c r="A6" s="28" t="n">
        <v>46054</v>
      </c>
      <c r="B6" s="18" t="n">
        <v>295</v>
      </c>
      <c r="C6" s="24" t="n">
        <v>35</v>
      </c>
      <c r="D6" s="16" t="n">
        <f aca="false">IF(A6="","",Settings!$B$17)</f>
        <v>16200</v>
      </c>
      <c r="E6" s="17"/>
      <c r="F6" s="16" t="n">
        <f aca="false">IF(A6="","",IF(E6&lt;&gt;"",E6,D6))</f>
        <v>16200</v>
      </c>
      <c r="G6" s="16" t="n">
        <f aca="false">IF(A6="","",'Tool Stack'!$E$25+Settings!$B$12)</f>
        <v>8725</v>
      </c>
      <c r="H6" s="17"/>
      <c r="I6" s="16" t="n">
        <f aca="false">IF(A6="","",IF(H6&lt;&gt;"",H6,G6))</f>
        <v>8725</v>
      </c>
      <c r="J6" s="16" t="n">
        <f aca="false">IF(A6="","",F6+I6)</f>
        <v>24925</v>
      </c>
      <c r="K6" s="16" t="n">
        <f aca="false">IF(A6="","",IFERROR(ROUND(J6/B6,2),0))</f>
        <v>84.49</v>
      </c>
      <c r="L6" s="16" t="n">
        <f aca="false">IF(A6="","",ROUND(C6*Settings!$B$20,2))</f>
        <v>33.13</v>
      </c>
      <c r="M6" s="22" t="n">
        <f aca="false">IF(A6="","",IFERROR(ROUND(B6/Settings!$B$2,2),0))</f>
        <v>98.33</v>
      </c>
      <c r="N6" s="22" t="n">
        <f aca="false">IF(A6="","",ROUND(B6*C6/60,2))</f>
        <v>172.08</v>
      </c>
      <c r="O6" s="21" t="n">
        <f aca="false">IF(A6="","",IFERROR(ROUND(N6/Settings!$B$18*100,2),0))</f>
        <v>44.12</v>
      </c>
    </row>
    <row r="7" customFormat="false" ht="15" hidden="false" customHeight="false" outlineLevel="0" collapsed="false">
      <c r="A7" s="28" t="n">
        <v>46082</v>
      </c>
      <c r="B7" s="18" t="n">
        <v>340</v>
      </c>
      <c r="C7" s="24" t="n">
        <v>30</v>
      </c>
      <c r="D7" s="16" t="n">
        <f aca="false">IF(A7="","",Settings!$B$17)</f>
        <v>16200</v>
      </c>
      <c r="E7" s="17" t="n">
        <v>17500</v>
      </c>
      <c r="F7" s="16" t="n">
        <f aca="false">IF(A7="","",IF(E7&lt;&gt;"",E7,D7))</f>
        <v>17500</v>
      </c>
      <c r="G7" s="16" t="n">
        <f aca="false">IF(A7="","",'Tool Stack'!$E$25+Settings!$B$12)</f>
        <v>8725</v>
      </c>
      <c r="H7" s="17"/>
      <c r="I7" s="16" t="n">
        <f aca="false">IF(A7="","",IF(H7&lt;&gt;"",H7,G7))</f>
        <v>8725</v>
      </c>
      <c r="J7" s="16" t="n">
        <f aca="false">IF(A7="","",F7+I7)</f>
        <v>26225</v>
      </c>
      <c r="K7" s="16" t="n">
        <f aca="false">IF(A7="","",IFERROR(ROUND(J7/B7,2),0))</f>
        <v>77.13</v>
      </c>
      <c r="L7" s="16" t="n">
        <f aca="false">IF(A7="","",ROUND(C7*Settings!$B$20,2))</f>
        <v>28.4</v>
      </c>
      <c r="M7" s="22" t="n">
        <f aca="false">IF(A7="","",IFERROR(ROUND(B7/Settings!$B$2,2),0))</f>
        <v>113.33</v>
      </c>
      <c r="N7" s="22" t="n">
        <f aca="false">IF(A7="","",ROUND(B7*C7/60,2))</f>
        <v>170</v>
      </c>
      <c r="O7" s="21" t="n">
        <f aca="false">IF(A7="","",IFERROR(ROUND(N7/Settings!$B$18*100,2),0))</f>
        <v>43.59</v>
      </c>
    </row>
    <row r="8" customFormat="false" ht="15" hidden="false" customHeight="false" outlineLevel="0" collapsed="false">
      <c r="A8" s="28" t="n">
        <v>46113</v>
      </c>
      <c r="B8" s="18" t="n">
        <v>280</v>
      </c>
      <c r="C8" s="24" t="n">
        <v>34</v>
      </c>
      <c r="D8" s="16" t="n">
        <f aca="false">IF(A8="","",Settings!$B$17)</f>
        <v>16200</v>
      </c>
      <c r="E8" s="17"/>
      <c r="F8" s="16" t="n">
        <f aca="false">IF(A8="","",IF(E8&lt;&gt;"",E8,D8))</f>
        <v>16200</v>
      </c>
      <c r="G8" s="16" t="n">
        <f aca="false">IF(A8="","",'Tool Stack'!$E$25+Settings!$B$12)</f>
        <v>8725</v>
      </c>
      <c r="H8" s="17"/>
      <c r="I8" s="16" t="n">
        <f aca="false">IF(A8="","",IF(H8&lt;&gt;"",H8,G8))</f>
        <v>8725</v>
      </c>
      <c r="J8" s="16" t="n">
        <f aca="false">IF(A8="","",F8+I8)</f>
        <v>24925</v>
      </c>
      <c r="K8" s="16" t="n">
        <f aca="false">IF(A8="","",IFERROR(ROUND(J8/B8,2),0))</f>
        <v>89.02</v>
      </c>
      <c r="L8" s="16" t="n">
        <f aca="false">IF(A8="","",ROUND(C8*Settings!$B$20,2))</f>
        <v>32.18</v>
      </c>
      <c r="M8" s="22" t="n">
        <f aca="false">IF(A8="","",IFERROR(ROUND(B8/Settings!$B$2,2),0))</f>
        <v>93.33</v>
      </c>
      <c r="N8" s="22" t="n">
        <f aca="false">IF(A8="","",ROUND(B8*C8/60,2))</f>
        <v>158.67</v>
      </c>
      <c r="O8" s="21" t="n">
        <f aca="false">IF(A8="","",IFERROR(ROUND(N8/Settings!$B$18*100,2),0))</f>
        <v>40.68</v>
      </c>
    </row>
    <row r="9" customFormat="false" ht="15" hidden="false" customHeight="false" outlineLevel="0" collapsed="false">
      <c r="A9" s="28" t="n">
        <v>46143</v>
      </c>
      <c r="B9" s="18" t="n">
        <v>325</v>
      </c>
      <c r="C9" s="24" t="n">
        <v>31</v>
      </c>
      <c r="D9" s="16" t="n">
        <f aca="false">IF(A9="","",Settings!$B$17)</f>
        <v>16200</v>
      </c>
      <c r="E9" s="17"/>
      <c r="F9" s="16" t="n">
        <f aca="false">IF(A9="","",IF(E9&lt;&gt;"",E9,D9))</f>
        <v>16200</v>
      </c>
      <c r="G9" s="16" t="n">
        <f aca="false">IF(A9="","",'Tool Stack'!$E$25+Settings!$B$12)</f>
        <v>8725</v>
      </c>
      <c r="H9" s="17"/>
      <c r="I9" s="16" t="n">
        <f aca="false">IF(A9="","",IF(H9&lt;&gt;"",H9,G9))</f>
        <v>8725</v>
      </c>
      <c r="J9" s="16" t="n">
        <f aca="false">IF(A9="","",F9+I9)</f>
        <v>24925</v>
      </c>
      <c r="K9" s="16" t="n">
        <f aca="false">IF(A9="","",IFERROR(ROUND(J9/B9,2),0))</f>
        <v>76.69</v>
      </c>
      <c r="L9" s="16" t="n">
        <f aca="false">IF(A9="","",ROUND(C9*Settings!$B$20,2))</f>
        <v>29.34</v>
      </c>
      <c r="M9" s="22" t="n">
        <f aca="false">IF(A9="","",IFERROR(ROUND(B9/Settings!$B$2,2),0))</f>
        <v>108.33</v>
      </c>
      <c r="N9" s="22" t="n">
        <f aca="false">IF(A9="","",ROUND(B9*C9/60,2))</f>
        <v>167.92</v>
      </c>
      <c r="O9" s="21" t="n">
        <f aca="false">IF(A9="","",IFERROR(ROUND(N9/Settings!$B$18*100,2),0))</f>
        <v>43.06</v>
      </c>
    </row>
    <row r="10" customFormat="false" ht="15" hidden="false" customHeight="false" outlineLevel="0" collapsed="false">
      <c r="A10" s="28" t="n">
        <v>46174</v>
      </c>
      <c r="B10" s="18" t="n">
        <v>300</v>
      </c>
      <c r="C10" s="24" t="n">
        <v>33</v>
      </c>
      <c r="D10" s="16" t="n">
        <f aca="false">IF(A10="","",Settings!$B$17)</f>
        <v>16200</v>
      </c>
      <c r="E10" s="17"/>
      <c r="F10" s="16" t="n">
        <f aca="false">IF(A10="","",IF(E10&lt;&gt;"",E10,D10))</f>
        <v>16200</v>
      </c>
      <c r="G10" s="16" t="n">
        <f aca="false">IF(A10="","",'Tool Stack'!$E$25+Settings!$B$12)</f>
        <v>8725</v>
      </c>
      <c r="H10" s="17"/>
      <c r="I10" s="16" t="n">
        <f aca="false">IF(A10="","",IF(H10&lt;&gt;"",H10,G10))</f>
        <v>8725</v>
      </c>
      <c r="J10" s="16" t="n">
        <f aca="false">IF(A10="","",F10+I10)</f>
        <v>24925</v>
      </c>
      <c r="K10" s="16" t="n">
        <f aca="false">IF(A10="","",IFERROR(ROUND(J10/B10,2),0))</f>
        <v>83.08</v>
      </c>
      <c r="L10" s="16" t="n">
        <f aca="false">IF(A10="","",ROUND(C10*Settings!$B$20,2))</f>
        <v>31.23</v>
      </c>
      <c r="M10" s="22" t="n">
        <f aca="false">IF(A10="","",IFERROR(ROUND(B10/Settings!$B$2,2),0))</f>
        <v>100</v>
      </c>
      <c r="N10" s="22" t="n">
        <f aca="false">IF(A10="","",ROUND(B10*C10/60,2))</f>
        <v>165</v>
      </c>
      <c r="O10" s="21" t="n">
        <f aca="false">IF(A10="","",IFERROR(ROUND(N10/Settings!$B$18*100,2),0))</f>
        <v>42.31</v>
      </c>
    </row>
    <row r="11" customFormat="false" ht="15" hidden="false" customHeight="false" outlineLevel="0" collapsed="false">
      <c r="A11" s="28"/>
      <c r="B11" s="18"/>
      <c r="C11" s="24"/>
      <c r="D11" s="16" t="str">
        <f aca="false">IF(A11="","",Settings!$B$17)</f>
        <v/>
      </c>
      <c r="E11" s="17"/>
      <c r="F11" s="16" t="str">
        <f aca="false">IF(A11="","",IF(E11&lt;&gt;"",E11,D11))</f>
        <v/>
      </c>
      <c r="G11" s="16" t="str">
        <f aca="false">IF(A11="","",'Tool Stack'!$E$25+Settings!$B$12)</f>
        <v/>
      </c>
      <c r="H11" s="17"/>
      <c r="I11" s="16" t="str">
        <f aca="false">IF(A11="","",IF(H11&lt;&gt;"",H11,G11))</f>
        <v/>
      </c>
      <c r="J11" s="16" t="str">
        <f aca="false">IF(A11="","",F11+I11)</f>
        <v/>
      </c>
      <c r="K11" s="16" t="str">
        <f aca="false">IF(A11="","",IFERROR(ROUND(J11/B11,2),0))</f>
        <v/>
      </c>
      <c r="L11" s="16" t="str">
        <f aca="false">IF(A11="","",ROUND(C11*Settings!$B$20,2))</f>
        <v/>
      </c>
      <c r="M11" s="22" t="str">
        <f aca="false">IF(A11="","",IFERROR(ROUND(B11/Settings!$B$2,2),0))</f>
        <v/>
      </c>
      <c r="N11" s="22" t="str">
        <f aca="false">IF(A11="","",ROUND(B11*C11/60,2))</f>
        <v/>
      </c>
      <c r="O11" s="21" t="str">
        <f aca="false">IF(A11="","",IFERROR(ROUND(N11/Settings!$B$18*100,2),0))</f>
        <v/>
      </c>
    </row>
    <row r="12" customFormat="false" ht="15" hidden="false" customHeight="false" outlineLevel="0" collapsed="false">
      <c r="A12" s="28"/>
      <c r="B12" s="18"/>
      <c r="C12" s="24"/>
      <c r="D12" s="16" t="str">
        <f aca="false">IF(A12="","",Settings!$B$17)</f>
        <v/>
      </c>
      <c r="E12" s="17"/>
      <c r="F12" s="16" t="str">
        <f aca="false">IF(A12="","",IF(E12&lt;&gt;"",E12,D12))</f>
        <v/>
      </c>
      <c r="G12" s="16" t="str">
        <f aca="false">IF(A12="","",'Tool Stack'!$E$25+Settings!$B$12)</f>
        <v/>
      </c>
      <c r="H12" s="17"/>
      <c r="I12" s="16" t="str">
        <f aca="false">IF(A12="","",IF(H12&lt;&gt;"",H12,G12))</f>
        <v/>
      </c>
      <c r="J12" s="16" t="str">
        <f aca="false">IF(A12="","",F12+I12)</f>
        <v/>
      </c>
      <c r="K12" s="16" t="str">
        <f aca="false">IF(A12="","",IFERROR(ROUND(J12/B12,2),0))</f>
        <v/>
      </c>
      <c r="L12" s="16" t="str">
        <f aca="false">IF(A12="","",ROUND(C12*Settings!$B$20,2))</f>
        <v/>
      </c>
      <c r="M12" s="22" t="str">
        <f aca="false">IF(A12="","",IFERROR(ROUND(B12/Settings!$B$2,2),0))</f>
        <v/>
      </c>
      <c r="N12" s="22" t="str">
        <f aca="false">IF(A12="","",ROUND(B12*C12/60,2))</f>
        <v/>
      </c>
      <c r="O12" s="21" t="str">
        <f aca="false">IF(A12="","",IFERROR(ROUND(N12/Settings!$B$18*100,2),0))</f>
        <v/>
      </c>
    </row>
    <row r="13" customFormat="false" ht="15" hidden="false" customHeight="false" outlineLevel="0" collapsed="false">
      <c r="A13" s="28"/>
      <c r="B13" s="18"/>
      <c r="C13" s="24"/>
      <c r="D13" s="16" t="str">
        <f aca="false">IF(A13="","",Settings!$B$17)</f>
        <v/>
      </c>
      <c r="E13" s="17"/>
      <c r="F13" s="16" t="str">
        <f aca="false">IF(A13="","",IF(E13&lt;&gt;"",E13,D13))</f>
        <v/>
      </c>
      <c r="G13" s="16" t="str">
        <f aca="false">IF(A13="","",'Tool Stack'!$E$25+Settings!$B$12)</f>
        <v/>
      </c>
      <c r="H13" s="17"/>
      <c r="I13" s="16" t="str">
        <f aca="false">IF(A13="","",IF(H13&lt;&gt;"",H13,G13))</f>
        <v/>
      </c>
      <c r="J13" s="16" t="str">
        <f aca="false">IF(A13="","",F13+I13)</f>
        <v/>
      </c>
      <c r="K13" s="16" t="str">
        <f aca="false">IF(A13="","",IFERROR(ROUND(J13/B13,2),0))</f>
        <v/>
      </c>
      <c r="L13" s="16" t="str">
        <f aca="false">IF(A13="","",ROUND(C13*Settings!$B$20,2))</f>
        <v/>
      </c>
      <c r="M13" s="22" t="str">
        <f aca="false">IF(A13="","",IFERROR(ROUND(B13/Settings!$B$2,2),0))</f>
        <v/>
      </c>
      <c r="N13" s="22" t="str">
        <f aca="false">IF(A13="","",ROUND(B13*C13/60,2))</f>
        <v/>
      </c>
      <c r="O13" s="21" t="str">
        <f aca="false">IF(A13="","",IFERROR(ROUND(N13/Settings!$B$18*100,2),0))</f>
        <v/>
      </c>
    </row>
    <row r="14" customFormat="false" ht="15" hidden="false" customHeight="false" outlineLevel="0" collapsed="false">
      <c r="A14" s="28"/>
      <c r="B14" s="18"/>
      <c r="C14" s="24"/>
      <c r="D14" s="16" t="str">
        <f aca="false">IF(A14="","",Settings!$B$17)</f>
        <v/>
      </c>
      <c r="E14" s="17"/>
      <c r="F14" s="16" t="str">
        <f aca="false">IF(A14="","",IF(E14&lt;&gt;"",E14,D14))</f>
        <v/>
      </c>
      <c r="G14" s="16" t="str">
        <f aca="false">IF(A14="","",'Tool Stack'!$E$25+Settings!$B$12)</f>
        <v/>
      </c>
      <c r="H14" s="17"/>
      <c r="I14" s="16" t="str">
        <f aca="false">IF(A14="","",IF(H14&lt;&gt;"",H14,G14))</f>
        <v/>
      </c>
      <c r="J14" s="16" t="str">
        <f aca="false">IF(A14="","",F14+I14)</f>
        <v/>
      </c>
      <c r="K14" s="16" t="str">
        <f aca="false">IF(A14="","",IFERROR(ROUND(J14/B14,2),0))</f>
        <v/>
      </c>
      <c r="L14" s="16" t="str">
        <f aca="false">IF(A14="","",ROUND(C14*Settings!$B$20,2))</f>
        <v/>
      </c>
      <c r="M14" s="22" t="str">
        <f aca="false">IF(A14="","",IFERROR(ROUND(B14/Settings!$B$2,2),0))</f>
        <v/>
      </c>
      <c r="N14" s="22" t="str">
        <f aca="false">IF(A14="","",ROUND(B14*C14/60,2))</f>
        <v/>
      </c>
      <c r="O14" s="21" t="str">
        <f aca="false">IF(A14="","",IFERROR(ROUND(N14/Settings!$B$18*100,2),0))</f>
        <v/>
      </c>
    </row>
    <row r="15" customFormat="false" ht="15" hidden="false" customHeight="false" outlineLevel="0" collapsed="false">
      <c r="A15" s="28"/>
      <c r="B15" s="18"/>
      <c r="C15" s="24"/>
      <c r="D15" s="16" t="str">
        <f aca="false">IF(A15="","",Settings!$B$17)</f>
        <v/>
      </c>
      <c r="E15" s="17"/>
      <c r="F15" s="16" t="str">
        <f aca="false">IF(A15="","",IF(E15&lt;&gt;"",E15,D15))</f>
        <v/>
      </c>
      <c r="G15" s="16" t="str">
        <f aca="false">IF(A15="","",'Tool Stack'!$E$25+Settings!$B$12)</f>
        <v/>
      </c>
      <c r="H15" s="17"/>
      <c r="I15" s="16" t="str">
        <f aca="false">IF(A15="","",IF(H15&lt;&gt;"",H15,G15))</f>
        <v/>
      </c>
      <c r="J15" s="16" t="str">
        <f aca="false">IF(A15="","",F15+I15)</f>
        <v/>
      </c>
      <c r="K15" s="16" t="str">
        <f aca="false">IF(A15="","",IFERROR(ROUND(J15/B15,2),0))</f>
        <v/>
      </c>
      <c r="L15" s="16" t="str">
        <f aca="false">IF(A15="","",ROUND(C15*Settings!$B$20,2))</f>
        <v/>
      </c>
      <c r="M15" s="22" t="str">
        <f aca="false">IF(A15="","",IFERROR(ROUND(B15/Settings!$B$2,2),0))</f>
        <v/>
      </c>
      <c r="N15" s="22" t="str">
        <f aca="false">IF(A15="","",ROUND(B15*C15/60,2))</f>
        <v/>
      </c>
      <c r="O15" s="21" t="str">
        <f aca="false">IF(A15="","",IFERROR(ROUND(N15/Settings!$B$18*100,2),0))</f>
        <v/>
      </c>
    </row>
    <row r="16" customFormat="false" ht="15" hidden="false" customHeight="false" outlineLevel="0" collapsed="false">
      <c r="A16" s="28"/>
      <c r="B16" s="18"/>
      <c r="C16" s="24"/>
      <c r="D16" s="16" t="str">
        <f aca="false">IF(A16="","",Settings!$B$17)</f>
        <v/>
      </c>
      <c r="E16" s="17"/>
      <c r="F16" s="16" t="str">
        <f aca="false">IF(A16="","",IF(E16&lt;&gt;"",E16,D16))</f>
        <v/>
      </c>
      <c r="G16" s="16" t="str">
        <f aca="false">IF(A16="","",'Tool Stack'!$E$25+Settings!$B$12)</f>
        <v/>
      </c>
      <c r="H16" s="17"/>
      <c r="I16" s="16" t="str">
        <f aca="false">IF(A16="","",IF(H16&lt;&gt;"",H16,G16))</f>
        <v/>
      </c>
      <c r="J16" s="16" t="str">
        <f aca="false">IF(A16="","",F16+I16)</f>
        <v/>
      </c>
      <c r="K16" s="16" t="str">
        <f aca="false">IF(A16="","",IFERROR(ROUND(J16/B16,2),0))</f>
        <v/>
      </c>
      <c r="L16" s="16" t="str">
        <f aca="false">IF(A16="","",ROUND(C16*Settings!$B$20,2))</f>
        <v/>
      </c>
      <c r="M16" s="22" t="str">
        <f aca="false">IF(A16="","",IFERROR(ROUND(B16/Settings!$B$2,2),0))</f>
        <v/>
      </c>
      <c r="N16" s="22" t="str">
        <f aca="false">IF(A16="","",ROUND(B16*C16/60,2))</f>
        <v/>
      </c>
      <c r="O16" s="21" t="str">
        <f aca="false">IF(A16="","",IFERROR(ROUND(N16/Settings!$B$18*100,2),0))</f>
        <v/>
      </c>
    </row>
    <row r="17" customFormat="false" ht="15" hidden="false" customHeight="false" outlineLevel="0" collapsed="false">
      <c r="A17" s="5" t="s">
        <v>79</v>
      </c>
      <c r="B17" s="19" t="n">
        <f aca="false">SUM(B5:B16)</f>
        <v>1850</v>
      </c>
      <c r="C17" s="26" t="n">
        <f aca="false">IFERROR(ROUND(N17*60/B17,1),0)</f>
        <v>32.4</v>
      </c>
      <c r="F17" s="10" t="n">
        <f aca="false">SUM(F5:F16)</f>
        <v>98500</v>
      </c>
      <c r="I17" s="10" t="n">
        <f aca="false">SUM(I5:I16)</f>
        <v>52350</v>
      </c>
      <c r="J17" s="10" t="n">
        <f aca="false">SUM(J5:J16)</f>
        <v>150850</v>
      </c>
      <c r="K17" s="10" t="n">
        <f aca="false">IFERROR(ROUND(J17/B17,2),0)</f>
        <v>81.54</v>
      </c>
      <c r="L17" s="10" t="n">
        <f aca="false">ROUND(C17*Settings!$B$20,2)</f>
        <v>30.67</v>
      </c>
      <c r="M17" s="12" t="n">
        <f aca="false">IFERROR(ROUND(B17/Settings!$B$2,2),0)</f>
        <v>616.67</v>
      </c>
      <c r="N17" s="12" t="n">
        <f aca="false">SUM(N5:N16)</f>
        <v>999</v>
      </c>
      <c r="O17" s="27" t="n">
        <f aca="false">IFERROR(ROUND(N17/(Settings!$B$18*COUNT(A5:A16))*100,2),0)</f>
        <v>42.69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4" min="3" style="1" width="12"/>
    <col collapsed="false" customWidth="true" hidden="false" outlineLevel="0" max="5" min="5" style="1" width="11"/>
    <col collapsed="false" customWidth="true" hidden="false" outlineLevel="0" max="7" min="6" style="1" width="12"/>
    <col collapsed="false" customWidth="true" hidden="false" outlineLevel="0" max="8" min="8" style="1" width="11"/>
    <col collapsed="false" customWidth="true" hidden="false" outlineLevel="0" max="9" min="9" style="1" width="10"/>
    <col collapsed="false" customWidth="true" hidden="false" outlineLevel="0" max="11" min="10" style="1" width="12"/>
    <col collapsed="false" customWidth="true" hidden="false" outlineLevel="0" max="12" min="12" style="1" width="11"/>
    <col collapsed="false" customWidth="true" hidden="false" outlineLevel="0" max="14" min="13" style="1" width="12"/>
    <col collapsed="false" customWidth="true" hidden="false" outlineLevel="0" max="16" min="15" style="1" width="11"/>
    <col collapsed="false" customWidth="true" hidden="false" outlineLevel="0" max="17" min="17" style="1" width="13"/>
    <col collapsed="false" customWidth="true" hidden="false" outlineLevel="0" max="18" min="18" style="1" width="12"/>
  </cols>
  <sheetData>
    <row r="1" customFormat="false" ht="17.35" hidden="false" customHeight="false" outlineLevel="0" collapsed="false">
      <c r="A1" s="2" t="s">
        <v>133</v>
      </c>
    </row>
    <row r="2" customFormat="false" ht="15" hidden="false" customHeight="false" outlineLevel="0" collapsed="false">
      <c r="A2" s="3" t="s">
        <v>134</v>
      </c>
    </row>
    <row r="4" customFormat="false" ht="39.55" hidden="false" customHeight="false" outlineLevel="0" collapsed="false">
      <c r="A4" s="14" t="s">
        <v>87</v>
      </c>
      <c r="B4" s="14" t="s">
        <v>135</v>
      </c>
      <c r="C4" s="14" t="s">
        <v>136</v>
      </c>
      <c r="D4" s="14" t="s">
        <v>137</v>
      </c>
      <c r="E4" s="14" t="s">
        <v>138</v>
      </c>
      <c r="F4" s="14" t="s">
        <v>139</v>
      </c>
      <c r="G4" s="14" t="s">
        <v>140</v>
      </c>
      <c r="H4" s="14" t="s">
        <v>141</v>
      </c>
      <c r="I4" s="14" t="s">
        <v>142</v>
      </c>
      <c r="J4" s="14" t="s">
        <v>143</v>
      </c>
      <c r="K4" s="14" t="s">
        <v>144</v>
      </c>
      <c r="L4" s="14" t="s">
        <v>145</v>
      </c>
      <c r="M4" s="14" t="s">
        <v>146</v>
      </c>
      <c r="N4" s="14" t="s">
        <v>147</v>
      </c>
      <c r="O4" s="14" t="s">
        <v>148</v>
      </c>
      <c r="P4" s="14" t="s">
        <v>149</v>
      </c>
      <c r="Q4" s="14" t="s">
        <v>150</v>
      </c>
      <c r="R4" s="14" t="s">
        <v>151</v>
      </c>
    </row>
    <row r="5" customFormat="false" ht="15" hidden="false" customHeight="false" outlineLevel="0" collapsed="false">
      <c r="A5" s="15" t="s">
        <v>152</v>
      </c>
      <c r="B5" s="9" t="n">
        <v>20</v>
      </c>
      <c r="C5" s="16" t="n">
        <f aca="false">IF(A5="","",Settings!$B$16)</f>
        <v>120</v>
      </c>
      <c r="D5" s="17"/>
      <c r="E5" s="16" t="n">
        <f aca="false">IF(A5="","",IF(D5&lt;&gt;"",D5,C5))</f>
        <v>120</v>
      </c>
      <c r="F5" s="21" t="n">
        <f aca="false">IF(A5="","",Settings!$B$14)</f>
        <v>10</v>
      </c>
      <c r="G5" s="11"/>
      <c r="H5" s="21" t="n">
        <f aca="false">IF(A5="","",IF(G5&lt;&gt;"",G5,F5))</f>
        <v>10</v>
      </c>
      <c r="I5" s="6" t="n">
        <v>6</v>
      </c>
      <c r="J5" s="21" t="n">
        <f aca="false">IF(A5="","",Settings!$B$15)</f>
        <v>15</v>
      </c>
      <c r="K5" s="11"/>
      <c r="L5" s="21" t="n">
        <f aca="false">IF(A5="","",IF(K5&lt;&gt;"",K5,J5))</f>
        <v>15</v>
      </c>
      <c r="M5" s="16" t="n">
        <f aca="false">IF(A5="","",ROUND(B5*E5,2))</f>
        <v>2400</v>
      </c>
      <c r="N5" s="16" t="n">
        <f aca="false">IF(A5="","",ROUND(M5*(1-H5/100),2))</f>
        <v>2160</v>
      </c>
      <c r="O5" s="16" t="n">
        <f aca="false">IF(A5="","",IFERROR(ROUND(N5/B5,2),0))</f>
        <v>108</v>
      </c>
      <c r="P5" s="22" t="n">
        <f aca="false">IF(A5="","",ROUND(B5*(1-L5/100),2))</f>
        <v>17</v>
      </c>
      <c r="Q5" s="16" t="n">
        <f aca="false">IF(A5="","",IFERROR(ROUND(N5/P5,2),0))</f>
        <v>127.06</v>
      </c>
      <c r="R5" s="16" t="n">
        <f aca="false">IF(A5="","",IFERROR(ROUND(N5/I5,2),0))</f>
        <v>360</v>
      </c>
    </row>
    <row r="6" customFormat="false" ht="15" hidden="false" customHeight="false" outlineLevel="0" collapsed="false">
      <c r="A6" s="15" t="s">
        <v>153</v>
      </c>
      <c r="B6" s="9" t="n">
        <v>40</v>
      </c>
      <c r="C6" s="16" t="n">
        <f aca="false">IF(A6="","",Settings!$B$16)</f>
        <v>120</v>
      </c>
      <c r="D6" s="17" t="n">
        <v>110</v>
      </c>
      <c r="E6" s="16" t="n">
        <f aca="false">IF(A6="","",IF(D6&lt;&gt;"",D6,C6))</f>
        <v>110</v>
      </c>
      <c r="F6" s="21" t="n">
        <f aca="false">IF(A6="","",Settings!$B$14)</f>
        <v>10</v>
      </c>
      <c r="G6" s="11" t="n">
        <v>15</v>
      </c>
      <c r="H6" s="21" t="n">
        <f aca="false">IF(A6="","",IF(G6&lt;&gt;"",G6,F6))</f>
        <v>15</v>
      </c>
      <c r="I6" s="6" t="n">
        <v>12</v>
      </c>
      <c r="J6" s="21" t="n">
        <f aca="false">IF(A6="","",Settings!$B$15)</f>
        <v>15</v>
      </c>
      <c r="K6" s="11"/>
      <c r="L6" s="21" t="n">
        <f aca="false">IF(A6="","",IF(K6&lt;&gt;"",K6,J6))</f>
        <v>15</v>
      </c>
      <c r="M6" s="16" t="n">
        <f aca="false">IF(A6="","",ROUND(B6*E6,2))</f>
        <v>4400</v>
      </c>
      <c r="N6" s="16" t="n">
        <f aca="false">IF(A6="","",ROUND(M6*(1-H6/100),2))</f>
        <v>3740</v>
      </c>
      <c r="O6" s="16" t="n">
        <f aca="false">IF(A6="","",IFERROR(ROUND(N6/B6,2),0))</f>
        <v>93.5</v>
      </c>
      <c r="P6" s="22" t="n">
        <f aca="false">IF(A6="","",ROUND(B6*(1-L6/100),2))</f>
        <v>34</v>
      </c>
      <c r="Q6" s="16" t="n">
        <f aca="false">IF(A6="","",IFERROR(ROUND(N6/P6,2),0))</f>
        <v>110</v>
      </c>
      <c r="R6" s="16" t="n">
        <f aca="false">IF(A6="","",IFERROR(ROUND(N6/I6,2),0))</f>
        <v>311.67</v>
      </c>
    </row>
    <row r="7" customFormat="false" ht="15" hidden="false" customHeight="false" outlineLevel="0" collapsed="false">
      <c r="A7" s="15" t="s">
        <v>154</v>
      </c>
      <c r="B7" s="9" t="n">
        <v>10</v>
      </c>
      <c r="C7" s="16" t="n">
        <f aca="false">IF(A7="","",Settings!$B$16)</f>
        <v>120</v>
      </c>
      <c r="D7" s="17"/>
      <c r="E7" s="16" t="n">
        <f aca="false">IF(A7="","",IF(D7&lt;&gt;"",D7,C7))</f>
        <v>120</v>
      </c>
      <c r="F7" s="21" t="n">
        <f aca="false">IF(A7="","",Settings!$B$14)</f>
        <v>10</v>
      </c>
      <c r="G7" s="11"/>
      <c r="H7" s="21" t="n">
        <f aca="false">IF(A7="","",IF(G7&lt;&gt;"",G7,F7))</f>
        <v>10</v>
      </c>
      <c r="I7" s="6" t="n">
        <v>3</v>
      </c>
      <c r="J7" s="21" t="n">
        <f aca="false">IF(A7="","",Settings!$B$15)</f>
        <v>15</v>
      </c>
      <c r="K7" s="11" t="n">
        <v>5</v>
      </c>
      <c r="L7" s="21" t="n">
        <f aca="false">IF(A7="","",IF(K7&lt;&gt;"",K7,J7))</f>
        <v>5</v>
      </c>
      <c r="M7" s="16" t="n">
        <f aca="false">IF(A7="","",ROUND(B7*E7,2))</f>
        <v>1200</v>
      </c>
      <c r="N7" s="16" t="n">
        <f aca="false">IF(A7="","",ROUND(M7*(1-H7/100),2))</f>
        <v>1080</v>
      </c>
      <c r="O7" s="16" t="n">
        <f aca="false">IF(A7="","",IFERROR(ROUND(N7/B7,2),0))</f>
        <v>108</v>
      </c>
      <c r="P7" s="22" t="n">
        <f aca="false">IF(A7="","",ROUND(B7*(1-L7/100),2))</f>
        <v>9.5</v>
      </c>
      <c r="Q7" s="16" t="n">
        <f aca="false">IF(A7="","",IFERROR(ROUND(N7/P7,2),0))</f>
        <v>113.68</v>
      </c>
      <c r="R7" s="16" t="n">
        <f aca="false">IF(A7="","",IFERROR(ROUND(N7/I7,2),0))</f>
        <v>360</v>
      </c>
    </row>
    <row r="8" customFormat="false" ht="15" hidden="false" customHeight="false" outlineLevel="0" collapsed="false">
      <c r="A8" s="15"/>
      <c r="B8" s="24"/>
      <c r="C8" s="16" t="str">
        <f aca="false">IF(A8="","",Settings!$B$16)</f>
        <v/>
      </c>
      <c r="D8" s="17"/>
      <c r="E8" s="16" t="str">
        <f aca="false">IF(A8="","",IF(D8&lt;&gt;"",D8,C8))</f>
        <v/>
      </c>
      <c r="F8" s="21" t="str">
        <f aca="false">IF(A8="","",Settings!$B$14)</f>
        <v/>
      </c>
      <c r="G8" s="11"/>
      <c r="H8" s="21" t="str">
        <f aca="false">IF(A8="","",IF(G8&lt;&gt;"",G8,F8))</f>
        <v/>
      </c>
      <c r="I8" s="18"/>
      <c r="J8" s="21" t="str">
        <f aca="false">IF(A8="","",Settings!$B$15)</f>
        <v/>
      </c>
      <c r="K8" s="11"/>
      <c r="L8" s="21" t="str">
        <f aca="false">IF(A8="","",IF(K8&lt;&gt;"",K8,J8))</f>
        <v/>
      </c>
      <c r="M8" s="16" t="str">
        <f aca="false">IF(A8="","",ROUND(B8*E8,2))</f>
        <v/>
      </c>
      <c r="N8" s="16" t="str">
        <f aca="false">IF(A8="","",ROUND(M8*(1-H8/100),2))</f>
        <v/>
      </c>
      <c r="O8" s="16" t="str">
        <f aca="false">IF(A8="","",IFERROR(ROUND(N8/B8,2),0))</f>
        <v/>
      </c>
      <c r="P8" s="22" t="str">
        <f aca="false">IF(A8="","",ROUND(B8*(1-L8/100),2))</f>
        <v/>
      </c>
      <c r="Q8" s="16" t="str">
        <f aca="false">IF(A8="","",IFERROR(ROUND(N8/P8,2),0))</f>
        <v/>
      </c>
      <c r="R8" s="16" t="str">
        <f aca="false">IF(A8="","",IFERROR(ROUND(N8/I8,2),0))</f>
        <v/>
      </c>
    </row>
    <row r="9" customFormat="false" ht="15" hidden="false" customHeight="false" outlineLevel="0" collapsed="false">
      <c r="A9" s="15"/>
      <c r="B9" s="24"/>
      <c r="C9" s="16" t="str">
        <f aca="false">IF(A9="","",Settings!$B$16)</f>
        <v/>
      </c>
      <c r="D9" s="17"/>
      <c r="E9" s="16" t="str">
        <f aca="false">IF(A9="","",IF(D9&lt;&gt;"",D9,C9))</f>
        <v/>
      </c>
      <c r="F9" s="21" t="str">
        <f aca="false">IF(A9="","",Settings!$B$14)</f>
        <v/>
      </c>
      <c r="G9" s="11"/>
      <c r="H9" s="21" t="str">
        <f aca="false">IF(A9="","",IF(G9&lt;&gt;"",G9,F9))</f>
        <v/>
      </c>
      <c r="I9" s="18"/>
      <c r="J9" s="21" t="str">
        <f aca="false">IF(A9="","",Settings!$B$15)</f>
        <v/>
      </c>
      <c r="K9" s="11"/>
      <c r="L9" s="21" t="str">
        <f aca="false">IF(A9="","",IF(K9&lt;&gt;"",K9,J9))</f>
        <v/>
      </c>
      <c r="M9" s="16" t="str">
        <f aca="false">IF(A9="","",ROUND(B9*E9,2))</f>
        <v/>
      </c>
      <c r="N9" s="16" t="str">
        <f aca="false">IF(A9="","",ROUND(M9*(1-H9/100),2))</f>
        <v/>
      </c>
      <c r="O9" s="16" t="str">
        <f aca="false">IF(A9="","",IFERROR(ROUND(N9/B9,2),0))</f>
        <v/>
      </c>
      <c r="P9" s="22" t="str">
        <f aca="false">IF(A9="","",ROUND(B9*(1-L9/100),2))</f>
        <v/>
      </c>
      <c r="Q9" s="16" t="str">
        <f aca="false">IF(A9="","",IFERROR(ROUND(N9/P9,2),0))</f>
        <v/>
      </c>
      <c r="R9" s="16" t="str">
        <f aca="false">IF(A9="","",IFERROR(ROUND(N9/I9,2),0))</f>
        <v/>
      </c>
    </row>
    <row r="10" customFormat="false" ht="15" hidden="false" customHeight="false" outlineLevel="0" collapsed="false">
      <c r="A10" s="15"/>
      <c r="B10" s="24"/>
      <c r="C10" s="16" t="str">
        <f aca="false">IF(A10="","",Settings!$B$16)</f>
        <v/>
      </c>
      <c r="D10" s="17"/>
      <c r="E10" s="16" t="str">
        <f aca="false">IF(A10="","",IF(D10&lt;&gt;"",D10,C10))</f>
        <v/>
      </c>
      <c r="F10" s="21" t="str">
        <f aca="false">IF(A10="","",Settings!$B$14)</f>
        <v/>
      </c>
      <c r="G10" s="11"/>
      <c r="H10" s="21" t="str">
        <f aca="false">IF(A10="","",IF(G10&lt;&gt;"",G10,F10))</f>
        <v/>
      </c>
      <c r="I10" s="18"/>
      <c r="J10" s="21" t="str">
        <f aca="false">IF(A10="","",Settings!$B$15)</f>
        <v/>
      </c>
      <c r="K10" s="11"/>
      <c r="L10" s="21" t="str">
        <f aca="false">IF(A10="","",IF(K10&lt;&gt;"",K10,J10))</f>
        <v/>
      </c>
      <c r="M10" s="16" t="str">
        <f aca="false">IF(A10="","",ROUND(B10*E10,2))</f>
        <v/>
      </c>
      <c r="N10" s="16" t="str">
        <f aca="false">IF(A10="","",ROUND(M10*(1-H10/100),2))</f>
        <v/>
      </c>
      <c r="O10" s="16" t="str">
        <f aca="false">IF(A10="","",IFERROR(ROUND(N10/B10,2),0))</f>
        <v/>
      </c>
      <c r="P10" s="22" t="str">
        <f aca="false">IF(A10="","",ROUND(B10*(1-L10/100),2))</f>
        <v/>
      </c>
      <c r="Q10" s="16" t="str">
        <f aca="false">IF(A10="","",IFERROR(ROUND(N10/P10,2),0))</f>
        <v/>
      </c>
      <c r="R10" s="16" t="str">
        <f aca="false">IF(A10="","",IFERROR(ROUND(N10/I10,2),0))</f>
        <v/>
      </c>
    </row>
    <row r="11" customFormat="false" ht="15" hidden="false" customHeight="false" outlineLevel="0" collapsed="false">
      <c r="A11" s="15"/>
      <c r="B11" s="24"/>
      <c r="C11" s="16" t="str">
        <f aca="false">IF(A11="","",Settings!$B$16)</f>
        <v/>
      </c>
      <c r="D11" s="17"/>
      <c r="E11" s="16" t="str">
        <f aca="false">IF(A11="","",IF(D11&lt;&gt;"",D11,C11))</f>
        <v/>
      </c>
      <c r="F11" s="21" t="str">
        <f aca="false">IF(A11="","",Settings!$B$14)</f>
        <v/>
      </c>
      <c r="G11" s="11"/>
      <c r="H11" s="21" t="str">
        <f aca="false">IF(A11="","",IF(G11&lt;&gt;"",G11,F11))</f>
        <v/>
      </c>
      <c r="I11" s="18"/>
      <c r="J11" s="21" t="str">
        <f aca="false">IF(A11="","",Settings!$B$15)</f>
        <v/>
      </c>
      <c r="K11" s="11"/>
      <c r="L11" s="21" t="str">
        <f aca="false">IF(A11="","",IF(K11&lt;&gt;"",K11,J11))</f>
        <v/>
      </c>
      <c r="M11" s="16" t="str">
        <f aca="false">IF(A11="","",ROUND(B11*E11,2))</f>
        <v/>
      </c>
      <c r="N11" s="16" t="str">
        <f aca="false">IF(A11="","",ROUND(M11*(1-H11/100),2))</f>
        <v/>
      </c>
      <c r="O11" s="16" t="str">
        <f aca="false">IF(A11="","",IFERROR(ROUND(N11/B11,2),0))</f>
        <v/>
      </c>
      <c r="P11" s="22" t="str">
        <f aca="false">IF(A11="","",ROUND(B11*(1-L11/100),2))</f>
        <v/>
      </c>
      <c r="Q11" s="16" t="str">
        <f aca="false">IF(A11="","",IFERROR(ROUND(N11/P11,2),0))</f>
        <v/>
      </c>
      <c r="R11" s="16" t="str">
        <f aca="false">IF(A11="","",IFERROR(ROUND(N11/I11,2),0))</f>
        <v/>
      </c>
    </row>
    <row r="12" customFormat="false" ht="15" hidden="false" customHeight="false" outlineLevel="0" collapsed="false">
      <c r="A12" s="15"/>
      <c r="B12" s="24"/>
      <c r="C12" s="16" t="str">
        <f aca="false">IF(A12="","",Settings!$B$16)</f>
        <v/>
      </c>
      <c r="D12" s="17"/>
      <c r="E12" s="16" t="str">
        <f aca="false">IF(A12="","",IF(D12&lt;&gt;"",D12,C12))</f>
        <v/>
      </c>
      <c r="F12" s="21" t="str">
        <f aca="false">IF(A12="","",Settings!$B$14)</f>
        <v/>
      </c>
      <c r="G12" s="11"/>
      <c r="H12" s="21" t="str">
        <f aca="false">IF(A12="","",IF(G12&lt;&gt;"",G12,F12))</f>
        <v/>
      </c>
      <c r="I12" s="18"/>
      <c r="J12" s="21" t="str">
        <f aca="false">IF(A12="","",Settings!$B$15)</f>
        <v/>
      </c>
      <c r="K12" s="11"/>
      <c r="L12" s="21" t="str">
        <f aca="false">IF(A12="","",IF(K12&lt;&gt;"",K12,J12))</f>
        <v/>
      </c>
      <c r="M12" s="16" t="str">
        <f aca="false">IF(A12="","",ROUND(B12*E12,2))</f>
        <v/>
      </c>
      <c r="N12" s="16" t="str">
        <f aca="false">IF(A12="","",ROUND(M12*(1-H12/100),2))</f>
        <v/>
      </c>
      <c r="O12" s="16" t="str">
        <f aca="false">IF(A12="","",IFERROR(ROUND(N12/B12,2),0))</f>
        <v/>
      </c>
      <c r="P12" s="22" t="str">
        <f aca="false">IF(A12="","",ROUND(B12*(1-L12/100),2))</f>
        <v/>
      </c>
      <c r="Q12" s="16" t="str">
        <f aca="false">IF(A12="","",IFERROR(ROUND(N12/P12,2),0))</f>
        <v/>
      </c>
      <c r="R12" s="16" t="str">
        <f aca="false">IF(A12="","",IFERROR(ROUND(N12/I12,2),0))</f>
        <v/>
      </c>
    </row>
    <row r="13" customFormat="false" ht="15" hidden="false" customHeight="false" outlineLevel="0" collapsed="false">
      <c r="A13" s="15"/>
      <c r="B13" s="24"/>
      <c r="C13" s="16" t="str">
        <f aca="false">IF(A13="","",Settings!$B$16)</f>
        <v/>
      </c>
      <c r="D13" s="17"/>
      <c r="E13" s="16" t="str">
        <f aca="false">IF(A13="","",IF(D13&lt;&gt;"",D13,C13))</f>
        <v/>
      </c>
      <c r="F13" s="21" t="str">
        <f aca="false">IF(A13="","",Settings!$B$14)</f>
        <v/>
      </c>
      <c r="G13" s="11"/>
      <c r="H13" s="21" t="str">
        <f aca="false">IF(A13="","",IF(G13&lt;&gt;"",G13,F13))</f>
        <v/>
      </c>
      <c r="I13" s="18"/>
      <c r="J13" s="21" t="str">
        <f aca="false">IF(A13="","",Settings!$B$15)</f>
        <v/>
      </c>
      <c r="K13" s="11"/>
      <c r="L13" s="21" t="str">
        <f aca="false">IF(A13="","",IF(K13&lt;&gt;"",K13,J13))</f>
        <v/>
      </c>
      <c r="M13" s="16" t="str">
        <f aca="false">IF(A13="","",ROUND(B13*E13,2))</f>
        <v/>
      </c>
      <c r="N13" s="16" t="str">
        <f aca="false">IF(A13="","",ROUND(M13*(1-H13/100),2))</f>
        <v/>
      </c>
      <c r="O13" s="16" t="str">
        <f aca="false">IF(A13="","",IFERROR(ROUND(N13/B13,2),0))</f>
        <v/>
      </c>
      <c r="P13" s="22" t="str">
        <f aca="false">IF(A13="","",ROUND(B13*(1-L13/100),2))</f>
        <v/>
      </c>
      <c r="Q13" s="16" t="str">
        <f aca="false">IF(A13="","",IFERROR(ROUND(N13/P13,2),0))</f>
        <v/>
      </c>
      <c r="R13" s="16" t="str">
        <f aca="false">IF(A13="","",IFERROR(ROUND(N13/I13,2),0))</f>
        <v/>
      </c>
    </row>
    <row r="14" customFormat="false" ht="15" hidden="false" customHeight="false" outlineLevel="0" collapsed="false">
      <c r="A14" s="15"/>
      <c r="B14" s="24"/>
      <c r="C14" s="16" t="str">
        <f aca="false">IF(A14="","",Settings!$B$16)</f>
        <v/>
      </c>
      <c r="D14" s="17"/>
      <c r="E14" s="16" t="str">
        <f aca="false">IF(A14="","",IF(D14&lt;&gt;"",D14,C14))</f>
        <v/>
      </c>
      <c r="F14" s="21" t="str">
        <f aca="false">IF(A14="","",Settings!$B$14)</f>
        <v/>
      </c>
      <c r="G14" s="11"/>
      <c r="H14" s="21" t="str">
        <f aca="false">IF(A14="","",IF(G14&lt;&gt;"",G14,F14))</f>
        <v/>
      </c>
      <c r="I14" s="18"/>
      <c r="J14" s="21" t="str">
        <f aca="false">IF(A14="","",Settings!$B$15)</f>
        <v/>
      </c>
      <c r="K14" s="11"/>
      <c r="L14" s="21" t="str">
        <f aca="false">IF(A14="","",IF(K14&lt;&gt;"",K14,J14))</f>
        <v/>
      </c>
      <c r="M14" s="16" t="str">
        <f aca="false">IF(A14="","",ROUND(B14*E14,2))</f>
        <v/>
      </c>
      <c r="N14" s="16" t="str">
        <f aca="false">IF(A14="","",ROUND(M14*(1-H14/100),2))</f>
        <v/>
      </c>
      <c r="O14" s="16" t="str">
        <f aca="false">IF(A14="","",IFERROR(ROUND(N14/B14,2),0))</f>
        <v/>
      </c>
      <c r="P14" s="22" t="str">
        <f aca="false">IF(A14="","",ROUND(B14*(1-L14/100),2))</f>
        <v/>
      </c>
      <c r="Q14" s="16" t="str">
        <f aca="false">IF(A14="","",IFERROR(ROUND(N14/P14,2),0))</f>
        <v/>
      </c>
      <c r="R14" s="16" t="str">
        <f aca="false">IF(A14="","",IFERROR(ROUND(N14/I14,2),0))</f>
        <v/>
      </c>
    </row>
    <row r="15" customFormat="false" ht="15" hidden="false" customHeight="false" outlineLevel="0" collapsed="false">
      <c r="A15" s="5" t="s">
        <v>79</v>
      </c>
      <c r="B15" s="26" t="n">
        <f aca="false">SUM(B5:B14)</f>
        <v>70</v>
      </c>
      <c r="M15" s="10" t="n">
        <f aca="false">SUM(M5:M14)</f>
        <v>8000</v>
      </c>
      <c r="N15" s="10" t="n">
        <f aca="false">SUM(N5:N14)</f>
        <v>6980</v>
      </c>
      <c r="P15" s="12" t="n">
        <f aca="false">SUM(P5:P14)</f>
        <v>60.5</v>
      </c>
    </row>
    <row r="17" customFormat="false" ht="15" hidden="false" customHeight="false" outlineLevel="0" collapsed="false">
      <c r="A17" s="5" t="s">
        <v>155</v>
      </c>
    </row>
    <row r="18" customFormat="false" ht="15" hidden="false" customHeight="false" outlineLevel="0" collapsed="false">
      <c r="A18" s="3" t="s">
        <v>156</v>
      </c>
    </row>
    <row r="19" customFormat="false" ht="52.2" hidden="false" customHeight="false" outlineLevel="0" collapsed="false">
      <c r="A19" s="14" t="s">
        <v>87</v>
      </c>
      <c r="B19" s="14" t="s">
        <v>157</v>
      </c>
      <c r="C19" s="14" t="s">
        <v>136</v>
      </c>
      <c r="D19" s="14" t="s">
        <v>137</v>
      </c>
      <c r="E19" s="14" t="s">
        <v>138</v>
      </c>
      <c r="F19" s="14" t="s">
        <v>158</v>
      </c>
      <c r="G19" s="14" t="s">
        <v>159</v>
      </c>
      <c r="H19" s="14" t="s">
        <v>95</v>
      </c>
      <c r="I19" s="14" t="s">
        <v>91</v>
      </c>
      <c r="J19" s="14" t="s">
        <v>160</v>
      </c>
      <c r="K19" s="14" t="s">
        <v>161</v>
      </c>
      <c r="L19" s="14" t="s">
        <v>162</v>
      </c>
      <c r="M19" s="14" t="s">
        <v>163</v>
      </c>
      <c r="N19" s="14" t="s">
        <v>107</v>
      </c>
      <c r="O19" s="14" t="s">
        <v>164</v>
      </c>
    </row>
    <row r="20" customFormat="false" ht="15" hidden="false" customHeight="false" outlineLevel="0" collapsed="false">
      <c r="A20" s="15" t="s">
        <v>108</v>
      </c>
      <c r="B20" s="9" t="n">
        <v>16</v>
      </c>
      <c r="C20" s="16" t="n">
        <f aca="false">IF(A20="","",Settings!$B$16)</f>
        <v>120</v>
      </c>
      <c r="D20" s="17"/>
      <c r="E20" s="16" t="n">
        <f aca="false">IF(A20="","",IF(D20&lt;&gt;"",D20,C20))</f>
        <v>120</v>
      </c>
      <c r="F20" s="17" t="n">
        <v>600</v>
      </c>
      <c r="G20" s="11" t="n">
        <v>15</v>
      </c>
      <c r="H20" s="18" t="n">
        <v>24</v>
      </c>
      <c r="I20" s="17" t="n">
        <v>2750</v>
      </c>
      <c r="J20" s="16" t="n">
        <f aca="false">IF(A20="","",ROUND(B20*E20,2))</f>
        <v>1920</v>
      </c>
      <c r="K20" s="16" t="n">
        <f aca="false">IF(A20="","",ROUND(F20*(1+G20/100),2))</f>
        <v>690</v>
      </c>
      <c r="L20" s="16" t="n">
        <f aca="false">IF(A20="","",J20+K20)</f>
        <v>2610</v>
      </c>
      <c r="M20" s="16" t="n">
        <f aca="false">IF(A20="","",IFERROR(ROUND(L20/H20,2),0))</f>
        <v>108.75</v>
      </c>
      <c r="N20" s="16" t="n">
        <f aca="false">IF(A20="","",ROUND(I20*H20+L20,2))</f>
        <v>68610</v>
      </c>
      <c r="O20" s="21" t="n">
        <f aca="false">IF(A20="","",IFERROR(ROUND(L20/N20*100,2),0))</f>
        <v>3.8</v>
      </c>
    </row>
    <row r="21" customFormat="false" ht="15" hidden="false" customHeight="false" outlineLevel="0" collapsed="false">
      <c r="A21" s="15" t="s">
        <v>165</v>
      </c>
      <c r="B21" s="9" t="n">
        <v>24</v>
      </c>
      <c r="C21" s="16" t="n">
        <f aca="false">IF(A21="","",Settings!$B$16)</f>
        <v>120</v>
      </c>
      <c r="D21" s="17"/>
      <c r="E21" s="16" t="n">
        <f aca="false">IF(A21="","",IF(D21&lt;&gt;"",D21,C21))</f>
        <v>120</v>
      </c>
      <c r="F21" s="17" t="n">
        <v>1200</v>
      </c>
      <c r="G21" s="11" t="n">
        <v>20</v>
      </c>
      <c r="H21" s="18" t="n">
        <v>36</v>
      </c>
      <c r="I21" s="17" t="n">
        <v>3900</v>
      </c>
      <c r="J21" s="16" t="n">
        <f aca="false">IF(A21="","",ROUND(B21*E21,2))</f>
        <v>2880</v>
      </c>
      <c r="K21" s="16" t="n">
        <f aca="false">IF(A21="","",ROUND(F21*(1+G21/100),2))</f>
        <v>1440</v>
      </c>
      <c r="L21" s="16" t="n">
        <f aca="false">IF(A21="","",J21+K21)</f>
        <v>4320</v>
      </c>
      <c r="M21" s="16" t="n">
        <f aca="false">IF(A21="","",IFERROR(ROUND(L21/H21,2),0))</f>
        <v>120</v>
      </c>
      <c r="N21" s="16" t="n">
        <f aca="false">IF(A21="","",ROUND(I21*H21+L21,2))</f>
        <v>144720</v>
      </c>
      <c r="O21" s="21" t="n">
        <f aca="false">IF(A21="","",IFERROR(ROUND(L21/N21*100,2),0))</f>
        <v>2.99</v>
      </c>
    </row>
    <row r="22" customFormat="false" ht="15" hidden="false" customHeight="false" outlineLevel="0" collapsed="false">
      <c r="A22" s="15" t="s">
        <v>166</v>
      </c>
      <c r="B22" s="9" t="n">
        <v>8</v>
      </c>
      <c r="C22" s="16" t="n">
        <f aca="false">IF(A22="","",Settings!$B$16)</f>
        <v>120</v>
      </c>
      <c r="D22" s="17" t="n">
        <v>100</v>
      </c>
      <c r="E22" s="16" t="n">
        <f aca="false">IF(A22="","",IF(D22&lt;&gt;"",D22,C22))</f>
        <v>100</v>
      </c>
      <c r="F22" s="17" t="n">
        <v>250</v>
      </c>
      <c r="G22" s="11" t="n">
        <v>10</v>
      </c>
      <c r="H22" s="18" t="n">
        <v>12</v>
      </c>
      <c r="I22" s="17" t="n">
        <v>900</v>
      </c>
      <c r="J22" s="16" t="n">
        <f aca="false">IF(A22="","",ROUND(B22*E22,2))</f>
        <v>800</v>
      </c>
      <c r="K22" s="16" t="n">
        <f aca="false">IF(A22="","",ROUND(F22*(1+G22/100),2))</f>
        <v>275</v>
      </c>
      <c r="L22" s="16" t="n">
        <f aca="false">IF(A22="","",J22+K22)</f>
        <v>1075</v>
      </c>
      <c r="M22" s="16" t="n">
        <f aca="false">IF(A22="","",IFERROR(ROUND(L22/H22,2),0))</f>
        <v>89.58</v>
      </c>
      <c r="N22" s="16" t="n">
        <f aca="false">IF(A22="","",ROUND(I22*H22+L22,2))</f>
        <v>11875</v>
      </c>
      <c r="O22" s="21" t="n">
        <f aca="false">IF(A22="","",IFERROR(ROUND(L22/N22*100,2),0))</f>
        <v>9.05</v>
      </c>
    </row>
    <row r="23" customFormat="false" ht="15" hidden="false" customHeight="false" outlineLevel="0" collapsed="false">
      <c r="A23" s="15"/>
      <c r="B23" s="24"/>
      <c r="C23" s="16" t="str">
        <f aca="false">IF(A23="","",Settings!$B$16)</f>
        <v/>
      </c>
      <c r="D23" s="17"/>
      <c r="E23" s="16" t="str">
        <f aca="false">IF(A23="","",IF(D23&lt;&gt;"",D23,C23))</f>
        <v/>
      </c>
      <c r="F23" s="17"/>
      <c r="G23" s="11"/>
      <c r="H23" s="18"/>
      <c r="I23" s="17"/>
      <c r="J23" s="16" t="str">
        <f aca="false">IF(A23="","",ROUND(B23*E23,2))</f>
        <v/>
      </c>
      <c r="K23" s="16" t="str">
        <f aca="false">IF(A23="","",ROUND(F23*(1+G23/100),2))</f>
        <v/>
      </c>
      <c r="L23" s="16" t="str">
        <f aca="false">IF(A23="","",J23+K23)</f>
        <v/>
      </c>
      <c r="M23" s="16" t="str">
        <f aca="false">IF(A23="","",IFERROR(ROUND(L23/H23,2),0))</f>
        <v/>
      </c>
      <c r="N23" s="16" t="str">
        <f aca="false">IF(A23="","",ROUND(I23*H23+L23,2))</f>
        <v/>
      </c>
      <c r="O23" s="21" t="str">
        <f aca="false">IF(A23="","",IFERROR(ROUND(L23/N23*100,2),0))</f>
        <v/>
      </c>
    </row>
    <row r="24" customFormat="false" ht="15" hidden="false" customHeight="false" outlineLevel="0" collapsed="false">
      <c r="A24" s="15"/>
      <c r="B24" s="24"/>
      <c r="C24" s="16" t="str">
        <f aca="false">IF(A24="","",Settings!$B$16)</f>
        <v/>
      </c>
      <c r="D24" s="17"/>
      <c r="E24" s="16" t="str">
        <f aca="false">IF(A24="","",IF(D24&lt;&gt;"",D24,C24))</f>
        <v/>
      </c>
      <c r="F24" s="17"/>
      <c r="G24" s="11"/>
      <c r="H24" s="18"/>
      <c r="I24" s="17"/>
      <c r="J24" s="16" t="str">
        <f aca="false">IF(A24="","",ROUND(B24*E24,2))</f>
        <v/>
      </c>
      <c r="K24" s="16" t="str">
        <f aca="false">IF(A24="","",ROUND(F24*(1+G24/100),2))</f>
        <v/>
      </c>
      <c r="L24" s="16" t="str">
        <f aca="false">IF(A24="","",J24+K24)</f>
        <v/>
      </c>
      <c r="M24" s="16" t="str">
        <f aca="false">IF(A24="","",IFERROR(ROUND(L24/H24,2),0))</f>
        <v/>
      </c>
      <c r="N24" s="16" t="str">
        <f aca="false">IF(A24="","",ROUND(I24*H24+L24,2))</f>
        <v/>
      </c>
      <c r="O24" s="21" t="str">
        <f aca="false">IF(A24="","",IFERROR(ROUND(L24/N24*100,2),0))</f>
        <v/>
      </c>
    </row>
    <row r="25" customFormat="false" ht="15" hidden="false" customHeight="false" outlineLevel="0" collapsed="false">
      <c r="A25" s="15"/>
      <c r="B25" s="24"/>
      <c r="C25" s="16" t="str">
        <f aca="false">IF(A25="","",Settings!$B$16)</f>
        <v/>
      </c>
      <c r="D25" s="17"/>
      <c r="E25" s="16" t="str">
        <f aca="false">IF(A25="","",IF(D25&lt;&gt;"",D25,C25))</f>
        <v/>
      </c>
      <c r="F25" s="17"/>
      <c r="G25" s="11"/>
      <c r="H25" s="18"/>
      <c r="I25" s="17"/>
      <c r="J25" s="16" t="str">
        <f aca="false">IF(A25="","",ROUND(B25*E25,2))</f>
        <v/>
      </c>
      <c r="K25" s="16" t="str">
        <f aca="false">IF(A25="","",ROUND(F25*(1+G25/100),2))</f>
        <v/>
      </c>
      <c r="L25" s="16" t="str">
        <f aca="false">IF(A25="","",J25+K25)</f>
        <v/>
      </c>
      <c r="M25" s="16" t="str">
        <f aca="false">IF(A25="","",IFERROR(ROUND(L25/H25,2),0))</f>
        <v/>
      </c>
      <c r="N25" s="16" t="str">
        <f aca="false">IF(A25="","",ROUND(I25*H25+L25,2))</f>
        <v/>
      </c>
      <c r="O25" s="21" t="str">
        <f aca="false">IF(A25="","",IFERROR(ROUND(L25/N25*100,2),0))</f>
        <v/>
      </c>
    </row>
    <row r="26" customFormat="false" ht="15" hidden="false" customHeight="false" outlineLevel="0" collapsed="false">
      <c r="A26" s="15"/>
      <c r="B26" s="24"/>
      <c r="C26" s="16" t="str">
        <f aca="false">IF(A26="","",Settings!$B$16)</f>
        <v/>
      </c>
      <c r="D26" s="17"/>
      <c r="E26" s="16" t="str">
        <f aca="false">IF(A26="","",IF(D26&lt;&gt;"",D26,C26))</f>
        <v/>
      </c>
      <c r="F26" s="17"/>
      <c r="G26" s="11"/>
      <c r="H26" s="18"/>
      <c r="I26" s="17"/>
      <c r="J26" s="16" t="str">
        <f aca="false">IF(A26="","",ROUND(B26*E26,2))</f>
        <v/>
      </c>
      <c r="K26" s="16" t="str">
        <f aca="false">IF(A26="","",ROUND(F26*(1+G26/100),2))</f>
        <v/>
      </c>
      <c r="L26" s="16" t="str">
        <f aca="false">IF(A26="","",J26+K26)</f>
        <v/>
      </c>
      <c r="M26" s="16" t="str">
        <f aca="false">IF(A26="","",IFERROR(ROUND(L26/H26,2),0))</f>
        <v/>
      </c>
      <c r="N26" s="16" t="str">
        <f aca="false">IF(A26="","",ROUND(I26*H26+L26,2))</f>
        <v/>
      </c>
      <c r="O26" s="21" t="str">
        <f aca="false">IF(A26="","",IFERROR(ROUND(L26/N26*100,2),0))</f>
        <v/>
      </c>
    </row>
    <row r="27" customFormat="false" ht="15" hidden="false" customHeight="false" outlineLevel="0" collapsed="false">
      <c r="A27" s="15"/>
      <c r="B27" s="24"/>
      <c r="C27" s="16" t="str">
        <f aca="false">IF(A27="","",Settings!$B$16)</f>
        <v/>
      </c>
      <c r="D27" s="17"/>
      <c r="E27" s="16" t="str">
        <f aca="false">IF(A27="","",IF(D27&lt;&gt;"",D27,C27))</f>
        <v/>
      </c>
      <c r="F27" s="17"/>
      <c r="G27" s="11"/>
      <c r="H27" s="18"/>
      <c r="I27" s="17"/>
      <c r="J27" s="16" t="str">
        <f aca="false">IF(A27="","",ROUND(B27*E27,2))</f>
        <v/>
      </c>
      <c r="K27" s="16" t="str">
        <f aca="false">IF(A27="","",ROUND(F27*(1+G27/100),2))</f>
        <v/>
      </c>
      <c r="L27" s="16" t="str">
        <f aca="false">IF(A27="","",J27+K27)</f>
        <v/>
      </c>
      <c r="M27" s="16" t="str">
        <f aca="false">IF(A27="","",IFERROR(ROUND(L27/H27,2),0))</f>
        <v/>
      </c>
      <c r="N27" s="16" t="str">
        <f aca="false">IF(A27="","",ROUND(I27*H27+L27,2))</f>
        <v/>
      </c>
      <c r="O27" s="21" t="str">
        <f aca="false">IF(A27="","",IFERROR(ROUND(L27/N27*100,2),0))</f>
        <v/>
      </c>
    </row>
    <row r="28" customFormat="false" ht="15" hidden="false" customHeight="false" outlineLevel="0" collapsed="false">
      <c r="A28" s="15"/>
      <c r="B28" s="24"/>
      <c r="C28" s="16" t="str">
        <f aca="false">IF(A28="","",Settings!$B$16)</f>
        <v/>
      </c>
      <c r="D28" s="17"/>
      <c r="E28" s="16" t="str">
        <f aca="false">IF(A28="","",IF(D28&lt;&gt;"",D28,C28))</f>
        <v/>
      </c>
      <c r="F28" s="17"/>
      <c r="G28" s="11"/>
      <c r="H28" s="18"/>
      <c r="I28" s="17"/>
      <c r="J28" s="16" t="str">
        <f aca="false">IF(A28="","",ROUND(B28*E28,2))</f>
        <v/>
      </c>
      <c r="K28" s="16" t="str">
        <f aca="false">IF(A28="","",ROUND(F28*(1+G28/100),2))</f>
        <v/>
      </c>
      <c r="L28" s="16" t="str">
        <f aca="false">IF(A28="","",J28+K28)</f>
        <v/>
      </c>
      <c r="M28" s="16" t="str">
        <f aca="false">IF(A28="","",IFERROR(ROUND(L28/H28,2),0))</f>
        <v/>
      </c>
      <c r="N28" s="16" t="str">
        <f aca="false">IF(A28="","",ROUND(I28*H28+L28,2))</f>
        <v/>
      </c>
      <c r="O28" s="21" t="str">
        <f aca="false">IF(A28="","",IFERROR(ROUND(L28/N28*100,2),0))</f>
        <v/>
      </c>
    </row>
    <row r="29" customFormat="false" ht="15" hidden="false" customHeight="false" outlineLevel="0" collapsed="false">
      <c r="A29" s="15"/>
      <c r="B29" s="24"/>
      <c r="C29" s="16" t="str">
        <f aca="false">IF(A29="","",Settings!$B$16)</f>
        <v/>
      </c>
      <c r="D29" s="17"/>
      <c r="E29" s="16" t="str">
        <f aca="false">IF(A29="","",IF(D29&lt;&gt;"",D29,C29))</f>
        <v/>
      </c>
      <c r="F29" s="17"/>
      <c r="G29" s="11"/>
      <c r="H29" s="18"/>
      <c r="I29" s="17"/>
      <c r="J29" s="16" t="str">
        <f aca="false">IF(A29="","",ROUND(B29*E29,2))</f>
        <v/>
      </c>
      <c r="K29" s="16" t="str">
        <f aca="false">IF(A29="","",ROUND(F29*(1+G29/100),2))</f>
        <v/>
      </c>
      <c r="L29" s="16" t="str">
        <f aca="false">IF(A29="","",J29+K29)</f>
        <v/>
      </c>
      <c r="M29" s="16" t="str">
        <f aca="false">IF(A29="","",IFERROR(ROUND(L29/H29,2),0))</f>
        <v/>
      </c>
      <c r="N29" s="16" t="str">
        <f aca="false">IF(A29="","",ROUND(I29*H29+L29,2))</f>
        <v/>
      </c>
      <c r="O29" s="21" t="str">
        <f aca="false">IF(A29="","",IFERROR(ROUND(L29/N29*100,2),0))</f>
        <v/>
      </c>
    </row>
    <row r="30" customFormat="false" ht="15" hidden="false" customHeight="false" outlineLevel="0" collapsed="false">
      <c r="A30" s="5" t="s">
        <v>79</v>
      </c>
      <c r="B30" s="26" t="n">
        <f aca="false">SUM(B20:B29)</f>
        <v>48</v>
      </c>
      <c r="J30" s="10" t="n">
        <f aca="false">SUM(J20:J29)</f>
        <v>5600</v>
      </c>
      <c r="K30" s="10" t="n">
        <f aca="false">SUM(K20:K29)</f>
        <v>2405</v>
      </c>
      <c r="L30" s="10" t="n">
        <f aca="false">SUM(L20:L29)</f>
        <v>8005</v>
      </c>
      <c r="N30" s="10" t="n">
        <f aca="false">SUM(N20:N29)</f>
        <v>225205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2" min="2" style="1" width="24"/>
    <col collapsed="false" customWidth="true" hidden="false" outlineLevel="0" max="3" min="3" style="1" width="64"/>
  </cols>
  <sheetData>
    <row r="1" customFormat="false" ht="17.35" hidden="false" customHeight="false" outlineLevel="0" collapsed="false">
      <c r="A1" s="2" t="s">
        <v>167</v>
      </c>
    </row>
    <row r="2" customFormat="false" ht="15" hidden="false" customHeight="false" outlineLevel="0" collapsed="false">
      <c r="A2" s="5" t="s">
        <v>57</v>
      </c>
      <c r="B2" s="10" t="n">
        <f aca="false">Settings!$B$19</f>
        <v>56.79</v>
      </c>
      <c r="C2" s="3" t="s">
        <v>168</v>
      </c>
    </row>
    <row r="3" customFormat="false" ht="15" hidden="false" customHeight="false" outlineLevel="0" collapsed="false">
      <c r="A3" s="5" t="s">
        <v>169</v>
      </c>
      <c r="B3" s="19" t="n">
        <f aca="false">Settings!$B$2</f>
        <v>3</v>
      </c>
      <c r="C3" s="3" t="s">
        <v>168</v>
      </c>
    </row>
    <row r="4" customFormat="false" ht="15" hidden="false" customHeight="false" outlineLevel="0" collapsed="false">
      <c r="A4" s="5" t="s">
        <v>170</v>
      </c>
      <c r="B4" s="12" t="n">
        <f aca="false">Settings!$B$18</f>
        <v>390</v>
      </c>
      <c r="C4" s="3" t="s">
        <v>168</v>
      </c>
    </row>
    <row r="5" customFormat="false" ht="15" hidden="false" customHeight="false" outlineLevel="0" collapsed="false">
      <c r="A5" s="5" t="s">
        <v>171</v>
      </c>
      <c r="B5" s="10" t="n">
        <f aca="false">'Tool Stack'!$E$25</f>
        <v>2775</v>
      </c>
      <c r="C5" s="3" t="s">
        <v>172</v>
      </c>
    </row>
    <row r="6" customFormat="false" ht="15" hidden="false" customHeight="false" outlineLevel="0" collapsed="false">
      <c r="A6" s="5" t="s">
        <v>173</v>
      </c>
      <c r="B6" s="10" t="n">
        <f aca="false">'Tool Stack'!$B$28</f>
        <v>315</v>
      </c>
      <c r="C6" s="3" t="s">
        <v>174</v>
      </c>
    </row>
    <row r="7" customFormat="false" ht="15" hidden="false" customHeight="false" outlineLevel="0" collapsed="false">
      <c r="A7" s="5" t="s">
        <v>85</v>
      </c>
      <c r="B7" s="19" t="n">
        <f aca="false">COUNTA(Contracts!$A$5:$A$34)</f>
        <v>8</v>
      </c>
    </row>
    <row r="8" customFormat="false" ht="15" hidden="false" customHeight="false" outlineLevel="0" collapsed="false">
      <c r="A8" s="5" t="s">
        <v>175</v>
      </c>
      <c r="B8" s="10" t="n">
        <f aca="false">Contracts!E35</f>
        <v>24280</v>
      </c>
      <c r="C8" s="3" t="s">
        <v>176</v>
      </c>
    </row>
    <row r="9" customFormat="false" ht="15" hidden="false" customHeight="false" outlineLevel="0" collapsed="false">
      <c r="A9" s="5" t="s">
        <v>177</v>
      </c>
      <c r="B9" s="10" t="n">
        <f aca="false">Contracts!M35</f>
        <v>13462.58</v>
      </c>
      <c r="C9" s="3" t="s">
        <v>178</v>
      </c>
    </row>
    <row r="10" customFormat="false" ht="15" hidden="false" customHeight="false" outlineLevel="0" collapsed="false">
      <c r="A10" s="5" t="s">
        <v>179</v>
      </c>
      <c r="B10" s="10" t="n">
        <f aca="false">Contracts!N35</f>
        <v>10817.42</v>
      </c>
    </row>
    <row r="11" customFormat="false" ht="15" hidden="false" customHeight="false" outlineLevel="0" collapsed="false">
      <c r="A11" s="5" t="s">
        <v>180</v>
      </c>
      <c r="B11" s="27" t="n">
        <f aca="false">Contracts!O35</f>
        <v>44.55</v>
      </c>
      <c r="C11" s="3" t="s">
        <v>181</v>
      </c>
    </row>
    <row r="12" customFormat="false" ht="15" hidden="false" customHeight="false" outlineLevel="0" collapsed="false">
      <c r="A12" s="5" t="s">
        <v>182</v>
      </c>
      <c r="B12" s="19" t="n">
        <f aca="false">SUMPRODUCT((Contracts!$A$5:$A$34&lt;&gt;"")*(Contracts!$O$5:$O$34&lt;Settings!$B$13))</f>
        <v>2</v>
      </c>
      <c r="C12" s="3" t="s">
        <v>183</v>
      </c>
    </row>
    <row r="13" customFormat="false" ht="15" hidden="false" customHeight="false" outlineLevel="0" collapsed="false">
      <c r="A13" s="5" t="s">
        <v>184</v>
      </c>
      <c r="B13" s="5" t="str">
        <f aca="false">IFERROR(INDEX(Contracts!$A$5:$A$34,MATCH(MAX(Contracts!$N$5:$N$34),Contracts!$N$5:$N$34,0)),"")</f>
        <v>Northgate Logistics</v>
      </c>
      <c r="C13" s="3" t="s">
        <v>185</v>
      </c>
    </row>
    <row r="14" customFormat="false" ht="15" hidden="false" customHeight="false" outlineLevel="0" collapsed="false">
      <c r="A14" s="5" t="s">
        <v>186</v>
      </c>
      <c r="B14" s="5" t="str">
        <f aca="false">IFERROR(INDEX(Contracts!$A$5:$A$34,MATCH(MIN(Contracts!$N$5:$N$34),Contracts!$N$5:$N$34,0)),"")</f>
        <v>Ridge Architects</v>
      </c>
      <c r="C14" s="3" t="s">
        <v>187</v>
      </c>
    </row>
    <row r="15" customFormat="false" ht="15" hidden="false" customHeight="false" outlineLevel="0" collapsed="false">
      <c r="A15" s="5" t="s">
        <v>188</v>
      </c>
      <c r="B15" s="10" t="n">
        <f aca="false">IFERROR(INDEX(Tickets!$K$5:$K$16,MATCH(MAX(Tickets!$A$5:$A$16),Tickets!$A$5:$A$16,0)),0)</f>
        <v>83.08</v>
      </c>
      <c r="C15" s="3" t="s">
        <v>189</v>
      </c>
    </row>
    <row r="16" customFormat="false" ht="15" hidden="false" customHeight="false" outlineLevel="0" collapsed="false">
      <c r="A16" s="5" t="s">
        <v>190</v>
      </c>
      <c r="B16" s="19" t="n">
        <f aca="false">Tickets!B17</f>
        <v>1850</v>
      </c>
      <c r="C16" s="3" t="s">
        <v>191</v>
      </c>
    </row>
    <row r="17" customFormat="false" ht="15" hidden="false" customHeight="false" outlineLevel="0" collapsed="false">
      <c r="A17" s="5" t="s">
        <v>192</v>
      </c>
      <c r="B17" s="10" t="n">
        <f aca="false">Tickets!K17</f>
        <v>81.54</v>
      </c>
      <c r="C17" s="3" t="s">
        <v>191</v>
      </c>
    </row>
    <row r="18" customFormat="false" ht="15" hidden="false" customHeight="false" outlineLevel="0" collapsed="false">
      <c r="A18" s="5" t="s">
        <v>193</v>
      </c>
      <c r="B18" s="10" t="n">
        <f aca="false">'Blocks &amp; Onboarding'!N15</f>
        <v>6980</v>
      </c>
      <c r="C18" s="3" t="s">
        <v>194</v>
      </c>
    </row>
    <row r="19" customFormat="false" ht="15" hidden="false" customHeight="false" outlineLevel="0" collapsed="false">
      <c r="A19" s="5" t="s">
        <v>195</v>
      </c>
      <c r="B19" s="10" t="n">
        <f aca="false">'Blocks &amp; Onboarding'!L30</f>
        <v>8005</v>
      </c>
      <c r="C19" s="3"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2026-10-06T12:46:59Z</dcterms:created>
  <dc:creator>openpyxl</dc:creator>
  <dc:description/>
  <dc:language>en-US</dc:language>
  <cp:lastModifiedBy/>
  <dcterms:modified xsi:type="dcterms:W3CDTF">2026-10-06T12:46:59Z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