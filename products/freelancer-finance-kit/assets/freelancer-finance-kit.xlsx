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7.xml" ContentType="application/vnd.openxmlformats-officedocument.spreadsheetml.comment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tings" sheetId="2" state="visible" r:id="rId4"/>
    <sheet name="Invoices" sheetId="3" state="visible" r:id="rId5"/>
    <sheet name="Rate Calculator" sheetId="4" state="visible" r:id="rId6"/>
    <sheet name="Payment Schedule" sheetId="5" state="visible" r:id="rId7"/>
    <sheet name="Expenses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Knackdesk</author>
  </authors>
  <commentList>
    <comment ref="B2" authorId="0">
      <text>
        <r>
          <rPr>
            <sz val="10"/>
            <rFont val="Arial"/>
            <family val="2"/>
          </rPr>
          <t xml:space="preserve">Shown nowhere else; for your reference.</t>
        </r>
      </text>
    </comment>
    <comment ref="B3" authorId="0">
      <text>
        <r>
          <rPr>
            <sz val="10"/>
            <rFont val="Arial"/>
            <family val="2"/>
          </rPr>
          <t xml:space="preserve">Text only; the kit does not convert currencies.</t>
        </r>
      </text>
    </comment>
    <comment ref="B4" authorId="0">
      <text>
        <r>
          <rPr>
            <sz val="10"/>
            <rFont val="Arial"/>
            <family val="2"/>
          </rPr>
          <t xml:space="preserve">Used when an invoice row leaves Terms blank. Net 30 = 30.</t>
        </r>
      </text>
    </comment>
    <comment ref="B5" authorId="0">
      <text>
        <r>
          <rPr>
            <sz val="10"/>
            <rFont val="Arial"/>
            <family val="2"/>
          </rPr>
          <t xml:space="preserve">Prorated by day. Use the rate in your contract; check local caps.</t>
        </r>
      </text>
    </comment>
    <comment ref="B7" authorId="0">
      <text>
        <r>
          <rPr>
            <sz val="10"/>
            <rFont val="Arial"/>
            <family val="2"/>
          </rPr>
          <t xml:space="preserve">Holiday, sick days, public holidays, gaps between projects.</t>
        </r>
      </text>
    </comment>
    <comment ref="B9" authorId="0">
      <text>
        <r>
          <rPr>
            <sz val="10"/>
            <rFont val="Arial"/>
            <family val="2"/>
          </rPr>
          <t xml:space="preserve">Most solo freelancers bill 50-70% of their hours.</t>
        </r>
      </text>
    </comment>
    <comment ref="B10" authorId="0">
      <text>
        <r>
          <rPr>
            <sz val="10"/>
            <rFont val="Arial"/>
            <family val="2"/>
          </rPr>
          <t xml:space="preserve">What you want to keep after business expenses.</t>
        </r>
      </text>
    </comment>
    <comment ref="B11" authorId="0">
      <text>
        <r>
          <rPr>
            <sz val="10"/>
            <rFont val="Arial"/>
            <family val="2"/>
          </rPr>
          <t xml:space="preserve">Software, insurance, equipment, accountant, training.</t>
        </r>
      </text>
    </comment>
    <comment ref="B12" authorId="0">
      <text>
        <r>
          <rPr>
            <sz val="10"/>
            <rFont val="Arial"/>
            <family val="2"/>
          </rPr>
          <t xml:space="preserve">Leave 0 if the target income is pre-tax.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Knackdesk</author>
  </authors>
  <commentList>
    <comment ref="B2" authorId="0">
      <text>
        <r>
          <rPr>
            <sz val="10"/>
            <rFont val="Arial"/>
            <family val="2"/>
          </rPr>
          <t xml:space="preserve">First day of the first month to show. Twelve months follow.</t>
        </r>
      </text>
    </comment>
  </commentList>
</comments>
</file>

<file path=xl/sharedStrings.xml><?xml version="1.0" encoding="utf-8"?>
<sst xmlns="http://schemas.openxmlformats.org/spreadsheetml/2006/main" count="104" uniqueCount="100">
  <si>
    <t xml:space="preserve">Freelancer Finance Kit</t>
  </si>
  <si>
    <t xml:space="preserve">by Knackdesk · knackdesk.com</t>
  </si>
  <si>
    <t xml:space="preserve">HOW TO USE</t>
  </si>
  <si>
    <t xml:space="preserve">1. Settings: fill in the yellow cells once (your business name, default payment terms, late fee rate, hours and income goal).</t>
  </si>
  <si>
    <t xml:space="preserve">2. Invoices: add one row per invoice. Due date, days overdue, late fee and status are calculated for you.</t>
  </si>
  <si>
    <t xml:space="preserve">3. Rate Calculator: reads Settings and shows the hourly and day rate you need. Change Settings to explore.</t>
  </si>
  <si>
    <t xml:space="preserve">4. Payment Schedule: enter a project total, deposit %, number of milestones and dates to get a payment plan.</t>
  </si>
  <si>
    <t xml:space="preserve">5. Expenses: log costs with a date and category.</t>
  </si>
  <si>
    <t xml:space="preserve">6. Summary: pick a start month and see invoiced, paid, expenses and net by month and quarter.</t>
  </si>
  <si>
    <t xml:space="preserve">LEGEND</t>
  </si>
  <si>
    <t xml:space="preserve">Blue text = a cell you type into.   Black text = a formula, leave it alone.   Yellow fill = key inputs to set first.</t>
  </si>
  <si>
    <t xml:space="preserve">Each table has one example row showing the expected format. Overwrite it with your own data.</t>
  </si>
  <si>
    <t xml:space="preserve">NOTES</t>
  </si>
  <si>
    <t xml:space="preserve">Dates are calendar days. Late fee = amount × monthly rate ÷ 100 × days overdue ÷ 30 (simple interest, prorated by day).</t>
  </si>
  <si>
    <t xml:space="preserve">The workbook uses formulas only, no macros. It works in Excel 2010 or later, Google Sheets and Apple Numbers.</t>
  </si>
  <si>
    <t xml:space="preserve">This kit does arithmetic; it is not legal, tax or financial advice. Check enforceable late-fee rates for your jurisdiction.</t>
  </si>
  <si>
    <t xml:space="preserve">Support: hello@knackdesk.com</t>
  </si>
  <si>
    <t xml:space="preserve">Settings</t>
  </si>
  <si>
    <t xml:space="preserve">Business name</t>
  </si>
  <si>
    <t xml:space="preserve">Your Studio</t>
  </si>
  <si>
    <t xml:space="preserve">Shown nowhere else; for your reference.</t>
  </si>
  <si>
    <t xml:space="preserve">Currency label</t>
  </si>
  <si>
    <t xml:space="preserve">USD</t>
  </si>
  <si>
    <t xml:space="preserve">Text only; the kit does not convert currencies.</t>
  </si>
  <si>
    <t xml:space="preserve">Default payment terms (days)</t>
  </si>
  <si>
    <t xml:space="preserve">Used when an invoice row leaves Terms blank. Net 30 = 30.</t>
  </si>
  <si>
    <t xml:space="preserve">Late fee (% per month)</t>
  </si>
  <si>
    <t xml:space="preserve">Prorated by day. Use the rate in your contract; check local caps.</t>
  </si>
  <si>
    <t xml:space="preserve">Hours in a billable day</t>
  </si>
  <si>
    <t xml:space="preserve">Weeks off per year</t>
  </si>
  <si>
    <t xml:space="preserve">Holiday, sick days, public holidays, gaps between projects.</t>
  </si>
  <si>
    <t xml:space="preserve">Hours worked per week</t>
  </si>
  <si>
    <t xml:space="preserve">Billable share of hours (%)</t>
  </si>
  <si>
    <t xml:space="preserve">Most solo freelancers bill 50-70% of their hours.</t>
  </si>
  <si>
    <t xml:space="preserve">Target income per year</t>
  </si>
  <si>
    <t xml:space="preserve">What you want to keep after business expenses.</t>
  </si>
  <si>
    <t xml:space="preserve">Business expenses per year</t>
  </si>
  <si>
    <t xml:space="preserve">Software, insurance, equipment, accountant, training.</t>
  </si>
  <si>
    <t xml:space="preserve">Tax rate to gross up for (%)</t>
  </si>
  <si>
    <t xml:space="preserve">Leave 0 if the target income is pre-tax.</t>
  </si>
  <si>
    <t xml:space="preserve">Today (auto)</t>
  </si>
  <si>
    <t xml:space="preserve">Recalculates each time the file opens; drives days overdue.</t>
  </si>
  <si>
    <t xml:space="preserve">Invoices</t>
  </si>
  <si>
    <t xml:space="preserve">Outstanding</t>
  </si>
  <si>
    <t xml:space="preserve">Overdue</t>
  </si>
  <si>
    <t xml:space="preserve">Late fees accrued</t>
  </si>
  <si>
    <t xml:space="preserve">Paid to date</t>
  </si>
  <si>
    <t xml:space="preserve">Invoice #</t>
  </si>
  <si>
    <t xml:space="preserve">Client</t>
  </si>
  <si>
    <t xml:space="preserve">Issue date</t>
  </si>
  <si>
    <t xml:space="preserve">Amount</t>
  </si>
  <si>
    <t xml:space="preserve">Terms (days)</t>
  </si>
  <si>
    <t xml:space="preserve">Due date</t>
  </si>
  <si>
    <t xml:space="preserve">Paid date</t>
  </si>
  <si>
    <t xml:space="preserve">Days overdue</t>
  </si>
  <si>
    <t xml:space="preserve">Late fee</t>
  </si>
  <si>
    <t xml:space="preserve">Status</t>
  </si>
  <si>
    <t xml:space="preserve">Total due</t>
  </si>
  <si>
    <t xml:space="preserve">INV-001</t>
  </si>
  <si>
    <t xml:space="preserve">Example Client Ltd</t>
  </si>
  <si>
    <t xml:space="preserve">Rate Calculator</t>
  </si>
  <si>
    <t xml:space="preserve">All inputs live on the Settings sheet.</t>
  </si>
  <si>
    <t xml:space="preserve">Working weeks</t>
  </si>
  <si>
    <t xml:space="preserve">52 minus weeks off</t>
  </si>
  <si>
    <t xml:space="preserve">Hours available</t>
  </si>
  <si>
    <t xml:space="preserve">working weeks × hours per week</t>
  </si>
  <si>
    <t xml:space="preserve">Billable hours</t>
  </si>
  <si>
    <t xml:space="preserve">hours available × billable share</t>
  </si>
  <si>
    <t xml:space="preserve">Revenue needed</t>
  </si>
  <si>
    <t xml:space="preserve">expenses + income grossed up for tax</t>
  </si>
  <si>
    <t xml:space="preserve">Hourly rate needed</t>
  </si>
  <si>
    <t xml:space="preserve">revenue needed ÷ billable hours</t>
  </si>
  <si>
    <t xml:space="preserve">Day rate needed</t>
  </si>
  <si>
    <t xml:space="preserve">hourly × hours in a billable day</t>
  </si>
  <si>
    <t xml:space="preserve">Payment Schedule</t>
  </si>
  <si>
    <t xml:space="preserve">Project total</t>
  </si>
  <si>
    <t xml:space="preserve">Deposit (%)</t>
  </si>
  <si>
    <t xml:space="preserve">Number of milestones (1-6)</t>
  </si>
  <si>
    <t xml:space="preserve">Start date</t>
  </si>
  <si>
    <t xml:space="preserve">Project length (weeks)</t>
  </si>
  <si>
    <t xml:space="preserve">Payment</t>
  </si>
  <si>
    <t xml:space="preserve">Note</t>
  </si>
  <si>
    <t xml:space="preserve">Deposit</t>
  </si>
  <si>
    <t xml:space="preserve">Due before work starts.</t>
  </si>
  <si>
    <t xml:space="preserve">Total</t>
  </si>
  <si>
    <t xml:space="preserve">Should equal the project total. The last milestone absorbs cent rounding.</t>
  </si>
  <si>
    <t xml:space="preserve">Expenses</t>
  </si>
  <si>
    <t xml:space="preserve">Date</t>
  </si>
  <si>
    <t xml:space="preserve">Category</t>
  </si>
  <si>
    <t xml:space="preserve">Description</t>
  </si>
  <si>
    <t xml:space="preserve">Month</t>
  </si>
  <si>
    <t xml:space="preserve">Software</t>
  </si>
  <si>
    <t xml:space="preserve">Example: design tool subscription</t>
  </si>
  <si>
    <t xml:space="preserve">Summary</t>
  </si>
  <si>
    <t xml:space="preserve">Start month</t>
  </si>
  <si>
    <t xml:space="preserve">Quarter</t>
  </si>
  <si>
    <t xml:space="preserve">Net</t>
  </si>
  <si>
    <t xml:space="preserve">Outstanding now</t>
  </si>
  <si>
    <t xml:space="preserve">Overdue now</t>
  </si>
  <si>
    <t xml:space="preserve">12 months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</si>
</sst>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#,##0.00;\(#,##0.00\);\-"/>
    <numFmt numFmtId="168" formatCode="yyyy\-mm\-dd"/>
    <numFmt numFmtId="169" formatCode="0.00"/>
    <numFmt numFmtId="170" formatCode="mmm\ 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3" t="s">
        <v>18</v>
      </c>
      <c r="B2" s="5" t="s">
        <v>19</v>
      </c>
      <c r="C2" s="2" t="s">
        <v>20</v>
      </c>
    </row>
    <row r="3" customFormat="false" ht="15" hidden="false" customHeight="false" outlineLevel="0" collapsed="false">
      <c r="A3" s="3" t="s">
        <v>21</v>
      </c>
      <c r="B3" s="5" t="s">
        <v>22</v>
      </c>
      <c r="C3" s="2" t="s">
        <v>23</v>
      </c>
    </row>
    <row r="4" customFormat="false" ht="15" hidden="false" customHeight="false" outlineLevel="0" collapsed="false">
      <c r="A4" s="3" t="s">
        <v>24</v>
      </c>
      <c r="B4" s="6" t="n">
        <v>30</v>
      </c>
      <c r="C4" s="2" t="s">
        <v>25</v>
      </c>
    </row>
    <row r="5" customFormat="false" ht="15" hidden="false" customHeight="false" outlineLevel="0" collapsed="false">
      <c r="A5" s="3" t="s">
        <v>26</v>
      </c>
      <c r="B5" s="7" t="n">
        <v>1.5</v>
      </c>
      <c r="C5" s="2" t="s">
        <v>27</v>
      </c>
    </row>
    <row r="6" customFormat="false" ht="15" hidden="false" customHeight="false" outlineLevel="0" collapsed="false">
      <c r="A6" s="3" t="s">
        <v>28</v>
      </c>
      <c r="B6" s="7" t="n">
        <v>8</v>
      </c>
    </row>
    <row r="7" customFormat="false" ht="15" hidden="false" customHeight="false" outlineLevel="0" collapsed="false">
      <c r="A7" s="3" t="s">
        <v>29</v>
      </c>
      <c r="B7" s="6" t="n">
        <v>6</v>
      </c>
      <c r="C7" s="2" t="s">
        <v>30</v>
      </c>
    </row>
    <row r="8" customFormat="false" ht="15" hidden="false" customHeight="false" outlineLevel="0" collapsed="false">
      <c r="A8" s="3" t="s">
        <v>31</v>
      </c>
      <c r="B8" s="6" t="n">
        <v>40</v>
      </c>
    </row>
    <row r="9" customFormat="false" ht="15" hidden="false" customHeight="false" outlineLevel="0" collapsed="false">
      <c r="A9" s="3" t="s">
        <v>32</v>
      </c>
      <c r="B9" s="6" t="n">
        <v>60</v>
      </c>
      <c r="C9" s="2" t="s">
        <v>33</v>
      </c>
    </row>
    <row r="10" customFormat="false" ht="15" hidden="false" customHeight="false" outlineLevel="0" collapsed="false">
      <c r="A10" s="3" t="s">
        <v>34</v>
      </c>
      <c r="B10" s="8" t="n">
        <v>60000</v>
      </c>
      <c r="C10" s="2" t="s">
        <v>35</v>
      </c>
    </row>
    <row r="11" customFormat="false" ht="15" hidden="false" customHeight="false" outlineLevel="0" collapsed="false">
      <c r="A11" s="3" t="s">
        <v>36</v>
      </c>
      <c r="B11" s="8" t="n">
        <v>6000</v>
      </c>
      <c r="C11" s="2" t="s">
        <v>37</v>
      </c>
    </row>
    <row r="12" customFormat="false" ht="15" hidden="false" customHeight="false" outlineLevel="0" collapsed="false">
      <c r="A12" s="3" t="s">
        <v>38</v>
      </c>
      <c r="B12" s="7" t="n">
        <v>0</v>
      </c>
      <c r="C12" s="2" t="s">
        <v>39</v>
      </c>
    </row>
    <row r="13" customFormat="false" ht="15" hidden="false" customHeight="false" outlineLevel="0" collapsed="false">
      <c r="A13" s="3" t="s">
        <v>40</v>
      </c>
      <c r="B13" s="9" t="n">
        <f aca="true">TODAY()</f>
        <v>46295</v>
      </c>
      <c r="C13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8" min="6" style="0" width="13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4" t="s">
        <v>43</v>
      </c>
      <c r="B2" s="10" t="n">
        <f aca="false">SUMIFS(D5:D104,J5:J104,"Open")+SUMIFS(D5:D104,J5:J104,"Overdue")</f>
        <v>1500</v>
      </c>
      <c r="C2" s="4" t="s">
        <v>44</v>
      </c>
      <c r="D2" s="10" t="n">
        <f aca="false">SUMIFS(D5:D104,J5:J104,"Overdue")</f>
        <v>1500</v>
      </c>
      <c r="E2" s="4" t="s">
        <v>45</v>
      </c>
      <c r="F2" s="10" t="n">
        <f aca="false">SUM(I5:I104)</f>
        <v>11.25</v>
      </c>
      <c r="G2" s="4" t="s">
        <v>46</v>
      </c>
      <c r="H2" s="10" t="n">
        <f aca="false">SUMIFS(D5:D104,J5:J104,"Paid")</f>
        <v>0</v>
      </c>
    </row>
    <row r="4" customFormat="false" ht="26.85" hidden="false" customHeight="false" outlineLevel="0" collapsed="false">
      <c r="A4" s="11" t="s">
        <v>47</v>
      </c>
      <c r="B4" s="11" t="s">
        <v>48</v>
      </c>
      <c r="C4" s="11" t="s">
        <v>49</v>
      </c>
      <c r="D4" s="11" t="s">
        <v>50</v>
      </c>
      <c r="E4" s="11" t="s">
        <v>51</v>
      </c>
      <c r="F4" s="11" t="s">
        <v>52</v>
      </c>
      <c r="G4" s="11" t="s">
        <v>53</v>
      </c>
      <c r="H4" s="11" t="s">
        <v>54</v>
      </c>
      <c r="I4" s="11" t="s">
        <v>55</v>
      </c>
      <c r="J4" s="11" t="s">
        <v>56</v>
      </c>
      <c r="K4" s="11" t="s">
        <v>57</v>
      </c>
    </row>
    <row r="5" customFormat="false" ht="15" hidden="false" customHeight="false" outlineLevel="0" collapsed="false">
      <c r="A5" s="12" t="s">
        <v>58</v>
      </c>
      <c r="B5" s="12" t="s">
        <v>59</v>
      </c>
      <c r="C5" s="13" t="n">
        <v>46250</v>
      </c>
      <c r="D5" s="14" t="n">
        <v>1500</v>
      </c>
      <c r="E5" s="15" t="n">
        <v>30</v>
      </c>
      <c r="F5" s="9" t="n">
        <f aca="false">IF(C5="","",C5+IF(E5="",Settings!$B$4,E5))</f>
        <v>46280</v>
      </c>
      <c r="G5" s="13"/>
      <c r="H5" s="16" t="n">
        <f aca="false">IF(OR(C5="",G5&lt;&gt;""),0,MAX(0,Settings!$B$13-F5))</f>
        <v>15</v>
      </c>
      <c r="I5" s="17" t="n">
        <f aca="false">IF(H5&gt;0,ROUND(D5*Settings!$B$5/100*H5/30,2),0)</f>
        <v>11.25</v>
      </c>
      <c r="J5" s="3" t="str">
        <f aca="false">IF(C5="","",IF(G5&lt;&gt;"","Paid",IF(H5&gt;0,"Overdue","Open")))</f>
        <v>Overdue</v>
      </c>
      <c r="K5" s="17" t="n">
        <f aca="false">IF(C5="","",D5+I5)</f>
        <v>1511.25</v>
      </c>
    </row>
    <row r="6" customFormat="false" ht="15" hidden="false" customHeight="false" outlineLevel="0" collapsed="false">
      <c r="A6" s="12"/>
      <c r="B6" s="12"/>
      <c r="C6" s="13"/>
      <c r="D6" s="14"/>
      <c r="E6" s="12"/>
      <c r="F6" s="9" t="str">
        <f aca="false">IF(C6="","",C6+IF(E6="",Settings!$B$4,E6))</f>
        <v/>
      </c>
      <c r="G6" s="13"/>
      <c r="H6" s="16" t="n">
        <f aca="false">IF(OR(C6="",G6&lt;&gt;""),0,MAX(0,Settings!$B$13-F6))</f>
        <v>0</v>
      </c>
      <c r="I6" s="17" t="n">
        <f aca="false">IF(H6&gt;0,ROUND(D6*Settings!$B$5/100*H6/30,2),0)</f>
        <v>0</v>
      </c>
      <c r="J6" s="3" t="str">
        <f aca="false">IF(C6="","",IF(G6&lt;&gt;"","Paid",IF(H6&gt;0,"Overdue","Open")))</f>
        <v/>
      </c>
      <c r="K6" s="17" t="str">
        <f aca="false">IF(C6="","",D6+I6)</f>
        <v/>
      </c>
    </row>
    <row r="7" customFormat="false" ht="15" hidden="false" customHeight="false" outlineLevel="0" collapsed="false">
      <c r="A7" s="12"/>
      <c r="B7" s="12"/>
      <c r="C7" s="13"/>
      <c r="D7" s="14"/>
      <c r="E7" s="12"/>
      <c r="F7" s="9" t="str">
        <f aca="false">IF(C7="","",C7+IF(E7="",Settings!$B$4,E7))</f>
        <v/>
      </c>
      <c r="G7" s="13"/>
      <c r="H7" s="16" t="n">
        <f aca="false">IF(OR(C7="",G7&lt;&gt;""),0,MAX(0,Settings!$B$13-F7))</f>
        <v>0</v>
      </c>
      <c r="I7" s="17" t="n">
        <f aca="false">IF(H7&gt;0,ROUND(D7*Settings!$B$5/100*H7/30,2),0)</f>
        <v>0</v>
      </c>
      <c r="J7" s="3" t="str">
        <f aca="false">IF(C7="","",IF(G7&lt;&gt;"","Paid",IF(H7&gt;0,"Overdue","Open")))</f>
        <v/>
      </c>
      <c r="K7" s="17" t="str">
        <f aca="false">IF(C7="","",D7+I7)</f>
        <v/>
      </c>
    </row>
    <row r="8" customFormat="false" ht="15" hidden="false" customHeight="false" outlineLevel="0" collapsed="false">
      <c r="A8" s="12"/>
      <c r="B8" s="12"/>
      <c r="C8" s="13"/>
      <c r="D8" s="14"/>
      <c r="E8" s="12"/>
      <c r="F8" s="9" t="str">
        <f aca="false">IF(C8="","",C8+IF(E8="",Settings!$B$4,E8))</f>
        <v/>
      </c>
      <c r="G8" s="13"/>
      <c r="H8" s="16" t="n">
        <f aca="false">IF(OR(C8="",G8&lt;&gt;""),0,MAX(0,Settings!$B$13-F8))</f>
        <v>0</v>
      </c>
      <c r="I8" s="17" t="n">
        <f aca="false">IF(H8&gt;0,ROUND(D8*Settings!$B$5/100*H8/30,2),0)</f>
        <v>0</v>
      </c>
      <c r="J8" s="3" t="str">
        <f aca="false">IF(C8="","",IF(G8&lt;&gt;"","Paid",IF(H8&gt;0,"Overdue","Open")))</f>
        <v/>
      </c>
      <c r="K8" s="17" t="str">
        <f aca="false">IF(C8="","",D8+I8)</f>
        <v/>
      </c>
    </row>
    <row r="9" customFormat="false" ht="15" hidden="false" customHeight="false" outlineLevel="0" collapsed="false">
      <c r="A9" s="12"/>
      <c r="B9" s="12"/>
      <c r="C9" s="13"/>
      <c r="D9" s="14"/>
      <c r="E9" s="12"/>
      <c r="F9" s="9" t="str">
        <f aca="false">IF(C9="","",C9+IF(E9="",Settings!$B$4,E9))</f>
        <v/>
      </c>
      <c r="G9" s="13"/>
      <c r="H9" s="16" t="n">
        <f aca="false">IF(OR(C9="",G9&lt;&gt;""),0,MAX(0,Settings!$B$13-F9))</f>
        <v>0</v>
      </c>
      <c r="I9" s="17" t="n">
        <f aca="false">IF(H9&gt;0,ROUND(D9*Settings!$B$5/100*H9/30,2),0)</f>
        <v>0</v>
      </c>
      <c r="J9" s="3" t="str">
        <f aca="false">IF(C9="","",IF(G9&lt;&gt;"","Paid",IF(H9&gt;0,"Overdue","Open")))</f>
        <v/>
      </c>
      <c r="K9" s="17" t="str">
        <f aca="false">IF(C9="","",D9+I9)</f>
        <v/>
      </c>
    </row>
    <row r="10" customFormat="false" ht="15" hidden="false" customHeight="false" outlineLevel="0" collapsed="false">
      <c r="A10" s="12"/>
      <c r="B10" s="12"/>
      <c r="C10" s="13"/>
      <c r="D10" s="14"/>
      <c r="E10" s="12"/>
      <c r="F10" s="9" t="str">
        <f aca="false">IF(C10="","",C10+IF(E10="",Settings!$B$4,E10))</f>
        <v/>
      </c>
      <c r="G10" s="13"/>
      <c r="H10" s="16" t="n">
        <f aca="false">IF(OR(C10="",G10&lt;&gt;""),0,MAX(0,Settings!$B$13-F10))</f>
        <v>0</v>
      </c>
      <c r="I10" s="17" t="n">
        <f aca="false">IF(H10&gt;0,ROUND(D10*Settings!$B$5/100*H10/30,2),0)</f>
        <v>0</v>
      </c>
      <c r="J10" s="3" t="str">
        <f aca="false">IF(C10="","",IF(G10&lt;&gt;"","Paid",IF(H10&gt;0,"Overdue","Open")))</f>
        <v/>
      </c>
      <c r="K10" s="17" t="str">
        <f aca="false">IF(C10="","",D10+I10)</f>
        <v/>
      </c>
    </row>
    <row r="11" customFormat="false" ht="15" hidden="false" customHeight="false" outlineLevel="0" collapsed="false">
      <c r="A11" s="12"/>
      <c r="B11" s="12"/>
      <c r="C11" s="13"/>
      <c r="D11" s="14"/>
      <c r="E11" s="12"/>
      <c r="F11" s="9" t="str">
        <f aca="false">IF(C11="","",C11+IF(E11="",Settings!$B$4,E11))</f>
        <v/>
      </c>
      <c r="G11" s="13"/>
      <c r="H11" s="16" t="n">
        <f aca="false">IF(OR(C11="",G11&lt;&gt;""),0,MAX(0,Settings!$B$13-F11))</f>
        <v>0</v>
      </c>
      <c r="I11" s="17" t="n">
        <f aca="false">IF(H11&gt;0,ROUND(D11*Settings!$B$5/100*H11/30,2),0)</f>
        <v>0</v>
      </c>
      <c r="J11" s="3" t="str">
        <f aca="false">IF(C11="","",IF(G11&lt;&gt;"","Paid",IF(H11&gt;0,"Overdue","Open")))</f>
        <v/>
      </c>
      <c r="K11" s="17" t="str">
        <f aca="false">IF(C11="","",D11+I11)</f>
        <v/>
      </c>
    </row>
    <row r="12" customFormat="false" ht="15" hidden="false" customHeight="false" outlineLevel="0" collapsed="false">
      <c r="A12" s="12"/>
      <c r="B12" s="12"/>
      <c r="C12" s="13"/>
      <c r="D12" s="14"/>
      <c r="E12" s="12"/>
      <c r="F12" s="9" t="str">
        <f aca="false">IF(C12="","",C12+IF(E12="",Settings!$B$4,E12))</f>
        <v/>
      </c>
      <c r="G12" s="13"/>
      <c r="H12" s="16" t="n">
        <f aca="false">IF(OR(C12="",G12&lt;&gt;""),0,MAX(0,Settings!$B$13-F12))</f>
        <v>0</v>
      </c>
      <c r="I12" s="17" t="n">
        <f aca="false">IF(H12&gt;0,ROUND(D12*Settings!$B$5/100*H12/30,2),0)</f>
        <v>0</v>
      </c>
      <c r="J12" s="3" t="str">
        <f aca="false">IF(C12="","",IF(G12&lt;&gt;"","Paid",IF(H12&gt;0,"Overdue","Open")))</f>
        <v/>
      </c>
      <c r="K12" s="17" t="str">
        <f aca="false">IF(C12="","",D12+I12)</f>
        <v/>
      </c>
    </row>
    <row r="13" customFormat="false" ht="15" hidden="false" customHeight="false" outlineLevel="0" collapsed="false">
      <c r="A13" s="12"/>
      <c r="B13" s="12"/>
      <c r="C13" s="13"/>
      <c r="D13" s="14"/>
      <c r="E13" s="12"/>
      <c r="F13" s="9" t="str">
        <f aca="false">IF(C13="","",C13+IF(E13="",Settings!$B$4,E13))</f>
        <v/>
      </c>
      <c r="G13" s="13"/>
      <c r="H13" s="16" t="n">
        <f aca="false">IF(OR(C13="",G13&lt;&gt;""),0,MAX(0,Settings!$B$13-F13))</f>
        <v>0</v>
      </c>
      <c r="I13" s="17" t="n">
        <f aca="false">IF(H13&gt;0,ROUND(D13*Settings!$B$5/100*H13/30,2),0)</f>
        <v>0</v>
      </c>
      <c r="J13" s="3" t="str">
        <f aca="false">IF(C13="","",IF(G13&lt;&gt;"","Paid",IF(H13&gt;0,"Overdue","Open")))</f>
        <v/>
      </c>
      <c r="K13" s="17" t="str">
        <f aca="false">IF(C13="","",D13+I13)</f>
        <v/>
      </c>
    </row>
    <row r="14" customFormat="false" ht="15" hidden="false" customHeight="false" outlineLevel="0" collapsed="false">
      <c r="A14" s="12"/>
      <c r="B14" s="12"/>
      <c r="C14" s="13"/>
      <c r="D14" s="14"/>
      <c r="E14" s="12"/>
      <c r="F14" s="9" t="str">
        <f aca="false">IF(C14="","",C14+IF(E14="",Settings!$B$4,E14))</f>
        <v/>
      </c>
      <c r="G14" s="13"/>
      <c r="H14" s="16" t="n">
        <f aca="false">IF(OR(C14="",G14&lt;&gt;""),0,MAX(0,Settings!$B$13-F14))</f>
        <v>0</v>
      </c>
      <c r="I14" s="17" t="n">
        <f aca="false">IF(H14&gt;0,ROUND(D14*Settings!$B$5/100*H14/30,2),0)</f>
        <v>0</v>
      </c>
      <c r="J14" s="3" t="str">
        <f aca="false">IF(C14="","",IF(G14&lt;&gt;"","Paid",IF(H14&gt;0,"Overdue","Open")))</f>
        <v/>
      </c>
      <c r="K14" s="17" t="str">
        <f aca="false">IF(C14="","",D14+I14)</f>
        <v/>
      </c>
    </row>
    <row r="15" customFormat="false" ht="15" hidden="false" customHeight="false" outlineLevel="0" collapsed="false">
      <c r="A15" s="12"/>
      <c r="B15" s="12"/>
      <c r="C15" s="13"/>
      <c r="D15" s="14"/>
      <c r="E15" s="12"/>
      <c r="F15" s="9" t="str">
        <f aca="false">IF(C15="","",C15+IF(E15="",Settings!$B$4,E15))</f>
        <v/>
      </c>
      <c r="G15" s="13"/>
      <c r="H15" s="16" t="n">
        <f aca="false">IF(OR(C15="",G15&lt;&gt;""),0,MAX(0,Settings!$B$13-F15))</f>
        <v>0</v>
      </c>
      <c r="I15" s="17" t="n">
        <f aca="false">IF(H15&gt;0,ROUND(D15*Settings!$B$5/100*H15/30,2),0)</f>
        <v>0</v>
      </c>
      <c r="J15" s="3" t="str">
        <f aca="false">IF(C15="","",IF(G15&lt;&gt;"","Paid",IF(H15&gt;0,"Overdue","Open")))</f>
        <v/>
      </c>
      <c r="K15" s="17" t="str">
        <f aca="false">IF(C15="","",D15+I15)</f>
        <v/>
      </c>
    </row>
    <row r="16" customFormat="false" ht="15" hidden="false" customHeight="false" outlineLevel="0" collapsed="false">
      <c r="A16" s="12"/>
      <c r="B16" s="12"/>
      <c r="C16" s="13"/>
      <c r="D16" s="14"/>
      <c r="E16" s="12"/>
      <c r="F16" s="9" t="str">
        <f aca="false">IF(C16="","",C16+IF(E16="",Settings!$B$4,E16))</f>
        <v/>
      </c>
      <c r="G16" s="13"/>
      <c r="H16" s="16" t="n">
        <f aca="false">IF(OR(C16="",G16&lt;&gt;""),0,MAX(0,Settings!$B$13-F16))</f>
        <v>0</v>
      </c>
      <c r="I16" s="17" t="n">
        <f aca="false">IF(H16&gt;0,ROUND(D16*Settings!$B$5/100*H16/30,2),0)</f>
        <v>0</v>
      </c>
      <c r="J16" s="3" t="str">
        <f aca="false">IF(C16="","",IF(G16&lt;&gt;"","Paid",IF(H16&gt;0,"Overdue","Open")))</f>
        <v/>
      </c>
      <c r="K16" s="17" t="str">
        <f aca="false">IF(C16="","",D16+I16)</f>
        <v/>
      </c>
    </row>
    <row r="17" customFormat="false" ht="15" hidden="false" customHeight="false" outlineLevel="0" collapsed="false">
      <c r="A17" s="12"/>
      <c r="B17" s="12"/>
      <c r="C17" s="13"/>
      <c r="D17" s="14"/>
      <c r="E17" s="12"/>
      <c r="F17" s="9" t="str">
        <f aca="false">IF(C17="","",C17+IF(E17="",Settings!$B$4,E17))</f>
        <v/>
      </c>
      <c r="G17" s="13"/>
      <c r="H17" s="16" t="n">
        <f aca="false">IF(OR(C17="",G17&lt;&gt;""),0,MAX(0,Settings!$B$13-F17))</f>
        <v>0</v>
      </c>
      <c r="I17" s="17" t="n">
        <f aca="false">IF(H17&gt;0,ROUND(D17*Settings!$B$5/100*H17/30,2),0)</f>
        <v>0</v>
      </c>
      <c r="J17" s="3" t="str">
        <f aca="false">IF(C17="","",IF(G17&lt;&gt;"","Paid",IF(H17&gt;0,"Overdue","Open")))</f>
        <v/>
      </c>
      <c r="K17" s="17" t="str">
        <f aca="false">IF(C17="","",D17+I17)</f>
        <v/>
      </c>
    </row>
    <row r="18" customFormat="false" ht="15" hidden="false" customHeight="false" outlineLevel="0" collapsed="false">
      <c r="A18" s="12"/>
      <c r="B18" s="12"/>
      <c r="C18" s="13"/>
      <c r="D18" s="14"/>
      <c r="E18" s="12"/>
      <c r="F18" s="9" t="str">
        <f aca="false">IF(C18="","",C18+IF(E18="",Settings!$B$4,E18))</f>
        <v/>
      </c>
      <c r="G18" s="13"/>
      <c r="H18" s="16" t="n">
        <f aca="false">IF(OR(C18="",G18&lt;&gt;""),0,MAX(0,Settings!$B$13-F18))</f>
        <v>0</v>
      </c>
      <c r="I18" s="17" t="n">
        <f aca="false">IF(H18&gt;0,ROUND(D18*Settings!$B$5/100*H18/30,2),0)</f>
        <v>0</v>
      </c>
      <c r="J18" s="3" t="str">
        <f aca="false">IF(C18="","",IF(G18&lt;&gt;"","Paid",IF(H18&gt;0,"Overdue","Open")))</f>
        <v/>
      </c>
      <c r="K18" s="17" t="str">
        <f aca="false">IF(C18="","",D18+I18)</f>
        <v/>
      </c>
    </row>
    <row r="19" customFormat="false" ht="15" hidden="false" customHeight="false" outlineLevel="0" collapsed="false">
      <c r="A19" s="12"/>
      <c r="B19" s="12"/>
      <c r="C19" s="13"/>
      <c r="D19" s="14"/>
      <c r="E19" s="12"/>
      <c r="F19" s="9" t="str">
        <f aca="false">IF(C19="","",C19+IF(E19="",Settings!$B$4,E19))</f>
        <v/>
      </c>
      <c r="G19" s="13"/>
      <c r="H19" s="16" t="n">
        <f aca="false">IF(OR(C19="",G19&lt;&gt;""),0,MAX(0,Settings!$B$13-F19))</f>
        <v>0</v>
      </c>
      <c r="I19" s="17" t="n">
        <f aca="false">IF(H19&gt;0,ROUND(D19*Settings!$B$5/100*H19/30,2),0)</f>
        <v>0</v>
      </c>
      <c r="J19" s="3" t="str">
        <f aca="false">IF(C19="","",IF(G19&lt;&gt;"","Paid",IF(H19&gt;0,"Overdue","Open")))</f>
        <v/>
      </c>
      <c r="K19" s="17" t="str">
        <f aca="false">IF(C19="","",D19+I19)</f>
        <v/>
      </c>
    </row>
    <row r="20" customFormat="false" ht="15" hidden="false" customHeight="false" outlineLevel="0" collapsed="false">
      <c r="A20" s="12"/>
      <c r="B20" s="12"/>
      <c r="C20" s="13"/>
      <c r="D20" s="14"/>
      <c r="E20" s="12"/>
      <c r="F20" s="9" t="str">
        <f aca="false">IF(C20="","",C20+IF(E20="",Settings!$B$4,E20))</f>
        <v/>
      </c>
      <c r="G20" s="13"/>
      <c r="H20" s="16" t="n">
        <f aca="false">IF(OR(C20="",G20&lt;&gt;""),0,MAX(0,Settings!$B$13-F20))</f>
        <v>0</v>
      </c>
      <c r="I20" s="17" t="n">
        <f aca="false">IF(H20&gt;0,ROUND(D20*Settings!$B$5/100*H20/30,2),0)</f>
        <v>0</v>
      </c>
      <c r="J20" s="3" t="str">
        <f aca="false">IF(C20="","",IF(G20&lt;&gt;"","Paid",IF(H20&gt;0,"Overdue","Open")))</f>
        <v/>
      </c>
      <c r="K20" s="17" t="str">
        <f aca="false">IF(C20="","",D20+I20)</f>
        <v/>
      </c>
    </row>
    <row r="21" customFormat="false" ht="15" hidden="false" customHeight="false" outlineLevel="0" collapsed="false">
      <c r="A21" s="12"/>
      <c r="B21" s="12"/>
      <c r="C21" s="13"/>
      <c r="D21" s="14"/>
      <c r="E21" s="12"/>
      <c r="F21" s="9" t="str">
        <f aca="false">IF(C21="","",C21+IF(E21="",Settings!$B$4,E21))</f>
        <v/>
      </c>
      <c r="G21" s="13"/>
      <c r="H21" s="16" t="n">
        <f aca="false">IF(OR(C21="",G21&lt;&gt;""),0,MAX(0,Settings!$B$13-F21))</f>
        <v>0</v>
      </c>
      <c r="I21" s="17" t="n">
        <f aca="false">IF(H21&gt;0,ROUND(D21*Settings!$B$5/100*H21/30,2),0)</f>
        <v>0</v>
      </c>
      <c r="J21" s="3" t="str">
        <f aca="false">IF(C21="","",IF(G21&lt;&gt;"","Paid",IF(H21&gt;0,"Overdue","Open")))</f>
        <v/>
      </c>
      <c r="K21" s="17" t="str">
        <f aca="false">IF(C21="","",D21+I21)</f>
        <v/>
      </c>
    </row>
    <row r="22" customFormat="false" ht="15" hidden="false" customHeight="false" outlineLevel="0" collapsed="false">
      <c r="A22" s="12"/>
      <c r="B22" s="12"/>
      <c r="C22" s="13"/>
      <c r="D22" s="14"/>
      <c r="E22" s="12"/>
      <c r="F22" s="9" t="str">
        <f aca="false">IF(C22="","",C22+IF(E22="",Settings!$B$4,E22))</f>
        <v/>
      </c>
      <c r="G22" s="13"/>
      <c r="H22" s="16" t="n">
        <f aca="false">IF(OR(C22="",G22&lt;&gt;""),0,MAX(0,Settings!$B$13-F22))</f>
        <v>0</v>
      </c>
      <c r="I22" s="17" t="n">
        <f aca="false">IF(H22&gt;0,ROUND(D22*Settings!$B$5/100*H22/30,2),0)</f>
        <v>0</v>
      </c>
      <c r="J22" s="3" t="str">
        <f aca="false">IF(C22="","",IF(G22&lt;&gt;"","Paid",IF(H22&gt;0,"Overdue","Open")))</f>
        <v/>
      </c>
      <c r="K22" s="17" t="str">
        <f aca="false">IF(C22="","",D22+I22)</f>
        <v/>
      </c>
    </row>
    <row r="23" customFormat="false" ht="15" hidden="false" customHeight="false" outlineLevel="0" collapsed="false">
      <c r="A23" s="12"/>
      <c r="B23" s="12"/>
      <c r="C23" s="13"/>
      <c r="D23" s="14"/>
      <c r="E23" s="12"/>
      <c r="F23" s="9" t="str">
        <f aca="false">IF(C23="","",C23+IF(E23="",Settings!$B$4,E23))</f>
        <v/>
      </c>
      <c r="G23" s="13"/>
      <c r="H23" s="16" t="n">
        <f aca="false">IF(OR(C23="",G23&lt;&gt;""),0,MAX(0,Settings!$B$13-F23))</f>
        <v>0</v>
      </c>
      <c r="I23" s="17" t="n">
        <f aca="false">IF(H23&gt;0,ROUND(D23*Settings!$B$5/100*H23/30,2),0)</f>
        <v>0</v>
      </c>
      <c r="J23" s="3" t="str">
        <f aca="false">IF(C23="","",IF(G23&lt;&gt;"","Paid",IF(H23&gt;0,"Overdue","Open")))</f>
        <v/>
      </c>
      <c r="K23" s="17" t="str">
        <f aca="false">IF(C23="","",D23+I23)</f>
        <v/>
      </c>
    </row>
    <row r="24" customFormat="false" ht="15" hidden="false" customHeight="false" outlineLevel="0" collapsed="false">
      <c r="A24" s="12"/>
      <c r="B24" s="12"/>
      <c r="C24" s="13"/>
      <c r="D24" s="14"/>
      <c r="E24" s="12"/>
      <c r="F24" s="9" t="str">
        <f aca="false">IF(C24="","",C24+IF(E24="",Settings!$B$4,E24))</f>
        <v/>
      </c>
      <c r="G24" s="13"/>
      <c r="H24" s="16" t="n">
        <f aca="false">IF(OR(C24="",G24&lt;&gt;""),0,MAX(0,Settings!$B$13-F24))</f>
        <v>0</v>
      </c>
      <c r="I24" s="17" t="n">
        <f aca="false">IF(H24&gt;0,ROUND(D24*Settings!$B$5/100*H24/30,2),0)</f>
        <v>0</v>
      </c>
      <c r="J24" s="3" t="str">
        <f aca="false">IF(C24="","",IF(G24&lt;&gt;"","Paid",IF(H24&gt;0,"Overdue","Open")))</f>
        <v/>
      </c>
      <c r="K24" s="17" t="str">
        <f aca="false">IF(C24="","",D24+I24)</f>
        <v/>
      </c>
    </row>
    <row r="25" customFormat="false" ht="15" hidden="false" customHeight="false" outlineLevel="0" collapsed="false">
      <c r="A25" s="12"/>
      <c r="B25" s="12"/>
      <c r="C25" s="13"/>
      <c r="D25" s="14"/>
      <c r="E25" s="12"/>
      <c r="F25" s="9" t="str">
        <f aca="false">IF(C25="","",C25+IF(E25="",Settings!$B$4,E25))</f>
        <v/>
      </c>
      <c r="G25" s="13"/>
      <c r="H25" s="16" t="n">
        <f aca="false">IF(OR(C25="",G25&lt;&gt;""),0,MAX(0,Settings!$B$13-F25))</f>
        <v>0</v>
      </c>
      <c r="I25" s="17" t="n">
        <f aca="false">IF(H25&gt;0,ROUND(D25*Settings!$B$5/100*H25/30,2),0)</f>
        <v>0</v>
      </c>
      <c r="J25" s="3" t="str">
        <f aca="false">IF(C25="","",IF(G25&lt;&gt;"","Paid",IF(H25&gt;0,"Overdue","Open")))</f>
        <v/>
      </c>
      <c r="K25" s="17" t="str">
        <f aca="false">IF(C25="","",D25+I25)</f>
        <v/>
      </c>
    </row>
    <row r="26" customFormat="false" ht="15" hidden="false" customHeight="false" outlineLevel="0" collapsed="false">
      <c r="A26" s="12"/>
      <c r="B26" s="12"/>
      <c r="C26" s="13"/>
      <c r="D26" s="14"/>
      <c r="E26" s="12"/>
      <c r="F26" s="9" t="str">
        <f aca="false">IF(C26="","",C26+IF(E26="",Settings!$B$4,E26))</f>
        <v/>
      </c>
      <c r="G26" s="13"/>
      <c r="H26" s="16" t="n">
        <f aca="false">IF(OR(C26="",G26&lt;&gt;""),0,MAX(0,Settings!$B$13-F26))</f>
        <v>0</v>
      </c>
      <c r="I26" s="17" t="n">
        <f aca="false">IF(H26&gt;0,ROUND(D26*Settings!$B$5/100*H26/30,2),0)</f>
        <v>0</v>
      </c>
      <c r="J26" s="3" t="str">
        <f aca="false">IF(C26="","",IF(G26&lt;&gt;"","Paid",IF(H26&gt;0,"Overdue","Open")))</f>
        <v/>
      </c>
      <c r="K26" s="17" t="str">
        <f aca="false">IF(C26="","",D26+I26)</f>
        <v/>
      </c>
    </row>
    <row r="27" customFormat="false" ht="15" hidden="false" customHeight="false" outlineLevel="0" collapsed="false">
      <c r="A27" s="12"/>
      <c r="B27" s="12"/>
      <c r="C27" s="13"/>
      <c r="D27" s="14"/>
      <c r="E27" s="12"/>
      <c r="F27" s="9" t="str">
        <f aca="false">IF(C27="","",C27+IF(E27="",Settings!$B$4,E27))</f>
        <v/>
      </c>
      <c r="G27" s="13"/>
      <c r="H27" s="16" t="n">
        <f aca="false">IF(OR(C27="",G27&lt;&gt;""),0,MAX(0,Settings!$B$13-F27))</f>
        <v>0</v>
      </c>
      <c r="I27" s="17" t="n">
        <f aca="false">IF(H27&gt;0,ROUND(D27*Settings!$B$5/100*H27/30,2),0)</f>
        <v>0</v>
      </c>
      <c r="J27" s="3" t="str">
        <f aca="false">IF(C27="","",IF(G27&lt;&gt;"","Paid",IF(H27&gt;0,"Overdue","Open")))</f>
        <v/>
      </c>
      <c r="K27" s="17" t="str">
        <f aca="false">IF(C27="","",D27+I27)</f>
        <v/>
      </c>
    </row>
    <row r="28" customFormat="false" ht="15" hidden="false" customHeight="false" outlineLevel="0" collapsed="false">
      <c r="A28" s="12"/>
      <c r="B28" s="12"/>
      <c r="C28" s="13"/>
      <c r="D28" s="14"/>
      <c r="E28" s="12"/>
      <c r="F28" s="9" t="str">
        <f aca="false">IF(C28="","",C28+IF(E28="",Settings!$B$4,E28))</f>
        <v/>
      </c>
      <c r="G28" s="13"/>
      <c r="H28" s="16" t="n">
        <f aca="false">IF(OR(C28="",G28&lt;&gt;""),0,MAX(0,Settings!$B$13-F28))</f>
        <v>0</v>
      </c>
      <c r="I28" s="17" t="n">
        <f aca="false">IF(H28&gt;0,ROUND(D28*Settings!$B$5/100*H28/30,2),0)</f>
        <v>0</v>
      </c>
      <c r="J28" s="3" t="str">
        <f aca="false">IF(C28="","",IF(G28&lt;&gt;"","Paid",IF(H28&gt;0,"Overdue","Open")))</f>
        <v/>
      </c>
      <c r="K28" s="17" t="str">
        <f aca="false">IF(C28="","",D28+I28)</f>
        <v/>
      </c>
    </row>
    <row r="29" customFormat="false" ht="15" hidden="false" customHeight="false" outlineLevel="0" collapsed="false">
      <c r="A29" s="12"/>
      <c r="B29" s="12"/>
      <c r="C29" s="13"/>
      <c r="D29" s="14"/>
      <c r="E29" s="12"/>
      <c r="F29" s="9" t="str">
        <f aca="false">IF(C29="","",C29+IF(E29="",Settings!$B$4,E29))</f>
        <v/>
      </c>
      <c r="G29" s="13"/>
      <c r="H29" s="16" t="n">
        <f aca="false">IF(OR(C29="",G29&lt;&gt;""),0,MAX(0,Settings!$B$13-F29))</f>
        <v>0</v>
      </c>
      <c r="I29" s="17" t="n">
        <f aca="false">IF(H29&gt;0,ROUND(D29*Settings!$B$5/100*H29/30,2),0)</f>
        <v>0</v>
      </c>
      <c r="J29" s="3" t="str">
        <f aca="false">IF(C29="","",IF(G29&lt;&gt;"","Paid",IF(H29&gt;0,"Overdue","Open")))</f>
        <v/>
      </c>
      <c r="K29" s="17" t="str">
        <f aca="false">IF(C29="","",D29+I29)</f>
        <v/>
      </c>
    </row>
    <row r="30" customFormat="false" ht="15" hidden="false" customHeight="false" outlineLevel="0" collapsed="false">
      <c r="A30" s="12"/>
      <c r="B30" s="12"/>
      <c r="C30" s="13"/>
      <c r="D30" s="14"/>
      <c r="E30" s="12"/>
      <c r="F30" s="9" t="str">
        <f aca="false">IF(C30="","",C30+IF(E30="",Settings!$B$4,E30))</f>
        <v/>
      </c>
      <c r="G30" s="13"/>
      <c r="H30" s="16" t="n">
        <f aca="false">IF(OR(C30="",G30&lt;&gt;""),0,MAX(0,Settings!$B$13-F30))</f>
        <v>0</v>
      </c>
      <c r="I30" s="17" t="n">
        <f aca="false">IF(H30&gt;0,ROUND(D30*Settings!$B$5/100*H30/30,2),0)</f>
        <v>0</v>
      </c>
      <c r="J30" s="3" t="str">
        <f aca="false">IF(C30="","",IF(G30&lt;&gt;"","Paid",IF(H30&gt;0,"Overdue","Open")))</f>
        <v/>
      </c>
      <c r="K30" s="17" t="str">
        <f aca="false">IF(C30="","",D30+I30)</f>
        <v/>
      </c>
    </row>
    <row r="31" customFormat="false" ht="15" hidden="false" customHeight="false" outlineLevel="0" collapsed="false">
      <c r="A31" s="12"/>
      <c r="B31" s="12"/>
      <c r="C31" s="13"/>
      <c r="D31" s="14"/>
      <c r="E31" s="12"/>
      <c r="F31" s="9" t="str">
        <f aca="false">IF(C31="","",C31+IF(E31="",Settings!$B$4,E31))</f>
        <v/>
      </c>
      <c r="G31" s="13"/>
      <c r="H31" s="16" t="n">
        <f aca="false">IF(OR(C31="",G31&lt;&gt;""),0,MAX(0,Settings!$B$13-F31))</f>
        <v>0</v>
      </c>
      <c r="I31" s="17" t="n">
        <f aca="false">IF(H31&gt;0,ROUND(D31*Settings!$B$5/100*H31/30,2),0)</f>
        <v>0</v>
      </c>
      <c r="J31" s="3" t="str">
        <f aca="false">IF(C31="","",IF(G31&lt;&gt;"","Paid",IF(H31&gt;0,"Overdue","Open")))</f>
        <v/>
      </c>
      <c r="K31" s="17" t="str">
        <f aca="false">IF(C31="","",D31+I31)</f>
        <v/>
      </c>
    </row>
    <row r="32" customFormat="false" ht="15" hidden="false" customHeight="false" outlineLevel="0" collapsed="false">
      <c r="A32" s="12"/>
      <c r="B32" s="12"/>
      <c r="C32" s="13"/>
      <c r="D32" s="14"/>
      <c r="E32" s="12"/>
      <c r="F32" s="9" t="str">
        <f aca="false">IF(C32="","",C32+IF(E32="",Settings!$B$4,E32))</f>
        <v/>
      </c>
      <c r="G32" s="13"/>
      <c r="H32" s="16" t="n">
        <f aca="false">IF(OR(C32="",G32&lt;&gt;""),0,MAX(0,Settings!$B$13-F32))</f>
        <v>0</v>
      </c>
      <c r="I32" s="17" t="n">
        <f aca="false">IF(H32&gt;0,ROUND(D32*Settings!$B$5/100*H32/30,2),0)</f>
        <v>0</v>
      </c>
      <c r="J32" s="3" t="str">
        <f aca="false">IF(C32="","",IF(G32&lt;&gt;"","Paid",IF(H32&gt;0,"Overdue","Open")))</f>
        <v/>
      </c>
      <c r="K32" s="17" t="str">
        <f aca="false">IF(C32="","",D32+I32)</f>
        <v/>
      </c>
    </row>
    <row r="33" customFormat="false" ht="15" hidden="false" customHeight="false" outlineLevel="0" collapsed="false">
      <c r="A33" s="12"/>
      <c r="B33" s="12"/>
      <c r="C33" s="13"/>
      <c r="D33" s="14"/>
      <c r="E33" s="12"/>
      <c r="F33" s="9" t="str">
        <f aca="false">IF(C33="","",C33+IF(E33="",Settings!$B$4,E33))</f>
        <v/>
      </c>
      <c r="G33" s="13"/>
      <c r="H33" s="16" t="n">
        <f aca="false">IF(OR(C33="",G33&lt;&gt;""),0,MAX(0,Settings!$B$13-F33))</f>
        <v>0</v>
      </c>
      <c r="I33" s="17" t="n">
        <f aca="false">IF(H33&gt;0,ROUND(D33*Settings!$B$5/100*H33/30,2),0)</f>
        <v>0</v>
      </c>
      <c r="J33" s="3" t="str">
        <f aca="false">IF(C33="","",IF(G33&lt;&gt;"","Paid",IF(H33&gt;0,"Overdue","Open")))</f>
        <v/>
      </c>
      <c r="K33" s="17" t="str">
        <f aca="false">IF(C33="","",D33+I33)</f>
        <v/>
      </c>
    </row>
    <row r="34" customFormat="false" ht="15" hidden="false" customHeight="false" outlineLevel="0" collapsed="false">
      <c r="A34" s="12"/>
      <c r="B34" s="12"/>
      <c r="C34" s="13"/>
      <c r="D34" s="14"/>
      <c r="E34" s="12"/>
      <c r="F34" s="9" t="str">
        <f aca="false">IF(C34="","",C34+IF(E34="",Settings!$B$4,E34))</f>
        <v/>
      </c>
      <c r="G34" s="13"/>
      <c r="H34" s="16" t="n">
        <f aca="false">IF(OR(C34="",G34&lt;&gt;""),0,MAX(0,Settings!$B$13-F34))</f>
        <v>0</v>
      </c>
      <c r="I34" s="17" t="n">
        <f aca="false">IF(H34&gt;0,ROUND(D34*Settings!$B$5/100*H34/30,2),0)</f>
        <v>0</v>
      </c>
      <c r="J34" s="3" t="str">
        <f aca="false">IF(C34="","",IF(G34&lt;&gt;"","Paid",IF(H34&gt;0,"Overdue","Open")))</f>
        <v/>
      </c>
      <c r="K34" s="17" t="str">
        <f aca="false">IF(C34="","",D34+I34)</f>
        <v/>
      </c>
    </row>
    <row r="35" customFormat="false" ht="15" hidden="false" customHeight="false" outlineLevel="0" collapsed="false">
      <c r="A35" s="12"/>
      <c r="B35" s="12"/>
      <c r="C35" s="13"/>
      <c r="D35" s="14"/>
      <c r="E35" s="12"/>
      <c r="F35" s="9" t="str">
        <f aca="false">IF(C35="","",C35+IF(E35="",Settings!$B$4,E35))</f>
        <v/>
      </c>
      <c r="G35" s="13"/>
      <c r="H35" s="16" t="n">
        <f aca="false">IF(OR(C35="",G35&lt;&gt;""),0,MAX(0,Settings!$B$13-F35))</f>
        <v>0</v>
      </c>
      <c r="I35" s="17" t="n">
        <f aca="false">IF(H35&gt;0,ROUND(D35*Settings!$B$5/100*H35/30,2),0)</f>
        <v>0</v>
      </c>
      <c r="J35" s="3" t="str">
        <f aca="false">IF(C35="","",IF(G35&lt;&gt;"","Paid",IF(H35&gt;0,"Overdue","Open")))</f>
        <v/>
      </c>
      <c r="K35" s="17" t="str">
        <f aca="false">IF(C35="","",D35+I35)</f>
        <v/>
      </c>
    </row>
    <row r="36" customFormat="false" ht="15" hidden="false" customHeight="false" outlineLevel="0" collapsed="false">
      <c r="A36" s="12"/>
      <c r="B36" s="12"/>
      <c r="C36" s="13"/>
      <c r="D36" s="14"/>
      <c r="E36" s="12"/>
      <c r="F36" s="9" t="str">
        <f aca="false">IF(C36="","",C36+IF(E36="",Settings!$B$4,E36))</f>
        <v/>
      </c>
      <c r="G36" s="13"/>
      <c r="H36" s="16" t="n">
        <f aca="false">IF(OR(C36="",G36&lt;&gt;""),0,MAX(0,Settings!$B$13-F36))</f>
        <v>0</v>
      </c>
      <c r="I36" s="17" t="n">
        <f aca="false">IF(H36&gt;0,ROUND(D36*Settings!$B$5/100*H36/30,2),0)</f>
        <v>0</v>
      </c>
      <c r="J36" s="3" t="str">
        <f aca="false">IF(C36="","",IF(G36&lt;&gt;"","Paid",IF(H36&gt;0,"Overdue","Open")))</f>
        <v/>
      </c>
      <c r="K36" s="17" t="str">
        <f aca="false">IF(C36="","",D36+I36)</f>
        <v/>
      </c>
    </row>
    <row r="37" customFormat="false" ht="15" hidden="false" customHeight="false" outlineLevel="0" collapsed="false">
      <c r="A37" s="12"/>
      <c r="B37" s="12"/>
      <c r="C37" s="13"/>
      <c r="D37" s="14"/>
      <c r="E37" s="12"/>
      <c r="F37" s="9" t="str">
        <f aca="false">IF(C37="","",C37+IF(E37="",Settings!$B$4,E37))</f>
        <v/>
      </c>
      <c r="G37" s="13"/>
      <c r="H37" s="16" t="n">
        <f aca="false">IF(OR(C37="",G37&lt;&gt;""),0,MAX(0,Settings!$B$13-F37))</f>
        <v>0</v>
      </c>
      <c r="I37" s="17" t="n">
        <f aca="false">IF(H37&gt;0,ROUND(D37*Settings!$B$5/100*H37/30,2),0)</f>
        <v>0</v>
      </c>
      <c r="J37" s="3" t="str">
        <f aca="false">IF(C37="","",IF(G37&lt;&gt;"","Paid",IF(H37&gt;0,"Overdue","Open")))</f>
        <v/>
      </c>
      <c r="K37" s="17" t="str">
        <f aca="false">IF(C37="","",D37+I37)</f>
        <v/>
      </c>
    </row>
    <row r="38" customFormat="false" ht="15" hidden="false" customHeight="false" outlineLevel="0" collapsed="false">
      <c r="A38" s="12"/>
      <c r="B38" s="12"/>
      <c r="C38" s="13"/>
      <c r="D38" s="14"/>
      <c r="E38" s="12"/>
      <c r="F38" s="9" t="str">
        <f aca="false">IF(C38="","",C38+IF(E38="",Settings!$B$4,E38))</f>
        <v/>
      </c>
      <c r="G38" s="13"/>
      <c r="H38" s="16" t="n">
        <f aca="false">IF(OR(C38="",G38&lt;&gt;""),0,MAX(0,Settings!$B$13-F38))</f>
        <v>0</v>
      </c>
      <c r="I38" s="17" t="n">
        <f aca="false">IF(H38&gt;0,ROUND(D38*Settings!$B$5/100*H38/30,2),0)</f>
        <v>0</v>
      </c>
      <c r="J38" s="3" t="str">
        <f aca="false">IF(C38="","",IF(G38&lt;&gt;"","Paid",IF(H38&gt;0,"Overdue","Open")))</f>
        <v/>
      </c>
      <c r="K38" s="17" t="str">
        <f aca="false">IF(C38="","",D38+I38)</f>
        <v/>
      </c>
    </row>
    <row r="39" customFormat="false" ht="15" hidden="false" customHeight="false" outlineLevel="0" collapsed="false">
      <c r="A39" s="12"/>
      <c r="B39" s="12"/>
      <c r="C39" s="13"/>
      <c r="D39" s="14"/>
      <c r="E39" s="12"/>
      <c r="F39" s="9" t="str">
        <f aca="false">IF(C39="","",C39+IF(E39="",Settings!$B$4,E39))</f>
        <v/>
      </c>
      <c r="G39" s="13"/>
      <c r="H39" s="16" t="n">
        <f aca="false">IF(OR(C39="",G39&lt;&gt;""),0,MAX(0,Settings!$B$13-F39))</f>
        <v>0</v>
      </c>
      <c r="I39" s="17" t="n">
        <f aca="false">IF(H39&gt;0,ROUND(D39*Settings!$B$5/100*H39/30,2),0)</f>
        <v>0</v>
      </c>
      <c r="J39" s="3" t="str">
        <f aca="false">IF(C39="","",IF(G39&lt;&gt;"","Paid",IF(H39&gt;0,"Overdue","Open")))</f>
        <v/>
      </c>
      <c r="K39" s="17" t="str">
        <f aca="false">IF(C39="","",D39+I39)</f>
        <v/>
      </c>
    </row>
    <row r="40" customFormat="false" ht="15" hidden="false" customHeight="false" outlineLevel="0" collapsed="false">
      <c r="A40" s="12"/>
      <c r="B40" s="12"/>
      <c r="C40" s="13"/>
      <c r="D40" s="14"/>
      <c r="E40" s="12"/>
      <c r="F40" s="9" t="str">
        <f aca="false">IF(C40="","",C40+IF(E40="",Settings!$B$4,E40))</f>
        <v/>
      </c>
      <c r="G40" s="13"/>
      <c r="H40" s="16" t="n">
        <f aca="false">IF(OR(C40="",G40&lt;&gt;""),0,MAX(0,Settings!$B$13-F40))</f>
        <v>0</v>
      </c>
      <c r="I40" s="17" t="n">
        <f aca="false">IF(H40&gt;0,ROUND(D40*Settings!$B$5/100*H40/30,2),0)</f>
        <v>0</v>
      </c>
      <c r="J40" s="3" t="str">
        <f aca="false">IF(C40="","",IF(G40&lt;&gt;"","Paid",IF(H40&gt;0,"Overdue","Open")))</f>
        <v/>
      </c>
      <c r="K40" s="17" t="str">
        <f aca="false">IF(C40="","",D40+I40)</f>
        <v/>
      </c>
    </row>
    <row r="41" customFormat="false" ht="15" hidden="false" customHeight="false" outlineLevel="0" collapsed="false">
      <c r="A41" s="12"/>
      <c r="B41" s="12"/>
      <c r="C41" s="13"/>
      <c r="D41" s="14"/>
      <c r="E41" s="12"/>
      <c r="F41" s="9" t="str">
        <f aca="false">IF(C41="","",C41+IF(E41="",Settings!$B$4,E41))</f>
        <v/>
      </c>
      <c r="G41" s="13"/>
      <c r="H41" s="16" t="n">
        <f aca="false">IF(OR(C41="",G41&lt;&gt;""),0,MAX(0,Settings!$B$13-F41))</f>
        <v>0</v>
      </c>
      <c r="I41" s="17" t="n">
        <f aca="false">IF(H41&gt;0,ROUND(D41*Settings!$B$5/100*H41/30,2),0)</f>
        <v>0</v>
      </c>
      <c r="J41" s="3" t="str">
        <f aca="false">IF(C41="","",IF(G41&lt;&gt;"","Paid",IF(H41&gt;0,"Overdue","Open")))</f>
        <v/>
      </c>
      <c r="K41" s="17" t="str">
        <f aca="false">IF(C41="","",D41+I41)</f>
        <v/>
      </c>
    </row>
    <row r="42" customFormat="false" ht="15" hidden="false" customHeight="false" outlineLevel="0" collapsed="false">
      <c r="A42" s="12"/>
      <c r="B42" s="12"/>
      <c r="C42" s="13"/>
      <c r="D42" s="14"/>
      <c r="E42" s="12"/>
      <c r="F42" s="9" t="str">
        <f aca="false">IF(C42="","",C42+IF(E42="",Settings!$B$4,E42))</f>
        <v/>
      </c>
      <c r="G42" s="13"/>
      <c r="H42" s="16" t="n">
        <f aca="false">IF(OR(C42="",G42&lt;&gt;""),0,MAX(0,Settings!$B$13-F42))</f>
        <v>0</v>
      </c>
      <c r="I42" s="17" t="n">
        <f aca="false">IF(H42&gt;0,ROUND(D42*Settings!$B$5/100*H42/30,2),0)</f>
        <v>0</v>
      </c>
      <c r="J42" s="3" t="str">
        <f aca="false">IF(C42="","",IF(G42&lt;&gt;"","Paid",IF(H42&gt;0,"Overdue","Open")))</f>
        <v/>
      </c>
      <c r="K42" s="17" t="str">
        <f aca="false">IF(C42="","",D42+I42)</f>
        <v/>
      </c>
    </row>
    <row r="43" customFormat="false" ht="15" hidden="false" customHeight="false" outlineLevel="0" collapsed="false">
      <c r="A43" s="12"/>
      <c r="B43" s="12"/>
      <c r="C43" s="13"/>
      <c r="D43" s="14"/>
      <c r="E43" s="12"/>
      <c r="F43" s="9" t="str">
        <f aca="false">IF(C43="","",C43+IF(E43="",Settings!$B$4,E43))</f>
        <v/>
      </c>
      <c r="G43" s="13"/>
      <c r="H43" s="16" t="n">
        <f aca="false">IF(OR(C43="",G43&lt;&gt;""),0,MAX(0,Settings!$B$13-F43))</f>
        <v>0</v>
      </c>
      <c r="I43" s="17" t="n">
        <f aca="false">IF(H43&gt;0,ROUND(D43*Settings!$B$5/100*H43/30,2),0)</f>
        <v>0</v>
      </c>
      <c r="J43" s="3" t="str">
        <f aca="false">IF(C43="","",IF(G43&lt;&gt;"","Paid",IF(H43&gt;0,"Overdue","Open")))</f>
        <v/>
      </c>
      <c r="K43" s="17" t="str">
        <f aca="false">IF(C43="","",D43+I43)</f>
        <v/>
      </c>
    </row>
    <row r="44" customFormat="false" ht="15" hidden="false" customHeight="false" outlineLevel="0" collapsed="false">
      <c r="A44" s="12"/>
      <c r="B44" s="12"/>
      <c r="C44" s="13"/>
      <c r="D44" s="14"/>
      <c r="E44" s="12"/>
      <c r="F44" s="9" t="str">
        <f aca="false">IF(C44="","",C44+IF(E44="",Settings!$B$4,E44))</f>
        <v/>
      </c>
      <c r="G44" s="13"/>
      <c r="H44" s="16" t="n">
        <f aca="false">IF(OR(C44="",G44&lt;&gt;""),0,MAX(0,Settings!$B$13-F44))</f>
        <v>0</v>
      </c>
      <c r="I44" s="17" t="n">
        <f aca="false">IF(H44&gt;0,ROUND(D44*Settings!$B$5/100*H44/30,2),0)</f>
        <v>0</v>
      </c>
      <c r="J44" s="3" t="str">
        <f aca="false">IF(C44="","",IF(G44&lt;&gt;"","Paid",IF(H44&gt;0,"Overdue","Open")))</f>
        <v/>
      </c>
      <c r="K44" s="17" t="str">
        <f aca="false">IF(C44="","",D44+I44)</f>
        <v/>
      </c>
    </row>
    <row r="45" customFormat="false" ht="15" hidden="false" customHeight="false" outlineLevel="0" collapsed="false">
      <c r="A45" s="12"/>
      <c r="B45" s="12"/>
      <c r="C45" s="13"/>
      <c r="D45" s="14"/>
      <c r="E45" s="12"/>
      <c r="F45" s="9" t="str">
        <f aca="false">IF(C45="","",C45+IF(E45="",Settings!$B$4,E45))</f>
        <v/>
      </c>
      <c r="G45" s="13"/>
      <c r="H45" s="16" t="n">
        <f aca="false">IF(OR(C45="",G45&lt;&gt;""),0,MAX(0,Settings!$B$13-F45))</f>
        <v>0</v>
      </c>
      <c r="I45" s="17" t="n">
        <f aca="false">IF(H45&gt;0,ROUND(D45*Settings!$B$5/100*H45/30,2),0)</f>
        <v>0</v>
      </c>
      <c r="J45" s="3" t="str">
        <f aca="false">IF(C45="","",IF(G45&lt;&gt;"","Paid",IF(H45&gt;0,"Overdue","Open")))</f>
        <v/>
      </c>
      <c r="K45" s="17" t="str">
        <f aca="false">IF(C45="","",D45+I45)</f>
        <v/>
      </c>
    </row>
    <row r="46" customFormat="false" ht="15" hidden="false" customHeight="false" outlineLevel="0" collapsed="false">
      <c r="A46" s="12"/>
      <c r="B46" s="12"/>
      <c r="C46" s="13"/>
      <c r="D46" s="14"/>
      <c r="E46" s="12"/>
      <c r="F46" s="9" t="str">
        <f aca="false">IF(C46="","",C46+IF(E46="",Settings!$B$4,E46))</f>
        <v/>
      </c>
      <c r="G46" s="13"/>
      <c r="H46" s="16" t="n">
        <f aca="false">IF(OR(C46="",G46&lt;&gt;""),0,MAX(0,Settings!$B$13-F46))</f>
        <v>0</v>
      </c>
      <c r="I46" s="17" t="n">
        <f aca="false">IF(H46&gt;0,ROUND(D46*Settings!$B$5/100*H46/30,2),0)</f>
        <v>0</v>
      </c>
      <c r="J46" s="3" t="str">
        <f aca="false">IF(C46="","",IF(G46&lt;&gt;"","Paid",IF(H46&gt;0,"Overdue","Open")))</f>
        <v/>
      </c>
      <c r="K46" s="17" t="str">
        <f aca="false">IF(C46="","",D46+I46)</f>
        <v/>
      </c>
    </row>
    <row r="47" customFormat="false" ht="15" hidden="false" customHeight="false" outlineLevel="0" collapsed="false">
      <c r="A47" s="12"/>
      <c r="B47" s="12"/>
      <c r="C47" s="13"/>
      <c r="D47" s="14"/>
      <c r="E47" s="12"/>
      <c r="F47" s="9" t="str">
        <f aca="false">IF(C47="","",C47+IF(E47="",Settings!$B$4,E47))</f>
        <v/>
      </c>
      <c r="G47" s="13"/>
      <c r="H47" s="16" t="n">
        <f aca="false">IF(OR(C47="",G47&lt;&gt;""),0,MAX(0,Settings!$B$13-F47))</f>
        <v>0</v>
      </c>
      <c r="I47" s="17" t="n">
        <f aca="false">IF(H47&gt;0,ROUND(D47*Settings!$B$5/100*H47/30,2),0)</f>
        <v>0</v>
      </c>
      <c r="J47" s="3" t="str">
        <f aca="false">IF(C47="","",IF(G47&lt;&gt;"","Paid",IF(H47&gt;0,"Overdue","Open")))</f>
        <v/>
      </c>
      <c r="K47" s="17" t="str">
        <f aca="false">IF(C47="","",D47+I47)</f>
        <v/>
      </c>
    </row>
    <row r="48" customFormat="false" ht="15" hidden="false" customHeight="false" outlineLevel="0" collapsed="false">
      <c r="A48" s="12"/>
      <c r="B48" s="12"/>
      <c r="C48" s="13"/>
      <c r="D48" s="14"/>
      <c r="E48" s="12"/>
      <c r="F48" s="9" t="str">
        <f aca="false">IF(C48="","",C48+IF(E48="",Settings!$B$4,E48))</f>
        <v/>
      </c>
      <c r="G48" s="13"/>
      <c r="H48" s="16" t="n">
        <f aca="false">IF(OR(C48="",G48&lt;&gt;""),0,MAX(0,Settings!$B$13-F48))</f>
        <v>0</v>
      </c>
      <c r="I48" s="17" t="n">
        <f aca="false">IF(H48&gt;0,ROUND(D48*Settings!$B$5/100*H48/30,2),0)</f>
        <v>0</v>
      </c>
      <c r="J48" s="3" t="str">
        <f aca="false">IF(C48="","",IF(G48&lt;&gt;"","Paid",IF(H48&gt;0,"Overdue","Open")))</f>
        <v/>
      </c>
      <c r="K48" s="17" t="str">
        <f aca="false">IF(C48="","",D48+I48)</f>
        <v/>
      </c>
    </row>
    <row r="49" customFormat="false" ht="15" hidden="false" customHeight="false" outlineLevel="0" collapsed="false">
      <c r="A49" s="12"/>
      <c r="B49" s="12"/>
      <c r="C49" s="13"/>
      <c r="D49" s="14"/>
      <c r="E49" s="12"/>
      <c r="F49" s="9" t="str">
        <f aca="false">IF(C49="","",C49+IF(E49="",Settings!$B$4,E49))</f>
        <v/>
      </c>
      <c r="G49" s="13"/>
      <c r="H49" s="16" t="n">
        <f aca="false">IF(OR(C49="",G49&lt;&gt;""),0,MAX(0,Settings!$B$13-F49))</f>
        <v>0</v>
      </c>
      <c r="I49" s="17" t="n">
        <f aca="false">IF(H49&gt;0,ROUND(D49*Settings!$B$5/100*H49/30,2),0)</f>
        <v>0</v>
      </c>
      <c r="J49" s="3" t="str">
        <f aca="false">IF(C49="","",IF(G49&lt;&gt;"","Paid",IF(H49&gt;0,"Overdue","Open")))</f>
        <v/>
      </c>
      <c r="K49" s="17" t="str">
        <f aca="false">IF(C49="","",D49+I49)</f>
        <v/>
      </c>
    </row>
    <row r="50" customFormat="false" ht="15" hidden="false" customHeight="false" outlineLevel="0" collapsed="false">
      <c r="A50" s="12"/>
      <c r="B50" s="12"/>
      <c r="C50" s="13"/>
      <c r="D50" s="14"/>
      <c r="E50" s="12"/>
      <c r="F50" s="9" t="str">
        <f aca="false">IF(C50="","",C50+IF(E50="",Settings!$B$4,E50))</f>
        <v/>
      </c>
      <c r="G50" s="13"/>
      <c r="H50" s="16" t="n">
        <f aca="false">IF(OR(C50="",G50&lt;&gt;""),0,MAX(0,Settings!$B$13-F50))</f>
        <v>0</v>
      </c>
      <c r="I50" s="17" t="n">
        <f aca="false">IF(H50&gt;0,ROUND(D50*Settings!$B$5/100*H50/30,2),0)</f>
        <v>0</v>
      </c>
      <c r="J50" s="3" t="str">
        <f aca="false">IF(C50="","",IF(G50&lt;&gt;"","Paid",IF(H50&gt;0,"Overdue","Open")))</f>
        <v/>
      </c>
      <c r="K50" s="17" t="str">
        <f aca="false">IF(C50="","",D50+I50)</f>
        <v/>
      </c>
    </row>
    <row r="51" customFormat="false" ht="15" hidden="false" customHeight="false" outlineLevel="0" collapsed="false">
      <c r="A51" s="12"/>
      <c r="B51" s="12"/>
      <c r="C51" s="13"/>
      <c r="D51" s="14"/>
      <c r="E51" s="12"/>
      <c r="F51" s="9" t="str">
        <f aca="false">IF(C51="","",C51+IF(E51="",Settings!$B$4,E51))</f>
        <v/>
      </c>
      <c r="G51" s="13"/>
      <c r="H51" s="16" t="n">
        <f aca="false">IF(OR(C51="",G51&lt;&gt;""),0,MAX(0,Settings!$B$13-F51))</f>
        <v>0</v>
      </c>
      <c r="I51" s="17" t="n">
        <f aca="false">IF(H51&gt;0,ROUND(D51*Settings!$B$5/100*H51/30,2),0)</f>
        <v>0</v>
      </c>
      <c r="J51" s="3" t="str">
        <f aca="false">IF(C51="","",IF(G51&lt;&gt;"","Paid",IF(H51&gt;0,"Overdue","Open")))</f>
        <v/>
      </c>
      <c r="K51" s="17" t="str">
        <f aca="false">IF(C51="","",D51+I51)</f>
        <v/>
      </c>
    </row>
    <row r="52" customFormat="false" ht="15" hidden="false" customHeight="false" outlineLevel="0" collapsed="false">
      <c r="A52" s="12"/>
      <c r="B52" s="12"/>
      <c r="C52" s="13"/>
      <c r="D52" s="14"/>
      <c r="E52" s="12"/>
      <c r="F52" s="9" t="str">
        <f aca="false">IF(C52="","",C52+IF(E52="",Settings!$B$4,E52))</f>
        <v/>
      </c>
      <c r="G52" s="13"/>
      <c r="H52" s="16" t="n">
        <f aca="false">IF(OR(C52="",G52&lt;&gt;""),0,MAX(0,Settings!$B$13-F52))</f>
        <v>0</v>
      </c>
      <c r="I52" s="17" t="n">
        <f aca="false">IF(H52&gt;0,ROUND(D52*Settings!$B$5/100*H52/30,2),0)</f>
        <v>0</v>
      </c>
      <c r="J52" s="3" t="str">
        <f aca="false">IF(C52="","",IF(G52&lt;&gt;"","Paid",IF(H52&gt;0,"Overdue","Open")))</f>
        <v/>
      </c>
      <c r="K52" s="17" t="str">
        <f aca="false">IF(C52="","",D52+I52)</f>
        <v/>
      </c>
    </row>
    <row r="53" customFormat="false" ht="15" hidden="false" customHeight="false" outlineLevel="0" collapsed="false">
      <c r="A53" s="12"/>
      <c r="B53" s="12"/>
      <c r="C53" s="13"/>
      <c r="D53" s="14"/>
      <c r="E53" s="12"/>
      <c r="F53" s="9" t="str">
        <f aca="false">IF(C53="","",C53+IF(E53="",Settings!$B$4,E53))</f>
        <v/>
      </c>
      <c r="G53" s="13"/>
      <c r="H53" s="16" t="n">
        <f aca="false">IF(OR(C53="",G53&lt;&gt;""),0,MAX(0,Settings!$B$13-F53))</f>
        <v>0</v>
      </c>
      <c r="I53" s="17" t="n">
        <f aca="false">IF(H53&gt;0,ROUND(D53*Settings!$B$5/100*H53/30,2),0)</f>
        <v>0</v>
      </c>
      <c r="J53" s="3" t="str">
        <f aca="false">IF(C53="","",IF(G53&lt;&gt;"","Paid",IF(H53&gt;0,"Overdue","Open")))</f>
        <v/>
      </c>
      <c r="K53" s="17" t="str">
        <f aca="false">IF(C53="","",D53+I53)</f>
        <v/>
      </c>
    </row>
    <row r="54" customFormat="false" ht="15" hidden="false" customHeight="false" outlineLevel="0" collapsed="false">
      <c r="A54" s="12"/>
      <c r="B54" s="12"/>
      <c r="C54" s="13"/>
      <c r="D54" s="14"/>
      <c r="E54" s="12"/>
      <c r="F54" s="9" t="str">
        <f aca="false">IF(C54="","",C54+IF(E54="",Settings!$B$4,E54))</f>
        <v/>
      </c>
      <c r="G54" s="13"/>
      <c r="H54" s="16" t="n">
        <f aca="false">IF(OR(C54="",G54&lt;&gt;""),0,MAX(0,Settings!$B$13-F54))</f>
        <v>0</v>
      </c>
      <c r="I54" s="17" t="n">
        <f aca="false">IF(H54&gt;0,ROUND(D54*Settings!$B$5/100*H54/30,2),0)</f>
        <v>0</v>
      </c>
      <c r="J54" s="3" t="str">
        <f aca="false">IF(C54="","",IF(G54&lt;&gt;"","Paid",IF(H54&gt;0,"Overdue","Open")))</f>
        <v/>
      </c>
      <c r="K54" s="17" t="str">
        <f aca="false">IF(C54="","",D54+I54)</f>
        <v/>
      </c>
    </row>
    <row r="55" customFormat="false" ht="15" hidden="false" customHeight="false" outlineLevel="0" collapsed="false">
      <c r="A55" s="12"/>
      <c r="B55" s="12"/>
      <c r="C55" s="13"/>
      <c r="D55" s="14"/>
      <c r="E55" s="12"/>
      <c r="F55" s="9" t="str">
        <f aca="false">IF(C55="","",C55+IF(E55="",Settings!$B$4,E55))</f>
        <v/>
      </c>
      <c r="G55" s="13"/>
      <c r="H55" s="16" t="n">
        <f aca="false">IF(OR(C55="",G55&lt;&gt;""),0,MAX(0,Settings!$B$13-F55))</f>
        <v>0</v>
      </c>
      <c r="I55" s="17" t="n">
        <f aca="false">IF(H55&gt;0,ROUND(D55*Settings!$B$5/100*H55/30,2),0)</f>
        <v>0</v>
      </c>
      <c r="J55" s="3" t="str">
        <f aca="false">IF(C55="","",IF(G55&lt;&gt;"","Paid",IF(H55&gt;0,"Overdue","Open")))</f>
        <v/>
      </c>
      <c r="K55" s="17" t="str">
        <f aca="false">IF(C55="","",D55+I55)</f>
        <v/>
      </c>
    </row>
    <row r="56" customFormat="false" ht="15" hidden="false" customHeight="false" outlineLevel="0" collapsed="false">
      <c r="A56" s="12"/>
      <c r="B56" s="12"/>
      <c r="C56" s="13"/>
      <c r="D56" s="14"/>
      <c r="E56" s="12"/>
      <c r="F56" s="9" t="str">
        <f aca="false">IF(C56="","",C56+IF(E56="",Settings!$B$4,E56))</f>
        <v/>
      </c>
      <c r="G56" s="13"/>
      <c r="H56" s="16" t="n">
        <f aca="false">IF(OR(C56="",G56&lt;&gt;""),0,MAX(0,Settings!$B$13-F56))</f>
        <v>0</v>
      </c>
      <c r="I56" s="17" t="n">
        <f aca="false">IF(H56&gt;0,ROUND(D56*Settings!$B$5/100*H56/30,2),0)</f>
        <v>0</v>
      </c>
      <c r="J56" s="3" t="str">
        <f aca="false">IF(C56="","",IF(G56&lt;&gt;"","Paid",IF(H56&gt;0,"Overdue","Open")))</f>
        <v/>
      </c>
      <c r="K56" s="17" t="str">
        <f aca="false">IF(C56="","",D56+I56)</f>
        <v/>
      </c>
    </row>
    <row r="57" customFormat="false" ht="15" hidden="false" customHeight="false" outlineLevel="0" collapsed="false">
      <c r="A57" s="12"/>
      <c r="B57" s="12"/>
      <c r="C57" s="13"/>
      <c r="D57" s="14"/>
      <c r="E57" s="12"/>
      <c r="F57" s="9" t="str">
        <f aca="false">IF(C57="","",C57+IF(E57="",Settings!$B$4,E57))</f>
        <v/>
      </c>
      <c r="G57" s="13"/>
      <c r="H57" s="16" t="n">
        <f aca="false">IF(OR(C57="",G57&lt;&gt;""),0,MAX(0,Settings!$B$13-F57))</f>
        <v>0</v>
      </c>
      <c r="I57" s="17" t="n">
        <f aca="false">IF(H57&gt;0,ROUND(D57*Settings!$B$5/100*H57/30,2),0)</f>
        <v>0</v>
      </c>
      <c r="J57" s="3" t="str">
        <f aca="false">IF(C57="","",IF(G57&lt;&gt;"","Paid",IF(H57&gt;0,"Overdue","Open")))</f>
        <v/>
      </c>
      <c r="K57" s="17" t="str">
        <f aca="false">IF(C57="","",D57+I57)</f>
        <v/>
      </c>
    </row>
    <row r="58" customFormat="false" ht="15" hidden="false" customHeight="false" outlineLevel="0" collapsed="false">
      <c r="A58" s="12"/>
      <c r="B58" s="12"/>
      <c r="C58" s="13"/>
      <c r="D58" s="14"/>
      <c r="E58" s="12"/>
      <c r="F58" s="9" t="str">
        <f aca="false">IF(C58="","",C58+IF(E58="",Settings!$B$4,E58))</f>
        <v/>
      </c>
      <c r="G58" s="13"/>
      <c r="H58" s="16" t="n">
        <f aca="false">IF(OR(C58="",G58&lt;&gt;""),0,MAX(0,Settings!$B$13-F58))</f>
        <v>0</v>
      </c>
      <c r="I58" s="17" t="n">
        <f aca="false">IF(H58&gt;0,ROUND(D58*Settings!$B$5/100*H58/30,2),0)</f>
        <v>0</v>
      </c>
      <c r="J58" s="3" t="str">
        <f aca="false">IF(C58="","",IF(G58&lt;&gt;"","Paid",IF(H58&gt;0,"Overdue","Open")))</f>
        <v/>
      </c>
      <c r="K58" s="17" t="str">
        <f aca="false">IF(C58="","",D58+I58)</f>
        <v/>
      </c>
    </row>
    <row r="59" customFormat="false" ht="15" hidden="false" customHeight="false" outlineLevel="0" collapsed="false">
      <c r="A59" s="12"/>
      <c r="B59" s="12"/>
      <c r="C59" s="13"/>
      <c r="D59" s="14"/>
      <c r="E59" s="12"/>
      <c r="F59" s="9" t="str">
        <f aca="false">IF(C59="","",C59+IF(E59="",Settings!$B$4,E59))</f>
        <v/>
      </c>
      <c r="G59" s="13"/>
      <c r="H59" s="16" t="n">
        <f aca="false">IF(OR(C59="",G59&lt;&gt;""),0,MAX(0,Settings!$B$13-F59))</f>
        <v>0</v>
      </c>
      <c r="I59" s="17" t="n">
        <f aca="false">IF(H59&gt;0,ROUND(D59*Settings!$B$5/100*H59/30,2),0)</f>
        <v>0</v>
      </c>
      <c r="J59" s="3" t="str">
        <f aca="false">IF(C59="","",IF(G59&lt;&gt;"","Paid",IF(H59&gt;0,"Overdue","Open")))</f>
        <v/>
      </c>
      <c r="K59" s="17" t="str">
        <f aca="false">IF(C59="","",D59+I59)</f>
        <v/>
      </c>
    </row>
    <row r="60" customFormat="false" ht="15" hidden="false" customHeight="false" outlineLevel="0" collapsed="false">
      <c r="A60" s="12"/>
      <c r="B60" s="12"/>
      <c r="C60" s="13"/>
      <c r="D60" s="14"/>
      <c r="E60" s="12"/>
      <c r="F60" s="9" t="str">
        <f aca="false">IF(C60="","",C60+IF(E60="",Settings!$B$4,E60))</f>
        <v/>
      </c>
      <c r="G60" s="13"/>
      <c r="H60" s="16" t="n">
        <f aca="false">IF(OR(C60="",G60&lt;&gt;""),0,MAX(0,Settings!$B$13-F60))</f>
        <v>0</v>
      </c>
      <c r="I60" s="17" t="n">
        <f aca="false">IF(H60&gt;0,ROUND(D60*Settings!$B$5/100*H60/30,2),0)</f>
        <v>0</v>
      </c>
      <c r="J60" s="3" t="str">
        <f aca="false">IF(C60="","",IF(G60&lt;&gt;"","Paid",IF(H60&gt;0,"Overdue","Open")))</f>
        <v/>
      </c>
      <c r="K60" s="17" t="str">
        <f aca="false">IF(C60="","",D60+I60)</f>
        <v/>
      </c>
    </row>
    <row r="61" customFormat="false" ht="15" hidden="false" customHeight="false" outlineLevel="0" collapsed="false">
      <c r="A61" s="12"/>
      <c r="B61" s="12"/>
      <c r="C61" s="13"/>
      <c r="D61" s="14"/>
      <c r="E61" s="12"/>
      <c r="F61" s="9" t="str">
        <f aca="false">IF(C61="","",C61+IF(E61="",Settings!$B$4,E61))</f>
        <v/>
      </c>
      <c r="G61" s="13"/>
      <c r="H61" s="16" t="n">
        <f aca="false">IF(OR(C61="",G61&lt;&gt;""),0,MAX(0,Settings!$B$13-F61))</f>
        <v>0</v>
      </c>
      <c r="I61" s="17" t="n">
        <f aca="false">IF(H61&gt;0,ROUND(D61*Settings!$B$5/100*H61/30,2),0)</f>
        <v>0</v>
      </c>
      <c r="J61" s="3" t="str">
        <f aca="false">IF(C61="","",IF(G61&lt;&gt;"","Paid",IF(H61&gt;0,"Overdue","Open")))</f>
        <v/>
      </c>
      <c r="K61" s="17" t="str">
        <f aca="false">IF(C61="","",D61+I61)</f>
        <v/>
      </c>
    </row>
    <row r="62" customFormat="false" ht="15" hidden="false" customHeight="false" outlineLevel="0" collapsed="false">
      <c r="A62" s="12"/>
      <c r="B62" s="12"/>
      <c r="C62" s="13"/>
      <c r="D62" s="14"/>
      <c r="E62" s="12"/>
      <c r="F62" s="9" t="str">
        <f aca="false">IF(C62="","",C62+IF(E62="",Settings!$B$4,E62))</f>
        <v/>
      </c>
      <c r="G62" s="13"/>
      <c r="H62" s="16" t="n">
        <f aca="false">IF(OR(C62="",G62&lt;&gt;""),0,MAX(0,Settings!$B$13-F62))</f>
        <v>0</v>
      </c>
      <c r="I62" s="17" t="n">
        <f aca="false">IF(H62&gt;0,ROUND(D62*Settings!$B$5/100*H62/30,2),0)</f>
        <v>0</v>
      </c>
      <c r="J62" s="3" t="str">
        <f aca="false">IF(C62="","",IF(G62&lt;&gt;"","Paid",IF(H62&gt;0,"Overdue","Open")))</f>
        <v/>
      </c>
      <c r="K62" s="17" t="str">
        <f aca="false">IF(C62="","",D62+I62)</f>
        <v/>
      </c>
    </row>
    <row r="63" customFormat="false" ht="15" hidden="false" customHeight="false" outlineLevel="0" collapsed="false">
      <c r="A63" s="12"/>
      <c r="B63" s="12"/>
      <c r="C63" s="13"/>
      <c r="D63" s="14"/>
      <c r="E63" s="12"/>
      <c r="F63" s="9" t="str">
        <f aca="false">IF(C63="","",C63+IF(E63="",Settings!$B$4,E63))</f>
        <v/>
      </c>
      <c r="G63" s="13"/>
      <c r="H63" s="16" t="n">
        <f aca="false">IF(OR(C63="",G63&lt;&gt;""),0,MAX(0,Settings!$B$13-F63))</f>
        <v>0</v>
      </c>
      <c r="I63" s="17" t="n">
        <f aca="false">IF(H63&gt;0,ROUND(D63*Settings!$B$5/100*H63/30,2),0)</f>
        <v>0</v>
      </c>
      <c r="J63" s="3" t="str">
        <f aca="false">IF(C63="","",IF(G63&lt;&gt;"","Paid",IF(H63&gt;0,"Overdue","Open")))</f>
        <v/>
      </c>
      <c r="K63" s="17" t="str">
        <f aca="false">IF(C63="","",D63+I63)</f>
        <v/>
      </c>
    </row>
    <row r="64" customFormat="false" ht="15" hidden="false" customHeight="false" outlineLevel="0" collapsed="false">
      <c r="A64" s="12"/>
      <c r="B64" s="12"/>
      <c r="C64" s="13"/>
      <c r="D64" s="14"/>
      <c r="E64" s="12"/>
      <c r="F64" s="9" t="str">
        <f aca="false">IF(C64="","",C64+IF(E64="",Settings!$B$4,E64))</f>
        <v/>
      </c>
      <c r="G64" s="13"/>
      <c r="H64" s="16" t="n">
        <f aca="false">IF(OR(C64="",G64&lt;&gt;""),0,MAX(0,Settings!$B$13-F64))</f>
        <v>0</v>
      </c>
      <c r="I64" s="17" t="n">
        <f aca="false">IF(H64&gt;0,ROUND(D64*Settings!$B$5/100*H64/30,2),0)</f>
        <v>0</v>
      </c>
      <c r="J64" s="3" t="str">
        <f aca="false">IF(C64="","",IF(G64&lt;&gt;"","Paid",IF(H64&gt;0,"Overdue","Open")))</f>
        <v/>
      </c>
      <c r="K64" s="17" t="str">
        <f aca="false">IF(C64="","",D64+I64)</f>
        <v/>
      </c>
    </row>
    <row r="65" customFormat="false" ht="15" hidden="false" customHeight="false" outlineLevel="0" collapsed="false">
      <c r="A65" s="12"/>
      <c r="B65" s="12"/>
      <c r="C65" s="13"/>
      <c r="D65" s="14"/>
      <c r="E65" s="12"/>
      <c r="F65" s="9" t="str">
        <f aca="false">IF(C65="","",C65+IF(E65="",Settings!$B$4,E65))</f>
        <v/>
      </c>
      <c r="G65" s="13"/>
      <c r="H65" s="16" t="n">
        <f aca="false">IF(OR(C65="",G65&lt;&gt;""),0,MAX(0,Settings!$B$13-F65))</f>
        <v>0</v>
      </c>
      <c r="I65" s="17" t="n">
        <f aca="false">IF(H65&gt;0,ROUND(D65*Settings!$B$5/100*H65/30,2),0)</f>
        <v>0</v>
      </c>
      <c r="J65" s="3" t="str">
        <f aca="false">IF(C65="","",IF(G65&lt;&gt;"","Paid",IF(H65&gt;0,"Overdue","Open")))</f>
        <v/>
      </c>
      <c r="K65" s="17" t="str">
        <f aca="false">IF(C65="","",D65+I65)</f>
        <v/>
      </c>
    </row>
    <row r="66" customFormat="false" ht="15" hidden="false" customHeight="false" outlineLevel="0" collapsed="false">
      <c r="A66" s="12"/>
      <c r="B66" s="12"/>
      <c r="C66" s="13"/>
      <c r="D66" s="14"/>
      <c r="E66" s="12"/>
      <c r="F66" s="9" t="str">
        <f aca="false">IF(C66="","",C66+IF(E66="",Settings!$B$4,E66))</f>
        <v/>
      </c>
      <c r="G66" s="13"/>
      <c r="H66" s="16" t="n">
        <f aca="false">IF(OR(C66="",G66&lt;&gt;""),0,MAX(0,Settings!$B$13-F66))</f>
        <v>0</v>
      </c>
      <c r="I66" s="17" t="n">
        <f aca="false">IF(H66&gt;0,ROUND(D66*Settings!$B$5/100*H66/30,2),0)</f>
        <v>0</v>
      </c>
      <c r="J66" s="3" t="str">
        <f aca="false">IF(C66="","",IF(G66&lt;&gt;"","Paid",IF(H66&gt;0,"Overdue","Open")))</f>
        <v/>
      </c>
      <c r="K66" s="17" t="str">
        <f aca="false">IF(C66="","",D66+I66)</f>
        <v/>
      </c>
    </row>
    <row r="67" customFormat="false" ht="15" hidden="false" customHeight="false" outlineLevel="0" collapsed="false">
      <c r="A67" s="12"/>
      <c r="B67" s="12"/>
      <c r="C67" s="13"/>
      <c r="D67" s="14"/>
      <c r="E67" s="12"/>
      <c r="F67" s="9" t="str">
        <f aca="false">IF(C67="","",C67+IF(E67="",Settings!$B$4,E67))</f>
        <v/>
      </c>
      <c r="G67" s="13"/>
      <c r="H67" s="16" t="n">
        <f aca="false">IF(OR(C67="",G67&lt;&gt;""),0,MAX(0,Settings!$B$13-F67))</f>
        <v>0</v>
      </c>
      <c r="I67" s="17" t="n">
        <f aca="false">IF(H67&gt;0,ROUND(D67*Settings!$B$5/100*H67/30,2),0)</f>
        <v>0</v>
      </c>
      <c r="J67" s="3" t="str">
        <f aca="false">IF(C67="","",IF(G67&lt;&gt;"","Paid",IF(H67&gt;0,"Overdue","Open")))</f>
        <v/>
      </c>
      <c r="K67" s="17" t="str">
        <f aca="false">IF(C67="","",D67+I67)</f>
        <v/>
      </c>
    </row>
    <row r="68" customFormat="false" ht="15" hidden="false" customHeight="false" outlineLevel="0" collapsed="false">
      <c r="A68" s="12"/>
      <c r="B68" s="12"/>
      <c r="C68" s="13"/>
      <c r="D68" s="14"/>
      <c r="E68" s="12"/>
      <c r="F68" s="9" t="str">
        <f aca="false">IF(C68="","",C68+IF(E68="",Settings!$B$4,E68))</f>
        <v/>
      </c>
      <c r="G68" s="13"/>
      <c r="H68" s="16" t="n">
        <f aca="false">IF(OR(C68="",G68&lt;&gt;""),0,MAX(0,Settings!$B$13-F68))</f>
        <v>0</v>
      </c>
      <c r="I68" s="17" t="n">
        <f aca="false">IF(H68&gt;0,ROUND(D68*Settings!$B$5/100*H68/30,2),0)</f>
        <v>0</v>
      </c>
      <c r="J68" s="3" t="str">
        <f aca="false">IF(C68="","",IF(G68&lt;&gt;"","Paid",IF(H68&gt;0,"Overdue","Open")))</f>
        <v/>
      </c>
      <c r="K68" s="17" t="str">
        <f aca="false">IF(C68="","",D68+I68)</f>
        <v/>
      </c>
    </row>
    <row r="69" customFormat="false" ht="15" hidden="false" customHeight="false" outlineLevel="0" collapsed="false">
      <c r="A69" s="12"/>
      <c r="B69" s="12"/>
      <c r="C69" s="13"/>
      <c r="D69" s="14"/>
      <c r="E69" s="12"/>
      <c r="F69" s="9" t="str">
        <f aca="false">IF(C69="","",C69+IF(E69="",Settings!$B$4,E69))</f>
        <v/>
      </c>
      <c r="G69" s="13"/>
      <c r="H69" s="16" t="n">
        <f aca="false">IF(OR(C69="",G69&lt;&gt;""),0,MAX(0,Settings!$B$13-F69))</f>
        <v>0</v>
      </c>
      <c r="I69" s="17" t="n">
        <f aca="false">IF(H69&gt;0,ROUND(D69*Settings!$B$5/100*H69/30,2),0)</f>
        <v>0</v>
      </c>
      <c r="J69" s="3" t="str">
        <f aca="false">IF(C69="","",IF(G69&lt;&gt;"","Paid",IF(H69&gt;0,"Overdue","Open")))</f>
        <v/>
      </c>
      <c r="K69" s="17" t="str">
        <f aca="false">IF(C69="","",D69+I69)</f>
        <v/>
      </c>
    </row>
    <row r="70" customFormat="false" ht="15" hidden="false" customHeight="false" outlineLevel="0" collapsed="false">
      <c r="A70" s="12"/>
      <c r="B70" s="12"/>
      <c r="C70" s="13"/>
      <c r="D70" s="14"/>
      <c r="E70" s="12"/>
      <c r="F70" s="9" t="str">
        <f aca="false">IF(C70="","",C70+IF(E70="",Settings!$B$4,E70))</f>
        <v/>
      </c>
      <c r="G70" s="13"/>
      <c r="H70" s="16" t="n">
        <f aca="false">IF(OR(C70="",G70&lt;&gt;""),0,MAX(0,Settings!$B$13-F70))</f>
        <v>0</v>
      </c>
      <c r="I70" s="17" t="n">
        <f aca="false">IF(H70&gt;0,ROUND(D70*Settings!$B$5/100*H70/30,2),0)</f>
        <v>0</v>
      </c>
      <c r="J70" s="3" t="str">
        <f aca="false">IF(C70="","",IF(G70&lt;&gt;"","Paid",IF(H70&gt;0,"Overdue","Open")))</f>
        <v/>
      </c>
      <c r="K70" s="17" t="str">
        <f aca="false">IF(C70="","",D70+I70)</f>
        <v/>
      </c>
    </row>
    <row r="71" customFormat="false" ht="15" hidden="false" customHeight="false" outlineLevel="0" collapsed="false">
      <c r="A71" s="12"/>
      <c r="B71" s="12"/>
      <c r="C71" s="13"/>
      <c r="D71" s="14"/>
      <c r="E71" s="12"/>
      <c r="F71" s="9" t="str">
        <f aca="false">IF(C71="","",C71+IF(E71="",Settings!$B$4,E71))</f>
        <v/>
      </c>
      <c r="G71" s="13"/>
      <c r="H71" s="16" t="n">
        <f aca="false">IF(OR(C71="",G71&lt;&gt;""),0,MAX(0,Settings!$B$13-F71))</f>
        <v>0</v>
      </c>
      <c r="I71" s="17" t="n">
        <f aca="false">IF(H71&gt;0,ROUND(D71*Settings!$B$5/100*H71/30,2),0)</f>
        <v>0</v>
      </c>
      <c r="J71" s="3" t="str">
        <f aca="false">IF(C71="","",IF(G71&lt;&gt;"","Paid",IF(H71&gt;0,"Overdue","Open")))</f>
        <v/>
      </c>
      <c r="K71" s="17" t="str">
        <f aca="false">IF(C71="","",D71+I71)</f>
        <v/>
      </c>
    </row>
    <row r="72" customFormat="false" ht="15" hidden="false" customHeight="false" outlineLevel="0" collapsed="false">
      <c r="A72" s="12"/>
      <c r="B72" s="12"/>
      <c r="C72" s="13"/>
      <c r="D72" s="14"/>
      <c r="E72" s="12"/>
      <c r="F72" s="9" t="str">
        <f aca="false">IF(C72="","",C72+IF(E72="",Settings!$B$4,E72))</f>
        <v/>
      </c>
      <c r="G72" s="13"/>
      <c r="H72" s="16" t="n">
        <f aca="false">IF(OR(C72="",G72&lt;&gt;""),0,MAX(0,Settings!$B$13-F72))</f>
        <v>0</v>
      </c>
      <c r="I72" s="17" t="n">
        <f aca="false">IF(H72&gt;0,ROUND(D72*Settings!$B$5/100*H72/30,2),0)</f>
        <v>0</v>
      </c>
      <c r="J72" s="3" t="str">
        <f aca="false">IF(C72="","",IF(G72&lt;&gt;"","Paid",IF(H72&gt;0,"Overdue","Open")))</f>
        <v/>
      </c>
      <c r="K72" s="17" t="str">
        <f aca="false">IF(C72="","",D72+I72)</f>
        <v/>
      </c>
    </row>
    <row r="73" customFormat="false" ht="15" hidden="false" customHeight="false" outlineLevel="0" collapsed="false">
      <c r="A73" s="12"/>
      <c r="B73" s="12"/>
      <c r="C73" s="13"/>
      <c r="D73" s="14"/>
      <c r="E73" s="12"/>
      <c r="F73" s="9" t="str">
        <f aca="false">IF(C73="","",C73+IF(E73="",Settings!$B$4,E73))</f>
        <v/>
      </c>
      <c r="G73" s="13"/>
      <c r="H73" s="16" t="n">
        <f aca="false">IF(OR(C73="",G73&lt;&gt;""),0,MAX(0,Settings!$B$13-F73))</f>
        <v>0</v>
      </c>
      <c r="I73" s="17" t="n">
        <f aca="false">IF(H73&gt;0,ROUND(D73*Settings!$B$5/100*H73/30,2),0)</f>
        <v>0</v>
      </c>
      <c r="J73" s="3" t="str">
        <f aca="false">IF(C73="","",IF(G73&lt;&gt;"","Paid",IF(H73&gt;0,"Overdue","Open")))</f>
        <v/>
      </c>
      <c r="K73" s="17" t="str">
        <f aca="false">IF(C73="","",D73+I73)</f>
        <v/>
      </c>
    </row>
    <row r="74" customFormat="false" ht="15" hidden="false" customHeight="false" outlineLevel="0" collapsed="false">
      <c r="A74" s="12"/>
      <c r="B74" s="12"/>
      <c r="C74" s="13"/>
      <c r="D74" s="14"/>
      <c r="E74" s="12"/>
      <c r="F74" s="9" t="str">
        <f aca="false">IF(C74="","",C74+IF(E74="",Settings!$B$4,E74))</f>
        <v/>
      </c>
      <c r="G74" s="13"/>
      <c r="H74" s="16" t="n">
        <f aca="false">IF(OR(C74="",G74&lt;&gt;""),0,MAX(0,Settings!$B$13-F74))</f>
        <v>0</v>
      </c>
      <c r="I74" s="17" t="n">
        <f aca="false">IF(H74&gt;0,ROUND(D74*Settings!$B$5/100*H74/30,2),0)</f>
        <v>0</v>
      </c>
      <c r="J74" s="3" t="str">
        <f aca="false">IF(C74="","",IF(G74&lt;&gt;"","Paid",IF(H74&gt;0,"Overdue","Open")))</f>
        <v/>
      </c>
      <c r="K74" s="17" t="str">
        <f aca="false">IF(C74="","",D74+I74)</f>
        <v/>
      </c>
    </row>
    <row r="75" customFormat="false" ht="15" hidden="false" customHeight="false" outlineLevel="0" collapsed="false">
      <c r="A75" s="12"/>
      <c r="B75" s="12"/>
      <c r="C75" s="13"/>
      <c r="D75" s="14"/>
      <c r="E75" s="12"/>
      <c r="F75" s="9" t="str">
        <f aca="false">IF(C75="","",C75+IF(E75="",Settings!$B$4,E75))</f>
        <v/>
      </c>
      <c r="G75" s="13"/>
      <c r="H75" s="16" t="n">
        <f aca="false">IF(OR(C75="",G75&lt;&gt;""),0,MAX(0,Settings!$B$13-F75))</f>
        <v>0</v>
      </c>
      <c r="I75" s="17" t="n">
        <f aca="false">IF(H75&gt;0,ROUND(D75*Settings!$B$5/100*H75/30,2),0)</f>
        <v>0</v>
      </c>
      <c r="J75" s="3" t="str">
        <f aca="false">IF(C75="","",IF(G75&lt;&gt;"","Paid",IF(H75&gt;0,"Overdue","Open")))</f>
        <v/>
      </c>
      <c r="K75" s="17" t="str">
        <f aca="false">IF(C75="","",D75+I75)</f>
        <v/>
      </c>
    </row>
    <row r="76" customFormat="false" ht="15" hidden="false" customHeight="false" outlineLevel="0" collapsed="false">
      <c r="A76" s="12"/>
      <c r="B76" s="12"/>
      <c r="C76" s="13"/>
      <c r="D76" s="14"/>
      <c r="E76" s="12"/>
      <c r="F76" s="9" t="str">
        <f aca="false">IF(C76="","",C76+IF(E76="",Settings!$B$4,E76))</f>
        <v/>
      </c>
      <c r="G76" s="13"/>
      <c r="H76" s="16" t="n">
        <f aca="false">IF(OR(C76="",G76&lt;&gt;""),0,MAX(0,Settings!$B$13-F76))</f>
        <v>0</v>
      </c>
      <c r="I76" s="17" t="n">
        <f aca="false">IF(H76&gt;0,ROUND(D76*Settings!$B$5/100*H76/30,2),0)</f>
        <v>0</v>
      </c>
      <c r="J76" s="3" t="str">
        <f aca="false">IF(C76="","",IF(G76&lt;&gt;"","Paid",IF(H76&gt;0,"Overdue","Open")))</f>
        <v/>
      </c>
      <c r="K76" s="17" t="str">
        <f aca="false">IF(C76="","",D76+I76)</f>
        <v/>
      </c>
    </row>
    <row r="77" customFormat="false" ht="15" hidden="false" customHeight="false" outlineLevel="0" collapsed="false">
      <c r="A77" s="12"/>
      <c r="B77" s="12"/>
      <c r="C77" s="13"/>
      <c r="D77" s="14"/>
      <c r="E77" s="12"/>
      <c r="F77" s="9" t="str">
        <f aca="false">IF(C77="","",C77+IF(E77="",Settings!$B$4,E77))</f>
        <v/>
      </c>
      <c r="G77" s="13"/>
      <c r="H77" s="16" t="n">
        <f aca="false">IF(OR(C77="",G77&lt;&gt;""),0,MAX(0,Settings!$B$13-F77))</f>
        <v>0</v>
      </c>
      <c r="I77" s="17" t="n">
        <f aca="false">IF(H77&gt;0,ROUND(D77*Settings!$B$5/100*H77/30,2),0)</f>
        <v>0</v>
      </c>
      <c r="J77" s="3" t="str">
        <f aca="false">IF(C77="","",IF(G77&lt;&gt;"","Paid",IF(H77&gt;0,"Overdue","Open")))</f>
        <v/>
      </c>
      <c r="K77" s="17" t="str">
        <f aca="false">IF(C77="","",D77+I77)</f>
        <v/>
      </c>
    </row>
    <row r="78" customFormat="false" ht="15" hidden="false" customHeight="false" outlineLevel="0" collapsed="false">
      <c r="A78" s="12"/>
      <c r="B78" s="12"/>
      <c r="C78" s="13"/>
      <c r="D78" s="14"/>
      <c r="E78" s="12"/>
      <c r="F78" s="9" t="str">
        <f aca="false">IF(C78="","",C78+IF(E78="",Settings!$B$4,E78))</f>
        <v/>
      </c>
      <c r="G78" s="13"/>
      <c r="H78" s="16" t="n">
        <f aca="false">IF(OR(C78="",G78&lt;&gt;""),0,MAX(0,Settings!$B$13-F78))</f>
        <v>0</v>
      </c>
      <c r="I78" s="17" t="n">
        <f aca="false">IF(H78&gt;0,ROUND(D78*Settings!$B$5/100*H78/30,2),0)</f>
        <v>0</v>
      </c>
      <c r="J78" s="3" t="str">
        <f aca="false">IF(C78="","",IF(G78&lt;&gt;"","Paid",IF(H78&gt;0,"Overdue","Open")))</f>
        <v/>
      </c>
      <c r="K78" s="17" t="str">
        <f aca="false">IF(C78="","",D78+I78)</f>
        <v/>
      </c>
    </row>
    <row r="79" customFormat="false" ht="15" hidden="false" customHeight="false" outlineLevel="0" collapsed="false">
      <c r="A79" s="12"/>
      <c r="B79" s="12"/>
      <c r="C79" s="13"/>
      <c r="D79" s="14"/>
      <c r="E79" s="12"/>
      <c r="F79" s="9" t="str">
        <f aca="false">IF(C79="","",C79+IF(E79="",Settings!$B$4,E79))</f>
        <v/>
      </c>
      <c r="G79" s="13"/>
      <c r="H79" s="16" t="n">
        <f aca="false">IF(OR(C79="",G79&lt;&gt;""),0,MAX(0,Settings!$B$13-F79))</f>
        <v>0</v>
      </c>
      <c r="I79" s="17" t="n">
        <f aca="false">IF(H79&gt;0,ROUND(D79*Settings!$B$5/100*H79/30,2),0)</f>
        <v>0</v>
      </c>
      <c r="J79" s="3" t="str">
        <f aca="false">IF(C79="","",IF(G79&lt;&gt;"","Paid",IF(H79&gt;0,"Overdue","Open")))</f>
        <v/>
      </c>
      <c r="K79" s="17" t="str">
        <f aca="false">IF(C79="","",D79+I79)</f>
        <v/>
      </c>
    </row>
    <row r="80" customFormat="false" ht="15" hidden="false" customHeight="false" outlineLevel="0" collapsed="false">
      <c r="A80" s="12"/>
      <c r="B80" s="12"/>
      <c r="C80" s="13"/>
      <c r="D80" s="14"/>
      <c r="E80" s="12"/>
      <c r="F80" s="9" t="str">
        <f aca="false">IF(C80="","",C80+IF(E80="",Settings!$B$4,E80))</f>
        <v/>
      </c>
      <c r="G80" s="13"/>
      <c r="H80" s="16" t="n">
        <f aca="false">IF(OR(C80="",G80&lt;&gt;""),0,MAX(0,Settings!$B$13-F80))</f>
        <v>0</v>
      </c>
      <c r="I80" s="17" t="n">
        <f aca="false">IF(H80&gt;0,ROUND(D80*Settings!$B$5/100*H80/30,2),0)</f>
        <v>0</v>
      </c>
      <c r="J80" s="3" t="str">
        <f aca="false">IF(C80="","",IF(G80&lt;&gt;"","Paid",IF(H80&gt;0,"Overdue","Open")))</f>
        <v/>
      </c>
      <c r="K80" s="17" t="str">
        <f aca="false">IF(C80="","",D80+I80)</f>
        <v/>
      </c>
    </row>
    <row r="81" customFormat="false" ht="15" hidden="false" customHeight="false" outlineLevel="0" collapsed="false">
      <c r="A81" s="12"/>
      <c r="B81" s="12"/>
      <c r="C81" s="13"/>
      <c r="D81" s="14"/>
      <c r="E81" s="12"/>
      <c r="F81" s="9" t="str">
        <f aca="false">IF(C81="","",C81+IF(E81="",Settings!$B$4,E81))</f>
        <v/>
      </c>
      <c r="G81" s="13"/>
      <c r="H81" s="16" t="n">
        <f aca="false">IF(OR(C81="",G81&lt;&gt;""),0,MAX(0,Settings!$B$13-F81))</f>
        <v>0</v>
      </c>
      <c r="I81" s="17" t="n">
        <f aca="false">IF(H81&gt;0,ROUND(D81*Settings!$B$5/100*H81/30,2),0)</f>
        <v>0</v>
      </c>
      <c r="J81" s="3" t="str">
        <f aca="false">IF(C81="","",IF(G81&lt;&gt;"","Paid",IF(H81&gt;0,"Overdue","Open")))</f>
        <v/>
      </c>
      <c r="K81" s="17" t="str">
        <f aca="false">IF(C81="","",D81+I81)</f>
        <v/>
      </c>
    </row>
    <row r="82" customFormat="false" ht="15" hidden="false" customHeight="false" outlineLevel="0" collapsed="false">
      <c r="A82" s="12"/>
      <c r="B82" s="12"/>
      <c r="C82" s="13"/>
      <c r="D82" s="14"/>
      <c r="E82" s="12"/>
      <c r="F82" s="9" t="str">
        <f aca="false">IF(C82="","",C82+IF(E82="",Settings!$B$4,E82))</f>
        <v/>
      </c>
      <c r="G82" s="13"/>
      <c r="H82" s="16" t="n">
        <f aca="false">IF(OR(C82="",G82&lt;&gt;""),0,MAX(0,Settings!$B$13-F82))</f>
        <v>0</v>
      </c>
      <c r="I82" s="17" t="n">
        <f aca="false">IF(H82&gt;0,ROUND(D82*Settings!$B$5/100*H82/30,2),0)</f>
        <v>0</v>
      </c>
      <c r="J82" s="3" t="str">
        <f aca="false">IF(C82="","",IF(G82&lt;&gt;"","Paid",IF(H82&gt;0,"Overdue","Open")))</f>
        <v/>
      </c>
      <c r="K82" s="17" t="str">
        <f aca="false">IF(C82="","",D82+I82)</f>
        <v/>
      </c>
    </row>
    <row r="83" customFormat="false" ht="15" hidden="false" customHeight="false" outlineLevel="0" collapsed="false">
      <c r="A83" s="12"/>
      <c r="B83" s="12"/>
      <c r="C83" s="13"/>
      <c r="D83" s="14"/>
      <c r="E83" s="12"/>
      <c r="F83" s="9" t="str">
        <f aca="false">IF(C83="","",C83+IF(E83="",Settings!$B$4,E83))</f>
        <v/>
      </c>
      <c r="G83" s="13"/>
      <c r="H83" s="16" t="n">
        <f aca="false">IF(OR(C83="",G83&lt;&gt;""),0,MAX(0,Settings!$B$13-F83))</f>
        <v>0</v>
      </c>
      <c r="I83" s="17" t="n">
        <f aca="false">IF(H83&gt;0,ROUND(D83*Settings!$B$5/100*H83/30,2),0)</f>
        <v>0</v>
      </c>
      <c r="J83" s="3" t="str">
        <f aca="false">IF(C83="","",IF(G83&lt;&gt;"","Paid",IF(H83&gt;0,"Overdue","Open")))</f>
        <v/>
      </c>
      <c r="K83" s="17" t="str">
        <f aca="false">IF(C83="","",D83+I83)</f>
        <v/>
      </c>
    </row>
    <row r="84" customFormat="false" ht="15" hidden="false" customHeight="false" outlineLevel="0" collapsed="false">
      <c r="A84" s="12"/>
      <c r="B84" s="12"/>
      <c r="C84" s="13"/>
      <c r="D84" s="14"/>
      <c r="E84" s="12"/>
      <c r="F84" s="9" t="str">
        <f aca="false">IF(C84="","",C84+IF(E84="",Settings!$B$4,E84))</f>
        <v/>
      </c>
      <c r="G84" s="13"/>
      <c r="H84" s="16" t="n">
        <f aca="false">IF(OR(C84="",G84&lt;&gt;""),0,MAX(0,Settings!$B$13-F84))</f>
        <v>0</v>
      </c>
      <c r="I84" s="17" t="n">
        <f aca="false">IF(H84&gt;0,ROUND(D84*Settings!$B$5/100*H84/30,2),0)</f>
        <v>0</v>
      </c>
      <c r="J84" s="3" t="str">
        <f aca="false">IF(C84="","",IF(G84&lt;&gt;"","Paid",IF(H84&gt;0,"Overdue","Open")))</f>
        <v/>
      </c>
      <c r="K84" s="17" t="str">
        <f aca="false">IF(C84="","",D84+I84)</f>
        <v/>
      </c>
    </row>
    <row r="85" customFormat="false" ht="15" hidden="false" customHeight="false" outlineLevel="0" collapsed="false">
      <c r="A85" s="12"/>
      <c r="B85" s="12"/>
      <c r="C85" s="13"/>
      <c r="D85" s="14"/>
      <c r="E85" s="12"/>
      <c r="F85" s="9" t="str">
        <f aca="false">IF(C85="","",C85+IF(E85="",Settings!$B$4,E85))</f>
        <v/>
      </c>
      <c r="G85" s="13"/>
      <c r="H85" s="16" t="n">
        <f aca="false">IF(OR(C85="",G85&lt;&gt;""),0,MAX(0,Settings!$B$13-F85))</f>
        <v>0</v>
      </c>
      <c r="I85" s="17" t="n">
        <f aca="false">IF(H85&gt;0,ROUND(D85*Settings!$B$5/100*H85/30,2),0)</f>
        <v>0</v>
      </c>
      <c r="J85" s="3" t="str">
        <f aca="false">IF(C85="","",IF(G85&lt;&gt;"","Paid",IF(H85&gt;0,"Overdue","Open")))</f>
        <v/>
      </c>
      <c r="K85" s="17" t="str">
        <f aca="false">IF(C85="","",D85+I85)</f>
        <v/>
      </c>
    </row>
    <row r="86" customFormat="false" ht="15" hidden="false" customHeight="false" outlineLevel="0" collapsed="false">
      <c r="A86" s="12"/>
      <c r="B86" s="12"/>
      <c r="C86" s="13"/>
      <c r="D86" s="14"/>
      <c r="E86" s="12"/>
      <c r="F86" s="9" t="str">
        <f aca="false">IF(C86="","",C86+IF(E86="",Settings!$B$4,E86))</f>
        <v/>
      </c>
      <c r="G86" s="13"/>
      <c r="H86" s="16" t="n">
        <f aca="false">IF(OR(C86="",G86&lt;&gt;""),0,MAX(0,Settings!$B$13-F86))</f>
        <v>0</v>
      </c>
      <c r="I86" s="17" t="n">
        <f aca="false">IF(H86&gt;0,ROUND(D86*Settings!$B$5/100*H86/30,2),0)</f>
        <v>0</v>
      </c>
      <c r="J86" s="3" t="str">
        <f aca="false">IF(C86="","",IF(G86&lt;&gt;"","Paid",IF(H86&gt;0,"Overdue","Open")))</f>
        <v/>
      </c>
      <c r="K86" s="17" t="str">
        <f aca="false">IF(C86="","",D86+I86)</f>
        <v/>
      </c>
    </row>
    <row r="87" customFormat="false" ht="15" hidden="false" customHeight="false" outlineLevel="0" collapsed="false">
      <c r="A87" s="12"/>
      <c r="B87" s="12"/>
      <c r="C87" s="13"/>
      <c r="D87" s="14"/>
      <c r="E87" s="12"/>
      <c r="F87" s="9" t="str">
        <f aca="false">IF(C87="","",C87+IF(E87="",Settings!$B$4,E87))</f>
        <v/>
      </c>
      <c r="G87" s="13"/>
      <c r="H87" s="16" t="n">
        <f aca="false">IF(OR(C87="",G87&lt;&gt;""),0,MAX(0,Settings!$B$13-F87))</f>
        <v>0</v>
      </c>
      <c r="I87" s="17" t="n">
        <f aca="false">IF(H87&gt;0,ROUND(D87*Settings!$B$5/100*H87/30,2),0)</f>
        <v>0</v>
      </c>
      <c r="J87" s="3" t="str">
        <f aca="false">IF(C87="","",IF(G87&lt;&gt;"","Paid",IF(H87&gt;0,"Overdue","Open")))</f>
        <v/>
      </c>
      <c r="K87" s="17" t="str">
        <f aca="false">IF(C87="","",D87+I87)</f>
        <v/>
      </c>
    </row>
    <row r="88" customFormat="false" ht="15" hidden="false" customHeight="false" outlineLevel="0" collapsed="false">
      <c r="A88" s="12"/>
      <c r="B88" s="12"/>
      <c r="C88" s="13"/>
      <c r="D88" s="14"/>
      <c r="E88" s="12"/>
      <c r="F88" s="9" t="str">
        <f aca="false">IF(C88="","",C88+IF(E88="",Settings!$B$4,E88))</f>
        <v/>
      </c>
      <c r="G88" s="13"/>
      <c r="H88" s="16" t="n">
        <f aca="false">IF(OR(C88="",G88&lt;&gt;""),0,MAX(0,Settings!$B$13-F88))</f>
        <v>0</v>
      </c>
      <c r="I88" s="17" t="n">
        <f aca="false">IF(H88&gt;0,ROUND(D88*Settings!$B$5/100*H88/30,2),0)</f>
        <v>0</v>
      </c>
      <c r="J88" s="3" t="str">
        <f aca="false">IF(C88="","",IF(G88&lt;&gt;"","Paid",IF(H88&gt;0,"Overdue","Open")))</f>
        <v/>
      </c>
      <c r="K88" s="17" t="str">
        <f aca="false">IF(C88="","",D88+I88)</f>
        <v/>
      </c>
    </row>
    <row r="89" customFormat="false" ht="15" hidden="false" customHeight="false" outlineLevel="0" collapsed="false">
      <c r="A89" s="12"/>
      <c r="B89" s="12"/>
      <c r="C89" s="13"/>
      <c r="D89" s="14"/>
      <c r="E89" s="12"/>
      <c r="F89" s="9" t="str">
        <f aca="false">IF(C89="","",C89+IF(E89="",Settings!$B$4,E89))</f>
        <v/>
      </c>
      <c r="G89" s="13"/>
      <c r="H89" s="16" t="n">
        <f aca="false">IF(OR(C89="",G89&lt;&gt;""),0,MAX(0,Settings!$B$13-F89))</f>
        <v>0</v>
      </c>
      <c r="I89" s="17" t="n">
        <f aca="false">IF(H89&gt;0,ROUND(D89*Settings!$B$5/100*H89/30,2),0)</f>
        <v>0</v>
      </c>
      <c r="J89" s="3" t="str">
        <f aca="false">IF(C89="","",IF(G89&lt;&gt;"","Paid",IF(H89&gt;0,"Overdue","Open")))</f>
        <v/>
      </c>
      <c r="K89" s="17" t="str">
        <f aca="false">IF(C89="","",D89+I89)</f>
        <v/>
      </c>
    </row>
    <row r="90" customFormat="false" ht="15" hidden="false" customHeight="false" outlineLevel="0" collapsed="false">
      <c r="A90" s="12"/>
      <c r="B90" s="12"/>
      <c r="C90" s="13"/>
      <c r="D90" s="14"/>
      <c r="E90" s="12"/>
      <c r="F90" s="9" t="str">
        <f aca="false">IF(C90="","",C90+IF(E90="",Settings!$B$4,E90))</f>
        <v/>
      </c>
      <c r="G90" s="13"/>
      <c r="H90" s="16" t="n">
        <f aca="false">IF(OR(C90="",G90&lt;&gt;""),0,MAX(0,Settings!$B$13-F90))</f>
        <v>0</v>
      </c>
      <c r="I90" s="17" t="n">
        <f aca="false">IF(H90&gt;0,ROUND(D90*Settings!$B$5/100*H90/30,2),0)</f>
        <v>0</v>
      </c>
      <c r="J90" s="3" t="str">
        <f aca="false">IF(C90="","",IF(G90&lt;&gt;"","Paid",IF(H90&gt;0,"Overdue","Open")))</f>
        <v/>
      </c>
      <c r="K90" s="17" t="str">
        <f aca="false">IF(C90="","",D90+I90)</f>
        <v/>
      </c>
    </row>
    <row r="91" customFormat="false" ht="15" hidden="false" customHeight="false" outlineLevel="0" collapsed="false">
      <c r="A91" s="12"/>
      <c r="B91" s="12"/>
      <c r="C91" s="13"/>
      <c r="D91" s="14"/>
      <c r="E91" s="12"/>
      <c r="F91" s="9" t="str">
        <f aca="false">IF(C91="","",C91+IF(E91="",Settings!$B$4,E91))</f>
        <v/>
      </c>
      <c r="G91" s="13"/>
      <c r="H91" s="16" t="n">
        <f aca="false">IF(OR(C91="",G91&lt;&gt;""),0,MAX(0,Settings!$B$13-F91))</f>
        <v>0</v>
      </c>
      <c r="I91" s="17" t="n">
        <f aca="false">IF(H91&gt;0,ROUND(D91*Settings!$B$5/100*H91/30,2),0)</f>
        <v>0</v>
      </c>
      <c r="J91" s="3" t="str">
        <f aca="false">IF(C91="","",IF(G91&lt;&gt;"","Paid",IF(H91&gt;0,"Overdue","Open")))</f>
        <v/>
      </c>
      <c r="K91" s="17" t="str">
        <f aca="false">IF(C91="","",D91+I91)</f>
        <v/>
      </c>
    </row>
    <row r="92" customFormat="false" ht="15" hidden="false" customHeight="false" outlineLevel="0" collapsed="false">
      <c r="A92" s="12"/>
      <c r="B92" s="12"/>
      <c r="C92" s="13"/>
      <c r="D92" s="14"/>
      <c r="E92" s="12"/>
      <c r="F92" s="9" t="str">
        <f aca="false">IF(C92="","",C92+IF(E92="",Settings!$B$4,E92))</f>
        <v/>
      </c>
      <c r="G92" s="13"/>
      <c r="H92" s="16" t="n">
        <f aca="false">IF(OR(C92="",G92&lt;&gt;""),0,MAX(0,Settings!$B$13-F92))</f>
        <v>0</v>
      </c>
      <c r="I92" s="17" t="n">
        <f aca="false">IF(H92&gt;0,ROUND(D92*Settings!$B$5/100*H92/30,2),0)</f>
        <v>0</v>
      </c>
      <c r="J92" s="3" t="str">
        <f aca="false">IF(C92="","",IF(G92&lt;&gt;"","Paid",IF(H92&gt;0,"Overdue","Open")))</f>
        <v/>
      </c>
      <c r="K92" s="17" t="str">
        <f aca="false">IF(C92="","",D92+I92)</f>
        <v/>
      </c>
    </row>
    <row r="93" customFormat="false" ht="15" hidden="false" customHeight="false" outlineLevel="0" collapsed="false">
      <c r="A93" s="12"/>
      <c r="B93" s="12"/>
      <c r="C93" s="13"/>
      <c r="D93" s="14"/>
      <c r="E93" s="12"/>
      <c r="F93" s="9" t="str">
        <f aca="false">IF(C93="","",C93+IF(E93="",Settings!$B$4,E93))</f>
        <v/>
      </c>
      <c r="G93" s="13"/>
      <c r="H93" s="16" t="n">
        <f aca="false">IF(OR(C93="",G93&lt;&gt;""),0,MAX(0,Settings!$B$13-F93))</f>
        <v>0</v>
      </c>
      <c r="I93" s="17" t="n">
        <f aca="false">IF(H93&gt;0,ROUND(D93*Settings!$B$5/100*H93/30,2),0)</f>
        <v>0</v>
      </c>
      <c r="J93" s="3" t="str">
        <f aca="false">IF(C93="","",IF(G93&lt;&gt;"","Paid",IF(H93&gt;0,"Overdue","Open")))</f>
        <v/>
      </c>
      <c r="K93" s="17" t="str">
        <f aca="false">IF(C93="","",D93+I93)</f>
        <v/>
      </c>
    </row>
    <row r="94" customFormat="false" ht="15" hidden="false" customHeight="false" outlineLevel="0" collapsed="false">
      <c r="A94" s="12"/>
      <c r="B94" s="12"/>
      <c r="C94" s="13"/>
      <c r="D94" s="14"/>
      <c r="E94" s="12"/>
      <c r="F94" s="9" t="str">
        <f aca="false">IF(C94="","",C94+IF(E94="",Settings!$B$4,E94))</f>
        <v/>
      </c>
      <c r="G94" s="13"/>
      <c r="H94" s="16" t="n">
        <f aca="false">IF(OR(C94="",G94&lt;&gt;""),0,MAX(0,Settings!$B$13-F94))</f>
        <v>0</v>
      </c>
      <c r="I94" s="17" t="n">
        <f aca="false">IF(H94&gt;0,ROUND(D94*Settings!$B$5/100*H94/30,2),0)</f>
        <v>0</v>
      </c>
      <c r="J94" s="3" t="str">
        <f aca="false">IF(C94="","",IF(G94&lt;&gt;"","Paid",IF(H94&gt;0,"Overdue","Open")))</f>
        <v/>
      </c>
      <c r="K94" s="17" t="str">
        <f aca="false">IF(C94="","",D94+I94)</f>
        <v/>
      </c>
    </row>
    <row r="95" customFormat="false" ht="15" hidden="false" customHeight="false" outlineLevel="0" collapsed="false">
      <c r="A95" s="12"/>
      <c r="B95" s="12"/>
      <c r="C95" s="13"/>
      <c r="D95" s="14"/>
      <c r="E95" s="12"/>
      <c r="F95" s="9" t="str">
        <f aca="false">IF(C95="","",C95+IF(E95="",Settings!$B$4,E95))</f>
        <v/>
      </c>
      <c r="G95" s="13"/>
      <c r="H95" s="16" t="n">
        <f aca="false">IF(OR(C95="",G95&lt;&gt;""),0,MAX(0,Settings!$B$13-F95))</f>
        <v>0</v>
      </c>
      <c r="I95" s="17" t="n">
        <f aca="false">IF(H95&gt;0,ROUND(D95*Settings!$B$5/100*H95/30,2),0)</f>
        <v>0</v>
      </c>
      <c r="J95" s="3" t="str">
        <f aca="false">IF(C95="","",IF(G95&lt;&gt;"","Paid",IF(H95&gt;0,"Overdue","Open")))</f>
        <v/>
      </c>
      <c r="K95" s="17" t="str">
        <f aca="false">IF(C95="","",D95+I95)</f>
        <v/>
      </c>
    </row>
    <row r="96" customFormat="false" ht="15" hidden="false" customHeight="false" outlineLevel="0" collapsed="false">
      <c r="A96" s="12"/>
      <c r="B96" s="12"/>
      <c r="C96" s="13"/>
      <c r="D96" s="14"/>
      <c r="E96" s="12"/>
      <c r="F96" s="9" t="str">
        <f aca="false">IF(C96="","",C96+IF(E96="",Settings!$B$4,E96))</f>
        <v/>
      </c>
      <c r="G96" s="13"/>
      <c r="H96" s="16" t="n">
        <f aca="false">IF(OR(C96="",G96&lt;&gt;""),0,MAX(0,Settings!$B$13-F96))</f>
        <v>0</v>
      </c>
      <c r="I96" s="17" t="n">
        <f aca="false">IF(H96&gt;0,ROUND(D96*Settings!$B$5/100*H96/30,2),0)</f>
        <v>0</v>
      </c>
      <c r="J96" s="3" t="str">
        <f aca="false">IF(C96="","",IF(G96&lt;&gt;"","Paid",IF(H96&gt;0,"Overdue","Open")))</f>
        <v/>
      </c>
      <c r="K96" s="17" t="str">
        <f aca="false">IF(C96="","",D96+I96)</f>
        <v/>
      </c>
    </row>
    <row r="97" customFormat="false" ht="15" hidden="false" customHeight="false" outlineLevel="0" collapsed="false">
      <c r="A97" s="12"/>
      <c r="B97" s="12"/>
      <c r="C97" s="13"/>
      <c r="D97" s="14"/>
      <c r="E97" s="12"/>
      <c r="F97" s="9" t="str">
        <f aca="false">IF(C97="","",C97+IF(E97="",Settings!$B$4,E97))</f>
        <v/>
      </c>
      <c r="G97" s="13"/>
      <c r="H97" s="16" t="n">
        <f aca="false">IF(OR(C97="",G97&lt;&gt;""),0,MAX(0,Settings!$B$13-F97))</f>
        <v>0</v>
      </c>
      <c r="I97" s="17" t="n">
        <f aca="false">IF(H97&gt;0,ROUND(D97*Settings!$B$5/100*H97/30,2),0)</f>
        <v>0</v>
      </c>
      <c r="J97" s="3" t="str">
        <f aca="false">IF(C97="","",IF(G97&lt;&gt;"","Paid",IF(H97&gt;0,"Overdue","Open")))</f>
        <v/>
      </c>
      <c r="K97" s="17" t="str">
        <f aca="false">IF(C97="","",D97+I97)</f>
        <v/>
      </c>
    </row>
    <row r="98" customFormat="false" ht="15" hidden="false" customHeight="false" outlineLevel="0" collapsed="false">
      <c r="A98" s="12"/>
      <c r="B98" s="12"/>
      <c r="C98" s="13"/>
      <c r="D98" s="14"/>
      <c r="E98" s="12"/>
      <c r="F98" s="9" t="str">
        <f aca="false">IF(C98="","",C98+IF(E98="",Settings!$B$4,E98))</f>
        <v/>
      </c>
      <c r="G98" s="13"/>
      <c r="H98" s="16" t="n">
        <f aca="false">IF(OR(C98="",G98&lt;&gt;""),0,MAX(0,Settings!$B$13-F98))</f>
        <v>0</v>
      </c>
      <c r="I98" s="17" t="n">
        <f aca="false">IF(H98&gt;0,ROUND(D98*Settings!$B$5/100*H98/30,2),0)</f>
        <v>0</v>
      </c>
      <c r="J98" s="3" t="str">
        <f aca="false">IF(C98="","",IF(G98&lt;&gt;"","Paid",IF(H98&gt;0,"Overdue","Open")))</f>
        <v/>
      </c>
      <c r="K98" s="17" t="str">
        <f aca="false">IF(C98="","",D98+I98)</f>
        <v/>
      </c>
    </row>
    <row r="99" customFormat="false" ht="15" hidden="false" customHeight="false" outlineLevel="0" collapsed="false">
      <c r="A99" s="12"/>
      <c r="B99" s="12"/>
      <c r="C99" s="13"/>
      <c r="D99" s="14"/>
      <c r="E99" s="12"/>
      <c r="F99" s="9" t="str">
        <f aca="false">IF(C99="","",C99+IF(E99="",Settings!$B$4,E99))</f>
        <v/>
      </c>
      <c r="G99" s="13"/>
      <c r="H99" s="16" t="n">
        <f aca="false">IF(OR(C99="",G99&lt;&gt;""),0,MAX(0,Settings!$B$13-F99))</f>
        <v>0</v>
      </c>
      <c r="I99" s="17" t="n">
        <f aca="false">IF(H99&gt;0,ROUND(D99*Settings!$B$5/100*H99/30,2),0)</f>
        <v>0</v>
      </c>
      <c r="J99" s="3" t="str">
        <f aca="false">IF(C99="","",IF(G99&lt;&gt;"","Paid",IF(H99&gt;0,"Overdue","Open")))</f>
        <v/>
      </c>
      <c r="K99" s="17" t="str">
        <f aca="false">IF(C99="","",D99+I99)</f>
        <v/>
      </c>
    </row>
    <row r="100" customFormat="false" ht="15" hidden="false" customHeight="false" outlineLevel="0" collapsed="false">
      <c r="A100" s="12"/>
      <c r="B100" s="12"/>
      <c r="C100" s="13"/>
      <c r="D100" s="14"/>
      <c r="E100" s="12"/>
      <c r="F100" s="9" t="str">
        <f aca="false">IF(C100="","",C100+IF(E100="",Settings!$B$4,E100))</f>
        <v/>
      </c>
      <c r="G100" s="13"/>
      <c r="H100" s="16" t="n">
        <f aca="false">IF(OR(C100="",G100&lt;&gt;""),0,MAX(0,Settings!$B$13-F100))</f>
        <v>0</v>
      </c>
      <c r="I100" s="17" t="n">
        <f aca="false">IF(H100&gt;0,ROUND(D100*Settings!$B$5/100*H100/30,2),0)</f>
        <v>0</v>
      </c>
      <c r="J100" s="3" t="str">
        <f aca="false">IF(C100="","",IF(G100&lt;&gt;"","Paid",IF(H100&gt;0,"Overdue","Open")))</f>
        <v/>
      </c>
      <c r="K100" s="17" t="str">
        <f aca="false">IF(C100="","",D100+I100)</f>
        <v/>
      </c>
    </row>
    <row r="101" customFormat="false" ht="15" hidden="false" customHeight="false" outlineLevel="0" collapsed="false">
      <c r="A101" s="12"/>
      <c r="B101" s="12"/>
      <c r="C101" s="13"/>
      <c r="D101" s="14"/>
      <c r="E101" s="12"/>
      <c r="F101" s="9" t="str">
        <f aca="false">IF(C101="","",C101+IF(E101="",Settings!$B$4,E101))</f>
        <v/>
      </c>
      <c r="G101" s="13"/>
      <c r="H101" s="16" t="n">
        <f aca="false">IF(OR(C101="",G101&lt;&gt;""),0,MAX(0,Settings!$B$13-F101))</f>
        <v>0</v>
      </c>
      <c r="I101" s="17" t="n">
        <f aca="false">IF(H101&gt;0,ROUND(D101*Settings!$B$5/100*H101/30,2),0)</f>
        <v>0</v>
      </c>
      <c r="J101" s="3" t="str">
        <f aca="false">IF(C101="","",IF(G101&lt;&gt;"","Paid",IF(H101&gt;0,"Overdue","Open")))</f>
        <v/>
      </c>
      <c r="K101" s="17" t="str">
        <f aca="false">IF(C101="","",D101+I101)</f>
        <v/>
      </c>
    </row>
    <row r="102" customFormat="false" ht="15" hidden="false" customHeight="false" outlineLevel="0" collapsed="false">
      <c r="A102" s="12"/>
      <c r="B102" s="12"/>
      <c r="C102" s="13"/>
      <c r="D102" s="14"/>
      <c r="E102" s="12"/>
      <c r="F102" s="9" t="str">
        <f aca="false">IF(C102="","",C102+IF(E102="",Settings!$B$4,E102))</f>
        <v/>
      </c>
      <c r="G102" s="13"/>
      <c r="H102" s="16" t="n">
        <f aca="false">IF(OR(C102="",G102&lt;&gt;""),0,MAX(0,Settings!$B$13-F102))</f>
        <v>0</v>
      </c>
      <c r="I102" s="17" t="n">
        <f aca="false">IF(H102&gt;0,ROUND(D102*Settings!$B$5/100*H102/30,2),0)</f>
        <v>0</v>
      </c>
      <c r="J102" s="3" t="str">
        <f aca="false">IF(C102="","",IF(G102&lt;&gt;"","Paid",IF(H102&gt;0,"Overdue","Open")))</f>
        <v/>
      </c>
      <c r="K102" s="17" t="str">
        <f aca="false">IF(C102="","",D102+I102)</f>
        <v/>
      </c>
    </row>
    <row r="103" customFormat="false" ht="15" hidden="false" customHeight="false" outlineLevel="0" collapsed="false">
      <c r="A103" s="12"/>
      <c r="B103" s="12"/>
      <c r="C103" s="13"/>
      <c r="D103" s="14"/>
      <c r="E103" s="12"/>
      <c r="F103" s="9" t="str">
        <f aca="false">IF(C103="","",C103+IF(E103="",Settings!$B$4,E103))</f>
        <v/>
      </c>
      <c r="G103" s="13"/>
      <c r="H103" s="16" t="n">
        <f aca="false">IF(OR(C103="",G103&lt;&gt;""),0,MAX(0,Settings!$B$13-F103))</f>
        <v>0</v>
      </c>
      <c r="I103" s="17" t="n">
        <f aca="false">IF(H103&gt;0,ROUND(D103*Settings!$B$5/100*H103/30,2),0)</f>
        <v>0</v>
      </c>
      <c r="J103" s="3" t="str">
        <f aca="false">IF(C103="","",IF(G103&lt;&gt;"","Paid",IF(H103&gt;0,"Overdue","Open")))</f>
        <v/>
      </c>
      <c r="K103" s="17" t="str">
        <f aca="false">IF(C103="","",D103+I103)</f>
        <v/>
      </c>
    </row>
    <row r="104" customFormat="false" ht="15" hidden="false" customHeight="false" outlineLevel="0" collapsed="false">
      <c r="A104" s="12"/>
      <c r="B104" s="12"/>
      <c r="C104" s="13"/>
      <c r="D104" s="14"/>
      <c r="E104" s="12"/>
      <c r="F104" s="9" t="str">
        <f aca="false">IF(C104="","",C104+IF(E104="",Settings!$B$4,E104))</f>
        <v/>
      </c>
      <c r="G104" s="13"/>
      <c r="H104" s="16" t="n">
        <f aca="false">IF(OR(C104="",G104&lt;&gt;""),0,MAX(0,Settings!$B$13-F104))</f>
        <v>0</v>
      </c>
      <c r="I104" s="17" t="n">
        <f aca="false">IF(H104&gt;0,ROUND(D104*Settings!$B$5/100*H104/30,2),0)</f>
        <v>0</v>
      </c>
      <c r="J104" s="3" t="str">
        <f aca="false">IF(C104="","",IF(G104&lt;&gt;"","Paid",IF(H104&gt;0,"Overdue","Open")))</f>
        <v/>
      </c>
      <c r="K104" s="17" t="str">
        <f aca="false">IF(C104="","",D104+I104)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15" hidden="false" customHeight="false" outlineLevel="0" collapsed="false">
      <c r="A4" s="3" t="s">
        <v>62</v>
      </c>
      <c r="B4" s="16" t="n">
        <f aca="false">52-Settings!B7</f>
        <v>46</v>
      </c>
      <c r="C4" s="2" t="s">
        <v>63</v>
      </c>
    </row>
    <row r="5" customFormat="false" ht="15" hidden="false" customHeight="false" outlineLevel="0" collapsed="false">
      <c r="A5" s="3" t="s">
        <v>64</v>
      </c>
      <c r="B5" s="16" t="n">
        <f aca="false">B4*Settings!B8</f>
        <v>1840</v>
      </c>
      <c r="C5" s="2" t="s">
        <v>65</v>
      </c>
    </row>
    <row r="6" customFormat="false" ht="15" hidden="false" customHeight="false" outlineLevel="0" collapsed="false">
      <c r="A6" s="3" t="s">
        <v>66</v>
      </c>
      <c r="B6" s="18" t="n">
        <f aca="false">ROUND(B5*Settings!B9/100,2)</f>
        <v>1104</v>
      </c>
      <c r="C6" s="2" t="s">
        <v>67</v>
      </c>
    </row>
    <row r="7" customFormat="false" ht="15" hidden="false" customHeight="false" outlineLevel="0" collapsed="false">
      <c r="A7" s="3" t="s">
        <v>68</v>
      </c>
      <c r="B7" s="17" t="n">
        <f aca="false">Settings!B11+Settings!B10/(1-Settings!B12/100)</f>
        <v>66000</v>
      </c>
      <c r="C7" s="2" t="s">
        <v>69</v>
      </c>
    </row>
    <row r="8" customFormat="false" ht="15" hidden="false" customHeight="false" outlineLevel="0" collapsed="false">
      <c r="A8" s="4" t="s">
        <v>70</v>
      </c>
      <c r="B8" s="10" t="n">
        <f aca="false">IFERROR(ROUND(B7/B6,2),"check inputs")</f>
        <v>59.78</v>
      </c>
      <c r="C8" s="2" t="s">
        <v>71</v>
      </c>
    </row>
    <row r="9" customFormat="false" ht="15" hidden="false" customHeight="false" outlineLevel="0" collapsed="false">
      <c r="A9" s="4" t="s">
        <v>72</v>
      </c>
      <c r="B9" s="10" t="n">
        <f aca="false">IFERROR(ROUND(B8*Settings!B6,2),"check inputs")</f>
        <v>478.24</v>
      </c>
      <c r="C9" s="2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3" t="s">
        <v>75</v>
      </c>
      <c r="B2" s="8" t="n">
        <v>5000</v>
      </c>
    </row>
    <row r="3" customFormat="false" ht="15" hidden="false" customHeight="false" outlineLevel="0" collapsed="false">
      <c r="A3" s="3" t="s">
        <v>76</v>
      </c>
      <c r="B3" s="6" t="n">
        <v>30</v>
      </c>
    </row>
    <row r="4" customFormat="false" ht="15" hidden="false" customHeight="false" outlineLevel="0" collapsed="false">
      <c r="A4" s="3" t="s">
        <v>77</v>
      </c>
      <c r="B4" s="6" t="n">
        <v>2</v>
      </c>
    </row>
    <row r="5" customFormat="false" ht="15" hidden="false" customHeight="false" outlineLevel="0" collapsed="false">
      <c r="A5" s="3" t="s">
        <v>78</v>
      </c>
      <c r="B5" s="19" t="n">
        <v>46295</v>
      </c>
    </row>
    <row r="6" customFormat="false" ht="15" hidden="false" customHeight="false" outlineLevel="0" collapsed="false">
      <c r="A6" s="3" t="s">
        <v>79</v>
      </c>
      <c r="B6" s="7" t="n">
        <v>8</v>
      </c>
    </row>
    <row r="8" customFormat="false" ht="15" hidden="false" customHeight="false" outlineLevel="0" collapsed="false">
      <c r="A8" s="11" t="s">
        <v>80</v>
      </c>
      <c r="B8" s="11" t="s">
        <v>52</v>
      </c>
      <c r="C8" s="11" t="s">
        <v>50</v>
      </c>
      <c r="D8" s="11" t="s">
        <v>81</v>
      </c>
    </row>
    <row r="9" customFormat="false" ht="15" hidden="false" customHeight="false" outlineLevel="0" collapsed="false">
      <c r="A9" s="3" t="s">
        <v>82</v>
      </c>
      <c r="B9" s="9" t="n">
        <f aca="false">$B$5</f>
        <v>46295</v>
      </c>
      <c r="C9" s="17" t="n">
        <f aca="false">ROUND($B$2*$B$3/100,2)</f>
        <v>1500</v>
      </c>
      <c r="D9" s="2" t="s">
        <v>83</v>
      </c>
    </row>
    <row r="10" customFormat="false" ht="15" hidden="false" customHeight="false" outlineLevel="0" collapsed="false">
      <c r="A10" s="3" t="str">
        <f aca="false">IF(1&gt;$B$4,"","Milestone 1")</f>
        <v>Milestone 1</v>
      </c>
      <c r="B10" s="9" t="n">
        <f aca="false">IF(1&gt;$B$4,"",$B$5+ROUND($B$6*7*1/$B$4,0))</f>
        <v>46323</v>
      </c>
      <c r="C10" s="17" t="n">
        <f aca="false">IF(1&gt;$B$4,"",IF(1&lt;$B$4,ROUNDDOWN(($B$2-$C$9)/$B$4,2),$B$2-$C$9))</f>
        <v>1750</v>
      </c>
      <c r="D10" s="2" t="str">
        <f aca="false">IF(1&gt;$B$4,"","Invoice when the milestone deliverable is presented.")</f>
        <v>Invoice when the milestone deliverable is presented.</v>
      </c>
    </row>
    <row r="11" customFormat="false" ht="15" hidden="false" customHeight="false" outlineLevel="0" collapsed="false">
      <c r="A11" s="3" t="str">
        <f aca="false">IF(2&gt;$B$4,"","Milestone 2")</f>
        <v>Milestone 2</v>
      </c>
      <c r="B11" s="9" t="n">
        <f aca="false">IF(2&gt;$B$4,"",$B$5+ROUND($B$6*7*2/$B$4,0))</f>
        <v>46351</v>
      </c>
      <c r="C11" s="17" t="n">
        <f aca="false">IF(2&gt;$B$4,"",IF(2&lt;$B$4,ROUNDDOWN(($B$2-$C$9)/$B$4,2),($B$2-$C$9)-SUM($C$10:C10)))</f>
        <v>1750</v>
      </c>
      <c r="D11" s="2" t="str">
        <f aca="false">IF(2&gt;$B$4,"","Invoice when the milestone deliverable is presented.")</f>
        <v>Invoice when the milestone deliverable is presented.</v>
      </c>
    </row>
    <row r="12" customFormat="false" ht="15" hidden="false" customHeight="false" outlineLevel="0" collapsed="false">
      <c r="A12" s="3" t="str">
        <f aca="false">IF(3&gt;$B$4,"","Milestone 3")</f>
        <v/>
      </c>
      <c r="B12" s="9" t="str">
        <f aca="false">IF(3&gt;$B$4,"",$B$5+ROUND($B$6*7*3/$B$4,0))</f>
        <v/>
      </c>
      <c r="C12" s="17" t="str">
        <f aca="false">IF(3&gt;$B$4,"",IF(3&lt;$B$4,ROUNDDOWN(($B$2-$C$9)/$B$4,2),($B$2-$C$9)-SUM($C$10:C11)))</f>
        <v/>
      </c>
      <c r="D12" s="2" t="str">
        <f aca="false">IF(3&gt;$B$4,"","Invoice when the milestone deliverable is presented.")</f>
        <v/>
      </c>
    </row>
    <row r="13" customFormat="false" ht="15" hidden="false" customHeight="false" outlineLevel="0" collapsed="false">
      <c r="A13" s="3" t="str">
        <f aca="false">IF(4&gt;$B$4,"","Milestone 4")</f>
        <v/>
      </c>
      <c r="B13" s="9" t="str">
        <f aca="false">IF(4&gt;$B$4,"",$B$5+ROUND($B$6*7*4/$B$4,0))</f>
        <v/>
      </c>
      <c r="C13" s="17" t="str">
        <f aca="false">IF(4&gt;$B$4,"",IF(4&lt;$B$4,ROUNDDOWN(($B$2-$C$9)/$B$4,2),($B$2-$C$9)-SUM($C$10:C12)))</f>
        <v/>
      </c>
      <c r="D13" s="2" t="str">
        <f aca="false">IF(4&gt;$B$4,"","Invoice when the milestone deliverable is presented.")</f>
        <v/>
      </c>
    </row>
    <row r="14" customFormat="false" ht="15" hidden="false" customHeight="false" outlineLevel="0" collapsed="false">
      <c r="A14" s="3" t="str">
        <f aca="false">IF(5&gt;$B$4,"","Milestone 5")</f>
        <v/>
      </c>
      <c r="B14" s="9" t="str">
        <f aca="false">IF(5&gt;$B$4,"",$B$5+ROUND($B$6*7*5/$B$4,0))</f>
        <v/>
      </c>
      <c r="C14" s="17" t="str">
        <f aca="false">IF(5&gt;$B$4,"",IF(5&lt;$B$4,ROUNDDOWN(($B$2-$C$9)/$B$4,2),($B$2-$C$9)-SUM($C$10:C13)))</f>
        <v/>
      </c>
      <c r="D14" s="2" t="str">
        <f aca="false">IF(5&gt;$B$4,"","Invoice when the milestone deliverable is presented.")</f>
        <v/>
      </c>
    </row>
    <row r="15" customFormat="false" ht="15" hidden="false" customHeight="false" outlineLevel="0" collapsed="false">
      <c r="A15" s="3" t="str">
        <f aca="false">IF(6&gt;$B$4,"","Milestone 6")</f>
        <v/>
      </c>
      <c r="B15" s="9" t="str">
        <f aca="false">IF(6&gt;$B$4,"",$B$5+ROUND($B$6*7*6/$B$4,0))</f>
        <v/>
      </c>
      <c r="C15" s="17" t="str">
        <f aca="false">IF(6&gt;$B$4,"",IF(6&lt;$B$4,ROUNDDOWN(($B$2-$C$9)/$B$4,2),($B$2-$C$9)-SUM($C$10:C14)))</f>
        <v/>
      </c>
      <c r="D15" s="2" t="str">
        <f aca="false">IF(6&gt;$B$4,"","Invoice when the milestone deliverable is presented.")</f>
        <v/>
      </c>
    </row>
    <row r="16" customFormat="false" ht="15" hidden="false" customHeight="false" outlineLevel="0" collapsed="false">
      <c r="A16" s="4" t="s">
        <v>84</v>
      </c>
      <c r="C16" s="10" t="n">
        <f aca="false">SUM(C9:C15)</f>
        <v>5000</v>
      </c>
      <c r="D16" s="2" t="s">
        <v>85</v>
      </c>
    </row>
  </sheetData>
  <dataValidations count="1">
    <dataValidation allowBlank="false" error="Enter a whole number from 1 to 6." errorStyle="stop" errorTitle="Milestones" operator="between" showDropDown="false" showErrorMessage="true" showInputMessage="false" sqref="B4" type="whole">
      <formula1>1</formula1>
      <formula2>6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4" t="s">
        <v>84</v>
      </c>
      <c r="B2" s="10" t="n">
        <f aca="false">SUM(D5:D204)</f>
        <v>24</v>
      </c>
    </row>
    <row r="4" customFormat="false" ht="15" hidden="false" customHeight="false" outlineLevel="0" collapsed="false">
      <c r="A4" s="11" t="s">
        <v>87</v>
      </c>
      <c r="B4" s="11" t="s">
        <v>88</v>
      </c>
      <c r="C4" s="11" t="s">
        <v>89</v>
      </c>
      <c r="D4" s="11" t="s">
        <v>50</v>
      </c>
      <c r="E4" s="11" t="s">
        <v>90</v>
      </c>
    </row>
    <row r="5" customFormat="false" ht="15" hidden="false" customHeight="false" outlineLevel="0" collapsed="false">
      <c r="A5" s="13" t="n">
        <v>46285</v>
      </c>
      <c r="B5" s="12" t="s">
        <v>91</v>
      </c>
      <c r="C5" s="12" t="s">
        <v>92</v>
      </c>
      <c r="D5" s="14" t="n">
        <v>24</v>
      </c>
      <c r="E5" s="3" t="str">
        <f aca="false">IF(A5="","",TEXT(A5,"yyyy-mm"))</f>
        <v>2026-09</v>
      </c>
    </row>
    <row r="6" customFormat="false" ht="15" hidden="false" customHeight="false" outlineLevel="0" collapsed="false">
      <c r="A6" s="13"/>
      <c r="B6" s="12"/>
      <c r="C6" s="12"/>
      <c r="D6" s="14"/>
      <c r="E6" s="3" t="str">
        <f aca="false">IF(A6="","",TEXT(A6,"yyyy-mm"))</f>
        <v/>
      </c>
    </row>
    <row r="7" customFormat="false" ht="15" hidden="false" customHeight="false" outlineLevel="0" collapsed="false">
      <c r="A7" s="13"/>
      <c r="B7" s="12"/>
      <c r="C7" s="12"/>
      <c r="D7" s="14"/>
      <c r="E7" s="3" t="str">
        <f aca="false">IF(A7="","",TEXT(A7,"yyyy-mm"))</f>
        <v/>
      </c>
    </row>
    <row r="8" customFormat="false" ht="15" hidden="false" customHeight="false" outlineLevel="0" collapsed="false">
      <c r="A8" s="13"/>
      <c r="B8" s="12"/>
      <c r="C8" s="12"/>
      <c r="D8" s="14"/>
      <c r="E8" s="3" t="str">
        <f aca="false">IF(A8="","",TEXT(A8,"yyyy-mm"))</f>
        <v/>
      </c>
    </row>
    <row r="9" customFormat="false" ht="15" hidden="false" customHeight="false" outlineLevel="0" collapsed="false">
      <c r="A9" s="13"/>
      <c r="B9" s="12"/>
      <c r="C9" s="12"/>
      <c r="D9" s="14"/>
      <c r="E9" s="3" t="str">
        <f aca="false">IF(A9="","",TEXT(A9,"yyyy-mm"))</f>
        <v/>
      </c>
    </row>
    <row r="10" customFormat="false" ht="15" hidden="false" customHeight="false" outlineLevel="0" collapsed="false">
      <c r="A10" s="13"/>
      <c r="B10" s="12"/>
      <c r="C10" s="12"/>
      <c r="D10" s="14"/>
      <c r="E10" s="3" t="str">
        <f aca="false">IF(A10="","",TEXT(A10,"yyyy-mm"))</f>
        <v/>
      </c>
    </row>
    <row r="11" customFormat="false" ht="15" hidden="false" customHeight="false" outlineLevel="0" collapsed="false">
      <c r="A11" s="13"/>
      <c r="B11" s="12"/>
      <c r="C11" s="12"/>
      <c r="D11" s="14"/>
      <c r="E11" s="3" t="str">
        <f aca="false">IF(A11="","",TEXT(A11,"yyyy-mm"))</f>
        <v/>
      </c>
    </row>
    <row r="12" customFormat="false" ht="15" hidden="false" customHeight="false" outlineLevel="0" collapsed="false">
      <c r="A12" s="13"/>
      <c r="B12" s="12"/>
      <c r="C12" s="12"/>
      <c r="D12" s="14"/>
      <c r="E12" s="3" t="str">
        <f aca="false">IF(A12="","",TEXT(A12,"yyyy-mm"))</f>
        <v/>
      </c>
    </row>
    <row r="13" customFormat="false" ht="15" hidden="false" customHeight="false" outlineLevel="0" collapsed="false">
      <c r="A13" s="13"/>
      <c r="B13" s="12"/>
      <c r="C13" s="12"/>
      <c r="D13" s="14"/>
      <c r="E13" s="3" t="str">
        <f aca="false">IF(A13="","",TEXT(A13,"yyyy-mm"))</f>
        <v/>
      </c>
    </row>
    <row r="14" customFormat="false" ht="15" hidden="false" customHeight="false" outlineLevel="0" collapsed="false">
      <c r="A14" s="13"/>
      <c r="B14" s="12"/>
      <c r="C14" s="12"/>
      <c r="D14" s="14"/>
      <c r="E14" s="3" t="str">
        <f aca="false">IF(A14="","",TEXT(A14,"yyyy-mm"))</f>
        <v/>
      </c>
    </row>
    <row r="15" customFormat="false" ht="15" hidden="false" customHeight="false" outlineLevel="0" collapsed="false">
      <c r="A15" s="13"/>
      <c r="B15" s="12"/>
      <c r="C15" s="12"/>
      <c r="D15" s="14"/>
      <c r="E15" s="3" t="str">
        <f aca="false">IF(A15="","",TEXT(A15,"yyyy-mm"))</f>
        <v/>
      </c>
    </row>
    <row r="16" customFormat="false" ht="15" hidden="false" customHeight="false" outlineLevel="0" collapsed="false">
      <c r="A16" s="13"/>
      <c r="B16" s="12"/>
      <c r="C16" s="12"/>
      <c r="D16" s="14"/>
      <c r="E16" s="3" t="str">
        <f aca="false">IF(A16="","",TEXT(A16,"yyyy-mm"))</f>
        <v/>
      </c>
    </row>
    <row r="17" customFormat="false" ht="15" hidden="false" customHeight="false" outlineLevel="0" collapsed="false">
      <c r="A17" s="13"/>
      <c r="B17" s="12"/>
      <c r="C17" s="12"/>
      <c r="D17" s="14"/>
      <c r="E17" s="3" t="str">
        <f aca="false">IF(A17="","",TEXT(A17,"yyyy-mm"))</f>
        <v/>
      </c>
    </row>
    <row r="18" customFormat="false" ht="15" hidden="false" customHeight="false" outlineLevel="0" collapsed="false">
      <c r="A18" s="13"/>
      <c r="B18" s="12"/>
      <c r="C18" s="12"/>
      <c r="D18" s="14"/>
      <c r="E18" s="3" t="str">
        <f aca="false">IF(A18="","",TEXT(A18,"yyyy-mm"))</f>
        <v/>
      </c>
    </row>
    <row r="19" customFormat="false" ht="15" hidden="false" customHeight="false" outlineLevel="0" collapsed="false">
      <c r="A19" s="13"/>
      <c r="B19" s="12"/>
      <c r="C19" s="12"/>
      <c r="D19" s="14"/>
      <c r="E19" s="3" t="str">
        <f aca="false">IF(A19="","",TEXT(A19,"yyyy-mm"))</f>
        <v/>
      </c>
    </row>
    <row r="20" customFormat="false" ht="15" hidden="false" customHeight="false" outlineLevel="0" collapsed="false">
      <c r="A20" s="13"/>
      <c r="B20" s="12"/>
      <c r="C20" s="12"/>
      <c r="D20" s="14"/>
      <c r="E20" s="3" t="str">
        <f aca="false">IF(A20="","",TEXT(A20,"yyyy-mm"))</f>
        <v/>
      </c>
    </row>
    <row r="21" customFormat="false" ht="15" hidden="false" customHeight="false" outlineLevel="0" collapsed="false">
      <c r="A21" s="13"/>
      <c r="B21" s="12"/>
      <c r="C21" s="12"/>
      <c r="D21" s="14"/>
      <c r="E21" s="3" t="str">
        <f aca="false">IF(A21="","",TEXT(A21,"yyyy-mm"))</f>
        <v/>
      </c>
    </row>
    <row r="22" customFormat="false" ht="15" hidden="false" customHeight="false" outlineLevel="0" collapsed="false">
      <c r="A22" s="13"/>
      <c r="B22" s="12"/>
      <c r="C22" s="12"/>
      <c r="D22" s="14"/>
      <c r="E22" s="3" t="str">
        <f aca="false">IF(A22="","",TEXT(A22,"yyyy-mm"))</f>
        <v/>
      </c>
    </row>
    <row r="23" customFormat="false" ht="15" hidden="false" customHeight="false" outlineLevel="0" collapsed="false">
      <c r="A23" s="13"/>
      <c r="B23" s="12"/>
      <c r="C23" s="12"/>
      <c r="D23" s="14"/>
      <c r="E23" s="3" t="str">
        <f aca="false">IF(A23="","",TEXT(A23,"yyyy-mm"))</f>
        <v/>
      </c>
    </row>
    <row r="24" customFormat="false" ht="15" hidden="false" customHeight="false" outlineLevel="0" collapsed="false">
      <c r="A24" s="13"/>
      <c r="B24" s="12"/>
      <c r="C24" s="12"/>
      <c r="D24" s="14"/>
      <c r="E24" s="3" t="str">
        <f aca="false">IF(A24="","",TEXT(A24,"yyyy-mm"))</f>
        <v/>
      </c>
    </row>
    <row r="25" customFormat="false" ht="15" hidden="false" customHeight="false" outlineLevel="0" collapsed="false">
      <c r="A25" s="13"/>
      <c r="B25" s="12"/>
      <c r="C25" s="12"/>
      <c r="D25" s="14"/>
      <c r="E25" s="3" t="str">
        <f aca="false">IF(A25="","",TEXT(A25,"yyyy-mm"))</f>
        <v/>
      </c>
    </row>
    <row r="26" customFormat="false" ht="15" hidden="false" customHeight="false" outlineLevel="0" collapsed="false">
      <c r="A26" s="13"/>
      <c r="B26" s="12"/>
      <c r="C26" s="12"/>
      <c r="D26" s="14"/>
      <c r="E26" s="3" t="str">
        <f aca="false">IF(A26="","",TEXT(A26,"yyyy-mm"))</f>
        <v/>
      </c>
    </row>
    <row r="27" customFormat="false" ht="15" hidden="false" customHeight="false" outlineLevel="0" collapsed="false">
      <c r="A27" s="13"/>
      <c r="B27" s="12"/>
      <c r="C27" s="12"/>
      <c r="D27" s="14"/>
      <c r="E27" s="3" t="str">
        <f aca="false">IF(A27="","",TEXT(A27,"yyyy-mm"))</f>
        <v/>
      </c>
    </row>
    <row r="28" customFormat="false" ht="15" hidden="false" customHeight="false" outlineLevel="0" collapsed="false">
      <c r="A28" s="13"/>
      <c r="B28" s="12"/>
      <c r="C28" s="12"/>
      <c r="D28" s="14"/>
      <c r="E28" s="3" t="str">
        <f aca="false">IF(A28="","",TEXT(A28,"yyyy-mm"))</f>
        <v/>
      </c>
    </row>
    <row r="29" customFormat="false" ht="15" hidden="false" customHeight="false" outlineLevel="0" collapsed="false">
      <c r="A29" s="13"/>
      <c r="B29" s="12"/>
      <c r="C29" s="12"/>
      <c r="D29" s="14"/>
      <c r="E29" s="3" t="str">
        <f aca="false">IF(A29="","",TEXT(A29,"yyyy-mm"))</f>
        <v/>
      </c>
    </row>
    <row r="30" customFormat="false" ht="15" hidden="false" customHeight="false" outlineLevel="0" collapsed="false">
      <c r="A30" s="13"/>
      <c r="B30" s="12"/>
      <c r="C30" s="12"/>
      <c r="D30" s="14"/>
      <c r="E30" s="3" t="str">
        <f aca="false">IF(A30="","",TEXT(A30,"yyyy-mm"))</f>
        <v/>
      </c>
    </row>
    <row r="31" customFormat="false" ht="15" hidden="false" customHeight="false" outlineLevel="0" collapsed="false">
      <c r="A31" s="13"/>
      <c r="B31" s="12"/>
      <c r="C31" s="12"/>
      <c r="D31" s="14"/>
      <c r="E31" s="3" t="str">
        <f aca="false">IF(A31="","",TEXT(A31,"yyyy-mm"))</f>
        <v/>
      </c>
    </row>
    <row r="32" customFormat="false" ht="15" hidden="false" customHeight="false" outlineLevel="0" collapsed="false">
      <c r="A32" s="13"/>
      <c r="B32" s="12"/>
      <c r="C32" s="12"/>
      <c r="D32" s="14"/>
      <c r="E32" s="3" t="str">
        <f aca="false">IF(A32="","",TEXT(A32,"yyyy-mm"))</f>
        <v/>
      </c>
    </row>
    <row r="33" customFormat="false" ht="15" hidden="false" customHeight="false" outlineLevel="0" collapsed="false">
      <c r="A33" s="13"/>
      <c r="B33" s="12"/>
      <c r="C33" s="12"/>
      <c r="D33" s="14"/>
      <c r="E33" s="3" t="str">
        <f aca="false">IF(A33="","",TEXT(A33,"yyyy-mm"))</f>
        <v/>
      </c>
    </row>
    <row r="34" customFormat="false" ht="15" hidden="false" customHeight="false" outlineLevel="0" collapsed="false">
      <c r="A34" s="13"/>
      <c r="B34" s="12"/>
      <c r="C34" s="12"/>
      <c r="D34" s="14"/>
      <c r="E34" s="3" t="str">
        <f aca="false">IF(A34="","",TEXT(A34,"yyyy-mm"))</f>
        <v/>
      </c>
    </row>
    <row r="35" customFormat="false" ht="15" hidden="false" customHeight="false" outlineLevel="0" collapsed="false">
      <c r="A35" s="13"/>
      <c r="B35" s="12"/>
      <c r="C35" s="12"/>
      <c r="D35" s="14"/>
      <c r="E35" s="3" t="str">
        <f aca="false">IF(A35="","",TEXT(A35,"yyyy-mm"))</f>
        <v/>
      </c>
    </row>
    <row r="36" customFormat="false" ht="15" hidden="false" customHeight="false" outlineLevel="0" collapsed="false">
      <c r="A36" s="13"/>
      <c r="B36" s="12"/>
      <c r="C36" s="12"/>
      <c r="D36" s="14"/>
      <c r="E36" s="3" t="str">
        <f aca="false">IF(A36="","",TEXT(A36,"yyyy-mm"))</f>
        <v/>
      </c>
    </row>
    <row r="37" customFormat="false" ht="15" hidden="false" customHeight="false" outlineLevel="0" collapsed="false">
      <c r="A37" s="13"/>
      <c r="B37" s="12"/>
      <c r="C37" s="12"/>
      <c r="D37" s="14"/>
      <c r="E37" s="3" t="str">
        <f aca="false">IF(A37="","",TEXT(A37,"yyyy-mm"))</f>
        <v/>
      </c>
    </row>
    <row r="38" customFormat="false" ht="15" hidden="false" customHeight="false" outlineLevel="0" collapsed="false">
      <c r="A38" s="13"/>
      <c r="B38" s="12"/>
      <c r="C38" s="12"/>
      <c r="D38" s="14"/>
      <c r="E38" s="3" t="str">
        <f aca="false">IF(A38="","",TEXT(A38,"yyyy-mm"))</f>
        <v/>
      </c>
    </row>
    <row r="39" customFormat="false" ht="15" hidden="false" customHeight="false" outlineLevel="0" collapsed="false">
      <c r="A39" s="13"/>
      <c r="B39" s="12"/>
      <c r="C39" s="12"/>
      <c r="D39" s="14"/>
      <c r="E39" s="3" t="str">
        <f aca="false">IF(A39="","",TEXT(A39,"yyyy-mm"))</f>
        <v/>
      </c>
    </row>
    <row r="40" customFormat="false" ht="15" hidden="false" customHeight="false" outlineLevel="0" collapsed="false">
      <c r="A40" s="13"/>
      <c r="B40" s="12"/>
      <c r="C40" s="12"/>
      <c r="D40" s="14"/>
      <c r="E40" s="3" t="str">
        <f aca="false">IF(A40="","",TEXT(A40,"yyyy-mm"))</f>
        <v/>
      </c>
    </row>
    <row r="41" customFormat="false" ht="15" hidden="false" customHeight="false" outlineLevel="0" collapsed="false">
      <c r="A41" s="13"/>
      <c r="B41" s="12"/>
      <c r="C41" s="12"/>
      <c r="D41" s="14"/>
      <c r="E41" s="3" t="str">
        <f aca="false">IF(A41="","",TEXT(A41,"yyyy-mm"))</f>
        <v/>
      </c>
    </row>
    <row r="42" customFormat="false" ht="15" hidden="false" customHeight="false" outlineLevel="0" collapsed="false">
      <c r="A42" s="13"/>
      <c r="B42" s="12"/>
      <c r="C42" s="12"/>
      <c r="D42" s="14"/>
      <c r="E42" s="3" t="str">
        <f aca="false">IF(A42="","",TEXT(A42,"yyyy-mm"))</f>
        <v/>
      </c>
    </row>
    <row r="43" customFormat="false" ht="15" hidden="false" customHeight="false" outlineLevel="0" collapsed="false">
      <c r="A43" s="13"/>
      <c r="B43" s="12"/>
      <c r="C43" s="12"/>
      <c r="D43" s="14"/>
      <c r="E43" s="3" t="str">
        <f aca="false">IF(A43="","",TEXT(A43,"yyyy-mm"))</f>
        <v/>
      </c>
    </row>
    <row r="44" customFormat="false" ht="15" hidden="false" customHeight="false" outlineLevel="0" collapsed="false">
      <c r="A44" s="13"/>
      <c r="B44" s="12"/>
      <c r="C44" s="12"/>
      <c r="D44" s="14"/>
      <c r="E44" s="3" t="str">
        <f aca="false">IF(A44="","",TEXT(A44,"yyyy-mm"))</f>
        <v/>
      </c>
    </row>
    <row r="45" customFormat="false" ht="15" hidden="false" customHeight="false" outlineLevel="0" collapsed="false">
      <c r="A45" s="13"/>
      <c r="B45" s="12"/>
      <c r="C45" s="12"/>
      <c r="D45" s="14"/>
      <c r="E45" s="3" t="str">
        <f aca="false">IF(A45="","",TEXT(A45,"yyyy-mm"))</f>
        <v/>
      </c>
    </row>
    <row r="46" customFormat="false" ht="15" hidden="false" customHeight="false" outlineLevel="0" collapsed="false">
      <c r="A46" s="13"/>
      <c r="B46" s="12"/>
      <c r="C46" s="12"/>
      <c r="D46" s="14"/>
      <c r="E46" s="3" t="str">
        <f aca="false">IF(A46="","",TEXT(A46,"yyyy-mm"))</f>
        <v/>
      </c>
    </row>
    <row r="47" customFormat="false" ht="15" hidden="false" customHeight="false" outlineLevel="0" collapsed="false">
      <c r="A47" s="13"/>
      <c r="B47" s="12"/>
      <c r="C47" s="12"/>
      <c r="D47" s="14"/>
      <c r="E47" s="3" t="str">
        <f aca="false">IF(A47="","",TEXT(A47,"yyyy-mm"))</f>
        <v/>
      </c>
    </row>
    <row r="48" customFormat="false" ht="15" hidden="false" customHeight="false" outlineLevel="0" collapsed="false">
      <c r="A48" s="13"/>
      <c r="B48" s="12"/>
      <c r="C48" s="12"/>
      <c r="D48" s="14"/>
      <c r="E48" s="3" t="str">
        <f aca="false">IF(A48="","",TEXT(A48,"yyyy-mm"))</f>
        <v/>
      </c>
    </row>
    <row r="49" customFormat="false" ht="15" hidden="false" customHeight="false" outlineLevel="0" collapsed="false">
      <c r="A49" s="13"/>
      <c r="B49" s="12"/>
      <c r="C49" s="12"/>
      <c r="D49" s="14"/>
      <c r="E49" s="3" t="str">
        <f aca="false">IF(A49="","",TEXT(A49,"yyyy-mm"))</f>
        <v/>
      </c>
    </row>
    <row r="50" customFormat="false" ht="15" hidden="false" customHeight="false" outlineLevel="0" collapsed="false">
      <c r="A50" s="13"/>
      <c r="B50" s="12"/>
      <c r="C50" s="12"/>
      <c r="D50" s="14"/>
      <c r="E50" s="3" t="str">
        <f aca="false">IF(A50="","",TEXT(A50,"yyyy-mm"))</f>
        <v/>
      </c>
    </row>
    <row r="51" customFormat="false" ht="15" hidden="false" customHeight="false" outlineLevel="0" collapsed="false">
      <c r="A51" s="13"/>
      <c r="B51" s="12"/>
      <c r="C51" s="12"/>
      <c r="D51" s="14"/>
      <c r="E51" s="3" t="str">
        <f aca="false">IF(A51="","",TEXT(A51,"yyyy-mm"))</f>
        <v/>
      </c>
    </row>
    <row r="52" customFormat="false" ht="15" hidden="false" customHeight="false" outlineLevel="0" collapsed="false">
      <c r="A52" s="13"/>
      <c r="B52" s="12"/>
      <c r="C52" s="12"/>
      <c r="D52" s="14"/>
      <c r="E52" s="3" t="str">
        <f aca="false">IF(A52="","",TEXT(A52,"yyyy-mm"))</f>
        <v/>
      </c>
    </row>
    <row r="53" customFormat="false" ht="15" hidden="false" customHeight="false" outlineLevel="0" collapsed="false">
      <c r="A53" s="13"/>
      <c r="B53" s="12"/>
      <c r="C53" s="12"/>
      <c r="D53" s="14"/>
      <c r="E53" s="3" t="str">
        <f aca="false">IF(A53="","",TEXT(A53,"yyyy-mm"))</f>
        <v/>
      </c>
    </row>
    <row r="54" customFormat="false" ht="15" hidden="false" customHeight="false" outlineLevel="0" collapsed="false">
      <c r="A54" s="13"/>
      <c r="B54" s="12"/>
      <c r="C54" s="12"/>
      <c r="D54" s="14"/>
      <c r="E54" s="3" t="str">
        <f aca="false">IF(A54="","",TEXT(A54,"yyyy-mm"))</f>
        <v/>
      </c>
    </row>
    <row r="55" customFormat="false" ht="15" hidden="false" customHeight="false" outlineLevel="0" collapsed="false">
      <c r="A55" s="13"/>
      <c r="B55" s="12"/>
      <c r="C55" s="12"/>
      <c r="D55" s="14"/>
      <c r="E55" s="3" t="str">
        <f aca="false">IF(A55="","",TEXT(A55,"yyyy-mm"))</f>
        <v/>
      </c>
    </row>
    <row r="56" customFormat="false" ht="15" hidden="false" customHeight="false" outlineLevel="0" collapsed="false">
      <c r="A56" s="13"/>
      <c r="B56" s="12"/>
      <c r="C56" s="12"/>
      <c r="D56" s="14"/>
      <c r="E56" s="3" t="str">
        <f aca="false">IF(A56="","",TEXT(A56,"yyyy-mm"))</f>
        <v/>
      </c>
    </row>
    <row r="57" customFormat="false" ht="15" hidden="false" customHeight="false" outlineLevel="0" collapsed="false">
      <c r="A57" s="13"/>
      <c r="B57" s="12"/>
      <c r="C57" s="12"/>
      <c r="D57" s="14"/>
      <c r="E57" s="3" t="str">
        <f aca="false">IF(A57="","",TEXT(A57,"yyyy-mm"))</f>
        <v/>
      </c>
    </row>
    <row r="58" customFormat="false" ht="15" hidden="false" customHeight="false" outlineLevel="0" collapsed="false">
      <c r="A58" s="13"/>
      <c r="B58" s="12"/>
      <c r="C58" s="12"/>
      <c r="D58" s="14"/>
      <c r="E58" s="3" t="str">
        <f aca="false">IF(A58="","",TEXT(A58,"yyyy-mm"))</f>
        <v/>
      </c>
    </row>
    <row r="59" customFormat="false" ht="15" hidden="false" customHeight="false" outlineLevel="0" collapsed="false">
      <c r="A59" s="13"/>
      <c r="B59" s="12"/>
      <c r="C59" s="12"/>
      <c r="D59" s="14"/>
      <c r="E59" s="3" t="str">
        <f aca="false">IF(A59="","",TEXT(A59,"yyyy-mm"))</f>
        <v/>
      </c>
    </row>
    <row r="60" customFormat="false" ht="15" hidden="false" customHeight="false" outlineLevel="0" collapsed="false">
      <c r="A60" s="13"/>
      <c r="B60" s="12"/>
      <c r="C60" s="12"/>
      <c r="D60" s="14"/>
      <c r="E60" s="3" t="str">
        <f aca="false">IF(A60="","",TEXT(A60,"yyyy-mm"))</f>
        <v/>
      </c>
    </row>
    <row r="61" customFormat="false" ht="15" hidden="false" customHeight="false" outlineLevel="0" collapsed="false">
      <c r="A61" s="13"/>
      <c r="B61" s="12"/>
      <c r="C61" s="12"/>
      <c r="D61" s="14"/>
      <c r="E61" s="3" t="str">
        <f aca="false">IF(A61="","",TEXT(A61,"yyyy-mm"))</f>
        <v/>
      </c>
    </row>
    <row r="62" customFormat="false" ht="15" hidden="false" customHeight="false" outlineLevel="0" collapsed="false">
      <c r="A62" s="13"/>
      <c r="B62" s="12"/>
      <c r="C62" s="12"/>
      <c r="D62" s="14"/>
      <c r="E62" s="3" t="str">
        <f aca="false">IF(A62="","",TEXT(A62,"yyyy-mm"))</f>
        <v/>
      </c>
    </row>
    <row r="63" customFormat="false" ht="15" hidden="false" customHeight="false" outlineLevel="0" collapsed="false">
      <c r="A63" s="13"/>
      <c r="B63" s="12"/>
      <c r="C63" s="12"/>
      <c r="D63" s="14"/>
      <c r="E63" s="3" t="str">
        <f aca="false">IF(A63="","",TEXT(A63,"yyyy-mm"))</f>
        <v/>
      </c>
    </row>
    <row r="64" customFormat="false" ht="15" hidden="false" customHeight="false" outlineLevel="0" collapsed="false">
      <c r="A64" s="13"/>
      <c r="B64" s="12"/>
      <c r="C64" s="12"/>
      <c r="D64" s="14"/>
      <c r="E64" s="3" t="str">
        <f aca="false">IF(A64="","",TEXT(A64,"yyyy-mm"))</f>
        <v/>
      </c>
    </row>
    <row r="65" customFormat="false" ht="15" hidden="false" customHeight="false" outlineLevel="0" collapsed="false">
      <c r="A65" s="13"/>
      <c r="B65" s="12"/>
      <c r="C65" s="12"/>
      <c r="D65" s="14"/>
      <c r="E65" s="3" t="str">
        <f aca="false">IF(A65="","",TEXT(A65,"yyyy-mm"))</f>
        <v/>
      </c>
    </row>
    <row r="66" customFormat="false" ht="15" hidden="false" customHeight="false" outlineLevel="0" collapsed="false">
      <c r="A66" s="13"/>
      <c r="B66" s="12"/>
      <c r="C66" s="12"/>
      <c r="D66" s="14"/>
      <c r="E66" s="3" t="str">
        <f aca="false">IF(A66="","",TEXT(A66,"yyyy-mm"))</f>
        <v/>
      </c>
    </row>
    <row r="67" customFormat="false" ht="15" hidden="false" customHeight="false" outlineLevel="0" collapsed="false">
      <c r="A67" s="13"/>
      <c r="B67" s="12"/>
      <c r="C67" s="12"/>
      <c r="D67" s="14"/>
      <c r="E67" s="3" t="str">
        <f aca="false">IF(A67="","",TEXT(A67,"yyyy-mm"))</f>
        <v/>
      </c>
    </row>
    <row r="68" customFormat="false" ht="15" hidden="false" customHeight="false" outlineLevel="0" collapsed="false">
      <c r="A68" s="13"/>
      <c r="B68" s="12"/>
      <c r="C68" s="12"/>
      <c r="D68" s="14"/>
      <c r="E68" s="3" t="str">
        <f aca="false">IF(A68="","",TEXT(A68,"yyyy-mm"))</f>
        <v/>
      </c>
    </row>
    <row r="69" customFormat="false" ht="15" hidden="false" customHeight="false" outlineLevel="0" collapsed="false">
      <c r="A69" s="13"/>
      <c r="B69" s="12"/>
      <c r="C69" s="12"/>
      <c r="D69" s="14"/>
      <c r="E69" s="3" t="str">
        <f aca="false">IF(A69="","",TEXT(A69,"yyyy-mm"))</f>
        <v/>
      </c>
    </row>
    <row r="70" customFormat="false" ht="15" hidden="false" customHeight="false" outlineLevel="0" collapsed="false">
      <c r="A70" s="13"/>
      <c r="B70" s="12"/>
      <c r="C70" s="12"/>
      <c r="D70" s="14"/>
      <c r="E70" s="3" t="str">
        <f aca="false">IF(A70="","",TEXT(A70,"yyyy-mm"))</f>
        <v/>
      </c>
    </row>
    <row r="71" customFormat="false" ht="15" hidden="false" customHeight="false" outlineLevel="0" collapsed="false">
      <c r="A71" s="13"/>
      <c r="B71" s="12"/>
      <c r="C71" s="12"/>
      <c r="D71" s="14"/>
      <c r="E71" s="3" t="str">
        <f aca="false">IF(A71="","",TEXT(A71,"yyyy-mm"))</f>
        <v/>
      </c>
    </row>
    <row r="72" customFormat="false" ht="15" hidden="false" customHeight="false" outlineLevel="0" collapsed="false">
      <c r="A72" s="13"/>
      <c r="B72" s="12"/>
      <c r="C72" s="12"/>
      <c r="D72" s="14"/>
      <c r="E72" s="3" t="str">
        <f aca="false">IF(A72="","",TEXT(A72,"yyyy-mm"))</f>
        <v/>
      </c>
    </row>
    <row r="73" customFormat="false" ht="15" hidden="false" customHeight="false" outlineLevel="0" collapsed="false">
      <c r="A73" s="13"/>
      <c r="B73" s="12"/>
      <c r="C73" s="12"/>
      <c r="D73" s="14"/>
      <c r="E73" s="3" t="str">
        <f aca="false">IF(A73="","",TEXT(A73,"yyyy-mm"))</f>
        <v/>
      </c>
    </row>
    <row r="74" customFormat="false" ht="15" hidden="false" customHeight="false" outlineLevel="0" collapsed="false">
      <c r="A74" s="13"/>
      <c r="B74" s="12"/>
      <c r="C74" s="12"/>
      <c r="D74" s="14"/>
      <c r="E74" s="3" t="str">
        <f aca="false">IF(A74="","",TEXT(A74,"yyyy-mm"))</f>
        <v/>
      </c>
    </row>
    <row r="75" customFormat="false" ht="15" hidden="false" customHeight="false" outlineLevel="0" collapsed="false">
      <c r="A75" s="13"/>
      <c r="B75" s="12"/>
      <c r="C75" s="12"/>
      <c r="D75" s="14"/>
      <c r="E75" s="3" t="str">
        <f aca="false">IF(A75="","",TEXT(A75,"yyyy-mm"))</f>
        <v/>
      </c>
    </row>
    <row r="76" customFormat="false" ht="15" hidden="false" customHeight="false" outlineLevel="0" collapsed="false">
      <c r="A76" s="13"/>
      <c r="B76" s="12"/>
      <c r="C76" s="12"/>
      <c r="D76" s="14"/>
      <c r="E76" s="3" t="str">
        <f aca="false">IF(A76="","",TEXT(A76,"yyyy-mm"))</f>
        <v/>
      </c>
    </row>
    <row r="77" customFormat="false" ht="15" hidden="false" customHeight="false" outlineLevel="0" collapsed="false">
      <c r="A77" s="13"/>
      <c r="B77" s="12"/>
      <c r="C77" s="12"/>
      <c r="D77" s="14"/>
      <c r="E77" s="3" t="str">
        <f aca="false">IF(A77="","",TEXT(A77,"yyyy-mm"))</f>
        <v/>
      </c>
    </row>
    <row r="78" customFormat="false" ht="15" hidden="false" customHeight="false" outlineLevel="0" collapsed="false">
      <c r="A78" s="13"/>
      <c r="B78" s="12"/>
      <c r="C78" s="12"/>
      <c r="D78" s="14"/>
      <c r="E78" s="3" t="str">
        <f aca="false">IF(A78="","",TEXT(A78,"yyyy-mm"))</f>
        <v/>
      </c>
    </row>
    <row r="79" customFormat="false" ht="15" hidden="false" customHeight="false" outlineLevel="0" collapsed="false">
      <c r="A79" s="13"/>
      <c r="B79" s="12"/>
      <c r="C79" s="12"/>
      <c r="D79" s="14"/>
      <c r="E79" s="3" t="str">
        <f aca="false">IF(A79="","",TEXT(A79,"yyyy-mm"))</f>
        <v/>
      </c>
    </row>
    <row r="80" customFormat="false" ht="15" hidden="false" customHeight="false" outlineLevel="0" collapsed="false">
      <c r="A80" s="13"/>
      <c r="B80" s="12"/>
      <c r="C80" s="12"/>
      <c r="D80" s="14"/>
      <c r="E80" s="3" t="str">
        <f aca="false">IF(A80="","",TEXT(A80,"yyyy-mm"))</f>
        <v/>
      </c>
    </row>
    <row r="81" customFormat="false" ht="15" hidden="false" customHeight="false" outlineLevel="0" collapsed="false">
      <c r="A81" s="13"/>
      <c r="B81" s="12"/>
      <c r="C81" s="12"/>
      <c r="D81" s="14"/>
      <c r="E81" s="3" t="str">
        <f aca="false">IF(A81="","",TEXT(A81,"yyyy-mm"))</f>
        <v/>
      </c>
    </row>
    <row r="82" customFormat="false" ht="15" hidden="false" customHeight="false" outlineLevel="0" collapsed="false">
      <c r="A82" s="13"/>
      <c r="B82" s="12"/>
      <c r="C82" s="12"/>
      <c r="D82" s="14"/>
      <c r="E82" s="3" t="str">
        <f aca="false">IF(A82="","",TEXT(A82,"yyyy-mm"))</f>
        <v/>
      </c>
    </row>
    <row r="83" customFormat="false" ht="15" hidden="false" customHeight="false" outlineLevel="0" collapsed="false">
      <c r="A83" s="13"/>
      <c r="B83" s="12"/>
      <c r="C83" s="12"/>
      <c r="D83" s="14"/>
      <c r="E83" s="3" t="str">
        <f aca="false">IF(A83="","",TEXT(A83,"yyyy-mm"))</f>
        <v/>
      </c>
    </row>
    <row r="84" customFormat="false" ht="15" hidden="false" customHeight="false" outlineLevel="0" collapsed="false">
      <c r="A84" s="13"/>
      <c r="B84" s="12"/>
      <c r="C84" s="12"/>
      <c r="D84" s="14"/>
      <c r="E84" s="3" t="str">
        <f aca="false">IF(A84="","",TEXT(A84,"yyyy-mm"))</f>
        <v/>
      </c>
    </row>
    <row r="85" customFormat="false" ht="15" hidden="false" customHeight="false" outlineLevel="0" collapsed="false">
      <c r="A85" s="13"/>
      <c r="B85" s="12"/>
      <c r="C85" s="12"/>
      <c r="D85" s="14"/>
      <c r="E85" s="3" t="str">
        <f aca="false">IF(A85="","",TEXT(A85,"yyyy-mm"))</f>
        <v/>
      </c>
    </row>
    <row r="86" customFormat="false" ht="15" hidden="false" customHeight="false" outlineLevel="0" collapsed="false">
      <c r="A86" s="13"/>
      <c r="B86" s="12"/>
      <c r="C86" s="12"/>
      <c r="D86" s="14"/>
      <c r="E86" s="3" t="str">
        <f aca="false">IF(A86="","",TEXT(A86,"yyyy-mm"))</f>
        <v/>
      </c>
    </row>
    <row r="87" customFormat="false" ht="15" hidden="false" customHeight="false" outlineLevel="0" collapsed="false">
      <c r="A87" s="13"/>
      <c r="B87" s="12"/>
      <c r="C87" s="12"/>
      <c r="D87" s="14"/>
      <c r="E87" s="3" t="str">
        <f aca="false">IF(A87="","",TEXT(A87,"yyyy-mm"))</f>
        <v/>
      </c>
    </row>
    <row r="88" customFormat="false" ht="15" hidden="false" customHeight="false" outlineLevel="0" collapsed="false">
      <c r="A88" s="13"/>
      <c r="B88" s="12"/>
      <c r="C88" s="12"/>
      <c r="D88" s="14"/>
      <c r="E88" s="3" t="str">
        <f aca="false">IF(A88="","",TEXT(A88,"yyyy-mm"))</f>
        <v/>
      </c>
    </row>
    <row r="89" customFormat="false" ht="15" hidden="false" customHeight="false" outlineLevel="0" collapsed="false">
      <c r="A89" s="13"/>
      <c r="B89" s="12"/>
      <c r="C89" s="12"/>
      <c r="D89" s="14"/>
      <c r="E89" s="3" t="str">
        <f aca="false">IF(A89="","",TEXT(A89,"yyyy-mm"))</f>
        <v/>
      </c>
    </row>
    <row r="90" customFormat="false" ht="15" hidden="false" customHeight="false" outlineLevel="0" collapsed="false">
      <c r="A90" s="13"/>
      <c r="B90" s="12"/>
      <c r="C90" s="12"/>
      <c r="D90" s="14"/>
      <c r="E90" s="3" t="str">
        <f aca="false">IF(A90="","",TEXT(A90,"yyyy-mm"))</f>
        <v/>
      </c>
    </row>
    <row r="91" customFormat="false" ht="15" hidden="false" customHeight="false" outlineLevel="0" collapsed="false">
      <c r="A91" s="13"/>
      <c r="B91" s="12"/>
      <c r="C91" s="12"/>
      <c r="D91" s="14"/>
      <c r="E91" s="3" t="str">
        <f aca="false">IF(A91="","",TEXT(A91,"yyyy-mm"))</f>
        <v/>
      </c>
    </row>
    <row r="92" customFormat="false" ht="15" hidden="false" customHeight="false" outlineLevel="0" collapsed="false">
      <c r="A92" s="13"/>
      <c r="B92" s="12"/>
      <c r="C92" s="12"/>
      <c r="D92" s="14"/>
      <c r="E92" s="3" t="str">
        <f aca="false">IF(A92="","",TEXT(A92,"yyyy-mm"))</f>
        <v/>
      </c>
    </row>
    <row r="93" customFormat="false" ht="15" hidden="false" customHeight="false" outlineLevel="0" collapsed="false">
      <c r="A93" s="13"/>
      <c r="B93" s="12"/>
      <c r="C93" s="12"/>
      <c r="D93" s="14"/>
      <c r="E93" s="3" t="str">
        <f aca="false">IF(A93="","",TEXT(A93,"yyyy-mm"))</f>
        <v/>
      </c>
    </row>
    <row r="94" customFormat="false" ht="15" hidden="false" customHeight="false" outlineLevel="0" collapsed="false">
      <c r="A94" s="13"/>
      <c r="B94" s="12"/>
      <c r="C94" s="12"/>
      <c r="D94" s="14"/>
      <c r="E94" s="3" t="str">
        <f aca="false">IF(A94="","",TEXT(A94,"yyyy-mm"))</f>
        <v/>
      </c>
    </row>
    <row r="95" customFormat="false" ht="15" hidden="false" customHeight="false" outlineLevel="0" collapsed="false">
      <c r="A95" s="13"/>
      <c r="B95" s="12"/>
      <c r="C95" s="12"/>
      <c r="D95" s="14"/>
      <c r="E95" s="3" t="str">
        <f aca="false">IF(A95="","",TEXT(A95,"yyyy-mm"))</f>
        <v/>
      </c>
    </row>
    <row r="96" customFormat="false" ht="15" hidden="false" customHeight="false" outlineLevel="0" collapsed="false">
      <c r="A96" s="13"/>
      <c r="B96" s="12"/>
      <c r="C96" s="12"/>
      <c r="D96" s="14"/>
      <c r="E96" s="3" t="str">
        <f aca="false">IF(A96="","",TEXT(A96,"yyyy-mm"))</f>
        <v/>
      </c>
    </row>
    <row r="97" customFormat="false" ht="15" hidden="false" customHeight="false" outlineLevel="0" collapsed="false">
      <c r="A97" s="13"/>
      <c r="B97" s="12"/>
      <c r="C97" s="12"/>
      <c r="D97" s="14"/>
      <c r="E97" s="3" t="str">
        <f aca="false">IF(A97="","",TEXT(A97,"yyyy-mm"))</f>
        <v/>
      </c>
    </row>
    <row r="98" customFormat="false" ht="15" hidden="false" customHeight="false" outlineLevel="0" collapsed="false">
      <c r="A98" s="13"/>
      <c r="B98" s="12"/>
      <c r="C98" s="12"/>
      <c r="D98" s="14"/>
      <c r="E98" s="3" t="str">
        <f aca="false">IF(A98="","",TEXT(A98,"yyyy-mm"))</f>
        <v/>
      </c>
    </row>
    <row r="99" customFormat="false" ht="15" hidden="false" customHeight="false" outlineLevel="0" collapsed="false">
      <c r="A99" s="13"/>
      <c r="B99" s="12"/>
      <c r="C99" s="12"/>
      <c r="D99" s="14"/>
      <c r="E99" s="3" t="str">
        <f aca="false">IF(A99="","",TEXT(A99,"yyyy-mm"))</f>
        <v/>
      </c>
    </row>
    <row r="100" customFormat="false" ht="15" hidden="false" customHeight="false" outlineLevel="0" collapsed="false">
      <c r="A100" s="13"/>
      <c r="B100" s="12"/>
      <c r="C100" s="12"/>
      <c r="D100" s="14"/>
      <c r="E100" s="3" t="str">
        <f aca="false">IF(A100="","",TEXT(A100,"yyyy-mm"))</f>
        <v/>
      </c>
    </row>
    <row r="101" customFormat="false" ht="15" hidden="false" customHeight="false" outlineLevel="0" collapsed="false">
      <c r="A101" s="13"/>
      <c r="B101" s="12"/>
      <c r="C101" s="12"/>
      <c r="D101" s="14"/>
      <c r="E101" s="3" t="str">
        <f aca="false">IF(A101="","",TEXT(A101,"yyyy-mm"))</f>
        <v/>
      </c>
    </row>
    <row r="102" customFormat="false" ht="15" hidden="false" customHeight="false" outlineLevel="0" collapsed="false">
      <c r="A102" s="13"/>
      <c r="B102" s="12"/>
      <c r="C102" s="12"/>
      <c r="D102" s="14"/>
      <c r="E102" s="3" t="str">
        <f aca="false">IF(A102="","",TEXT(A102,"yyyy-mm"))</f>
        <v/>
      </c>
    </row>
    <row r="103" customFormat="false" ht="15" hidden="false" customHeight="false" outlineLevel="0" collapsed="false">
      <c r="A103" s="13"/>
      <c r="B103" s="12"/>
      <c r="C103" s="12"/>
      <c r="D103" s="14"/>
      <c r="E103" s="3" t="str">
        <f aca="false">IF(A103="","",TEXT(A103,"yyyy-mm"))</f>
        <v/>
      </c>
    </row>
    <row r="104" customFormat="false" ht="15" hidden="false" customHeight="false" outlineLevel="0" collapsed="false">
      <c r="A104" s="13"/>
      <c r="B104" s="12"/>
      <c r="C104" s="12"/>
      <c r="D104" s="14"/>
      <c r="E104" s="3" t="str">
        <f aca="false">IF(A104="","",TEXT(A104,"yyyy-mm"))</f>
        <v/>
      </c>
    </row>
    <row r="105" customFormat="false" ht="15" hidden="false" customHeight="false" outlineLevel="0" collapsed="false">
      <c r="A105" s="13"/>
      <c r="B105" s="12"/>
      <c r="C105" s="12"/>
      <c r="D105" s="14"/>
      <c r="E105" s="3" t="str">
        <f aca="false">IF(A105="","",TEXT(A105,"yyyy-mm"))</f>
        <v/>
      </c>
    </row>
    <row r="106" customFormat="false" ht="15" hidden="false" customHeight="false" outlineLevel="0" collapsed="false">
      <c r="A106" s="13"/>
      <c r="B106" s="12"/>
      <c r="C106" s="12"/>
      <c r="D106" s="14"/>
      <c r="E106" s="3" t="str">
        <f aca="false">IF(A106="","",TEXT(A106,"yyyy-mm"))</f>
        <v/>
      </c>
    </row>
    <row r="107" customFormat="false" ht="15" hidden="false" customHeight="false" outlineLevel="0" collapsed="false">
      <c r="A107" s="13"/>
      <c r="B107" s="12"/>
      <c r="C107" s="12"/>
      <c r="D107" s="14"/>
      <c r="E107" s="3" t="str">
        <f aca="false">IF(A107="","",TEXT(A107,"yyyy-mm"))</f>
        <v/>
      </c>
    </row>
    <row r="108" customFormat="false" ht="15" hidden="false" customHeight="false" outlineLevel="0" collapsed="false">
      <c r="A108" s="13"/>
      <c r="B108" s="12"/>
      <c r="C108" s="12"/>
      <c r="D108" s="14"/>
      <c r="E108" s="3" t="str">
        <f aca="false">IF(A108="","",TEXT(A108,"yyyy-mm"))</f>
        <v/>
      </c>
    </row>
    <row r="109" customFormat="false" ht="15" hidden="false" customHeight="false" outlineLevel="0" collapsed="false">
      <c r="A109" s="13"/>
      <c r="B109" s="12"/>
      <c r="C109" s="12"/>
      <c r="D109" s="14"/>
      <c r="E109" s="3" t="str">
        <f aca="false">IF(A109="","",TEXT(A109,"yyyy-mm"))</f>
        <v/>
      </c>
    </row>
    <row r="110" customFormat="false" ht="15" hidden="false" customHeight="false" outlineLevel="0" collapsed="false">
      <c r="A110" s="13"/>
      <c r="B110" s="12"/>
      <c r="C110" s="12"/>
      <c r="D110" s="14"/>
      <c r="E110" s="3" t="str">
        <f aca="false">IF(A110="","",TEXT(A110,"yyyy-mm"))</f>
        <v/>
      </c>
    </row>
    <row r="111" customFormat="false" ht="15" hidden="false" customHeight="false" outlineLevel="0" collapsed="false">
      <c r="A111" s="13"/>
      <c r="B111" s="12"/>
      <c r="C111" s="12"/>
      <c r="D111" s="14"/>
      <c r="E111" s="3" t="str">
        <f aca="false">IF(A111="","",TEXT(A111,"yyyy-mm"))</f>
        <v/>
      </c>
    </row>
    <row r="112" customFormat="false" ht="15" hidden="false" customHeight="false" outlineLevel="0" collapsed="false">
      <c r="A112" s="13"/>
      <c r="B112" s="12"/>
      <c r="C112" s="12"/>
      <c r="D112" s="14"/>
      <c r="E112" s="3" t="str">
        <f aca="false">IF(A112="","",TEXT(A112,"yyyy-mm"))</f>
        <v/>
      </c>
    </row>
    <row r="113" customFormat="false" ht="15" hidden="false" customHeight="false" outlineLevel="0" collapsed="false">
      <c r="A113" s="13"/>
      <c r="B113" s="12"/>
      <c r="C113" s="12"/>
      <c r="D113" s="14"/>
      <c r="E113" s="3" t="str">
        <f aca="false">IF(A113="","",TEXT(A113,"yyyy-mm"))</f>
        <v/>
      </c>
    </row>
    <row r="114" customFormat="false" ht="15" hidden="false" customHeight="false" outlineLevel="0" collapsed="false">
      <c r="A114" s="13"/>
      <c r="B114" s="12"/>
      <c r="C114" s="12"/>
      <c r="D114" s="14"/>
      <c r="E114" s="3" t="str">
        <f aca="false">IF(A114="","",TEXT(A114,"yyyy-mm"))</f>
        <v/>
      </c>
    </row>
    <row r="115" customFormat="false" ht="15" hidden="false" customHeight="false" outlineLevel="0" collapsed="false">
      <c r="A115" s="13"/>
      <c r="B115" s="12"/>
      <c r="C115" s="12"/>
      <c r="D115" s="14"/>
      <c r="E115" s="3" t="str">
        <f aca="false">IF(A115="","",TEXT(A115,"yyyy-mm"))</f>
        <v/>
      </c>
    </row>
    <row r="116" customFormat="false" ht="15" hidden="false" customHeight="false" outlineLevel="0" collapsed="false">
      <c r="A116" s="13"/>
      <c r="B116" s="12"/>
      <c r="C116" s="12"/>
      <c r="D116" s="14"/>
      <c r="E116" s="3" t="str">
        <f aca="false">IF(A116="","",TEXT(A116,"yyyy-mm"))</f>
        <v/>
      </c>
    </row>
    <row r="117" customFormat="false" ht="15" hidden="false" customHeight="false" outlineLevel="0" collapsed="false">
      <c r="A117" s="13"/>
      <c r="B117" s="12"/>
      <c r="C117" s="12"/>
      <c r="D117" s="14"/>
      <c r="E117" s="3" t="str">
        <f aca="false">IF(A117="","",TEXT(A117,"yyyy-mm"))</f>
        <v/>
      </c>
    </row>
    <row r="118" customFormat="false" ht="15" hidden="false" customHeight="false" outlineLevel="0" collapsed="false">
      <c r="A118" s="13"/>
      <c r="B118" s="12"/>
      <c r="C118" s="12"/>
      <c r="D118" s="14"/>
      <c r="E118" s="3" t="str">
        <f aca="false">IF(A118="","",TEXT(A118,"yyyy-mm"))</f>
        <v/>
      </c>
    </row>
    <row r="119" customFormat="false" ht="15" hidden="false" customHeight="false" outlineLevel="0" collapsed="false">
      <c r="A119" s="13"/>
      <c r="B119" s="12"/>
      <c r="C119" s="12"/>
      <c r="D119" s="14"/>
      <c r="E119" s="3" t="str">
        <f aca="false">IF(A119="","",TEXT(A119,"yyyy-mm"))</f>
        <v/>
      </c>
    </row>
    <row r="120" customFormat="false" ht="15" hidden="false" customHeight="false" outlineLevel="0" collapsed="false">
      <c r="A120" s="13"/>
      <c r="B120" s="12"/>
      <c r="C120" s="12"/>
      <c r="D120" s="14"/>
      <c r="E120" s="3" t="str">
        <f aca="false">IF(A120="","",TEXT(A120,"yyyy-mm"))</f>
        <v/>
      </c>
    </row>
    <row r="121" customFormat="false" ht="15" hidden="false" customHeight="false" outlineLevel="0" collapsed="false">
      <c r="A121" s="13"/>
      <c r="B121" s="12"/>
      <c r="C121" s="12"/>
      <c r="D121" s="14"/>
      <c r="E121" s="3" t="str">
        <f aca="false">IF(A121="","",TEXT(A121,"yyyy-mm"))</f>
        <v/>
      </c>
    </row>
    <row r="122" customFormat="false" ht="15" hidden="false" customHeight="false" outlineLevel="0" collapsed="false">
      <c r="A122" s="13"/>
      <c r="B122" s="12"/>
      <c r="C122" s="12"/>
      <c r="D122" s="14"/>
      <c r="E122" s="3" t="str">
        <f aca="false">IF(A122="","",TEXT(A122,"yyyy-mm"))</f>
        <v/>
      </c>
    </row>
    <row r="123" customFormat="false" ht="15" hidden="false" customHeight="false" outlineLevel="0" collapsed="false">
      <c r="A123" s="13"/>
      <c r="B123" s="12"/>
      <c r="C123" s="12"/>
      <c r="D123" s="14"/>
      <c r="E123" s="3" t="str">
        <f aca="false">IF(A123="","",TEXT(A123,"yyyy-mm"))</f>
        <v/>
      </c>
    </row>
    <row r="124" customFormat="false" ht="15" hidden="false" customHeight="false" outlineLevel="0" collapsed="false">
      <c r="A124" s="13"/>
      <c r="B124" s="12"/>
      <c r="C124" s="12"/>
      <c r="D124" s="14"/>
      <c r="E124" s="3" t="str">
        <f aca="false">IF(A124="","",TEXT(A124,"yyyy-mm"))</f>
        <v/>
      </c>
    </row>
    <row r="125" customFormat="false" ht="15" hidden="false" customHeight="false" outlineLevel="0" collapsed="false">
      <c r="A125" s="13"/>
      <c r="B125" s="12"/>
      <c r="C125" s="12"/>
      <c r="D125" s="14"/>
      <c r="E125" s="3" t="str">
        <f aca="false">IF(A125="","",TEXT(A125,"yyyy-mm"))</f>
        <v/>
      </c>
    </row>
    <row r="126" customFormat="false" ht="15" hidden="false" customHeight="false" outlineLevel="0" collapsed="false">
      <c r="A126" s="13"/>
      <c r="B126" s="12"/>
      <c r="C126" s="12"/>
      <c r="D126" s="14"/>
      <c r="E126" s="3" t="str">
        <f aca="false">IF(A126="","",TEXT(A126,"yyyy-mm"))</f>
        <v/>
      </c>
    </row>
    <row r="127" customFormat="false" ht="15" hidden="false" customHeight="false" outlineLevel="0" collapsed="false">
      <c r="A127" s="13"/>
      <c r="B127" s="12"/>
      <c r="C127" s="12"/>
      <c r="D127" s="14"/>
      <c r="E127" s="3" t="str">
        <f aca="false">IF(A127="","",TEXT(A127,"yyyy-mm"))</f>
        <v/>
      </c>
    </row>
    <row r="128" customFormat="false" ht="15" hidden="false" customHeight="false" outlineLevel="0" collapsed="false">
      <c r="A128" s="13"/>
      <c r="B128" s="12"/>
      <c r="C128" s="12"/>
      <c r="D128" s="14"/>
      <c r="E128" s="3" t="str">
        <f aca="false">IF(A128="","",TEXT(A128,"yyyy-mm"))</f>
        <v/>
      </c>
    </row>
    <row r="129" customFormat="false" ht="15" hidden="false" customHeight="false" outlineLevel="0" collapsed="false">
      <c r="A129" s="13"/>
      <c r="B129" s="12"/>
      <c r="C129" s="12"/>
      <c r="D129" s="14"/>
      <c r="E129" s="3" t="str">
        <f aca="false">IF(A129="","",TEXT(A129,"yyyy-mm"))</f>
        <v/>
      </c>
    </row>
    <row r="130" customFormat="false" ht="15" hidden="false" customHeight="false" outlineLevel="0" collapsed="false">
      <c r="A130" s="13"/>
      <c r="B130" s="12"/>
      <c r="C130" s="12"/>
      <c r="D130" s="14"/>
      <c r="E130" s="3" t="str">
        <f aca="false">IF(A130="","",TEXT(A130,"yyyy-mm"))</f>
        <v/>
      </c>
    </row>
    <row r="131" customFormat="false" ht="15" hidden="false" customHeight="false" outlineLevel="0" collapsed="false">
      <c r="A131" s="13"/>
      <c r="B131" s="12"/>
      <c r="C131" s="12"/>
      <c r="D131" s="14"/>
      <c r="E131" s="3" t="str">
        <f aca="false">IF(A131="","",TEXT(A131,"yyyy-mm"))</f>
        <v/>
      </c>
    </row>
    <row r="132" customFormat="false" ht="15" hidden="false" customHeight="false" outlineLevel="0" collapsed="false">
      <c r="A132" s="13"/>
      <c r="B132" s="12"/>
      <c r="C132" s="12"/>
      <c r="D132" s="14"/>
      <c r="E132" s="3" t="str">
        <f aca="false">IF(A132="","",TEXT(A132,"yyyy-mm"))</f>
        <v/>
      </c>
    </row>
    <row r="133" customFormat="false" ht="15" hidden="false" customHeight="false" outlineLevel="0" collapsed="false">
      <c r="A133" s="13"/>
      <c r="B133" s="12"/>
      <c r="C133" s="12"/>
      <c r="D133" s="14"/>
      <c r="E133" s="3" t="str">
        <f aca="false">IF(A133="","",TEXT(A133,"yyyy-mm"))</f>
        <v/>
      </c>
    </row>
    <row r="134" customFormat="false" ht="15" hidden="false" customHeight="false" outlineLevel="0" collapsed="false">
      <c r="A134" s="13"/>
      <c r="B134" s="12"/>
      <c r="C134" s="12"/>
      <c r="D134" s="14"/>
      <c r="E134" s="3" t="str">
        <f aca="false">IF(A134="","",TEXT(A134,"yyyy-mm"))</f>
        <v/>
      </c>
    </row>
    <row r="135" customFormat="false" ht="15" hidden="false" customHeight="false" outlineLevel="0" collapsed="false">
      <c r="A135" s="13"/>
      <c r="B135" s="12"/>
      <c r="C135" s="12"/>
      <c r="D135" s="14"/>
      <c r="E135" s="3" t="str">
        <f aca="false">IF(A135="","",TEXT(A135,"yyyy-mm"))</f>
        <v/>
      </c>
    </row>
    <row r="136" customFormat="false" ht="15" hidden="false" customHeight="false" outlineLevel="0" collapsed="false">
      <c r="A136" s="13"/>
      <c r="B136" s="12"/>
      <c r="C136" s="12"/>
      <c r="D136" s="14"/>
      <c r="E136" s="3" t="str">
        <f aca="false">IF(A136="","",TEXT(A136,"yyyy-mm"))</f>
        <v/>
      </c>
    </row>
    <row r="137" customFormat="false" ht="15" hidden="false" customHeight="false" outlineLevel="0" collapsed="false">
      <c r="A137" s="13"/>
      <c r="B137" s="12"/>
      <c r="C137" s="12"/>
      <c r="D137" s="14"/>
      <c r="E137" s="3" t="str">
        <f aca="false">IF(A137="","",TEXT(A137,"yyyy-mm"))</f>
        <v/>
      </c>
    </row>
    <row r="138" customFormat="false" ht="15" hidden="false" customHeight="false" outlineLevel="0" collapsed="false">
      <c r="A138" s="13"/>
      <c r="B138" s="12"/>
      <c r="C138" s="12"/>
      <c r="D138" s="14"/>
      <c r="E138" s="3" t="str">
        <f aca="false">IF(A138="","",TEXT(A138,"yyyy-mm"))</f>
        <v/>
      </c>
    </row>
    <row r="139" customFormat="false" ht="15" hidden="false" customHeight="false" outlineLevel="0" collapsed="false">
      <c r="A139" s="13"/>
      <c r="B139" s="12"/>
      <c r="C139" s="12"/>
      <c r="D139" s="14"/>
      <c r="E139" s="3" t="str">
        <f aca="false">IF(A139="","",TEXT(A139,"yyyy-mm"))</f>
        <v/>
      </c>
    </row>
    <row r="140" customFormat="false" ht="15" hidden="false" customHeight="false" outlineLevel="0" collapsed="false">
      <c r="A140" s="13"/>
      <c r="B140" s="12"/>
      <c r="C140" s="12"/>
      <c r="D140" s="14"/>
      <c r="E140" s="3" t="str">
        <f aca="false">IF(A140="","",TEXT(A140,"yyyy-mm"))</f>
        <v/>
      </c>
    </row>
    <row r="141" customFormat="false" ht="15" hidden="false" customHeight="false" outlineLevel="0" collapsed="false">
      <c r="A141" s="13"/>
      <c r="B141" s="12"/>
      <c r="C141" s="12"/>
      <c r="D141" s="14"/>
      <c r="E141" s="3" t="str">
        <f aca="false">IF(A141="","",TEXT(A141,"yyyy-mm"))</f>
        <v/>
      </c>
    </row>
    <row r="142" customFormat="false" ht="15" hidden="false" customHeight="false" outlineLevel="0" collapsed="false">
      <c r="A142" s="13"/>
      <c r="B142" s="12"/>
      <c r="C142" s="12"/>
      <c r="D142" s="14"/>
      <c r="E142" s="3" t="str">
        <f aca="false">IF(A142="","",TEXT(A142,"yyyy-mm"))</f>
        <v/>
      </c>
    </row>
    <row r="143" customFormat="false" ht="15" hidden="false" customHeight="false" outlineLevel="0" collapsed="false">
      <c r="A143" s="13"/>
      <c r="B143" s="12"/>
      <c r="C143" s="12"/>
      <c r="D143" s="14"/>
      <c r="E143" s="3" t="str">
        <f aca="false">IF(A143="","",TEXT(A143,"yyyy-mm"))</f>
        <v/>
      </c>
    </row>
    <row r="144" customFormat="false" ht="15" hidden="false" customHeight="false" outlineLevel="0" collapsed="false">
      <c r="A144" s="13"/>
      <c r="B144" s="12"/>
      <c r="C144" s="12"/>
      <c r="D144" s="14"/>
      <c r="E144" s="3" t="str">
        <f aca="false">IF(A144="","",TEXT(A144,"yyyy-mm"))</f>
        <v/>
      </c>
    </row>
    <row r="145" customFormat="false" ht="15" hidden="false" customHeight="false" outlineLevel="0" collapsed="false">
      <c r="A145" s="13"/>
      <c r="B145" s="12"/>
      <c r="C145" s="12"/>
      <c r="D145" s="14"/>
      <c r="E145" s="3" t="str">
        <f aca="false">IF(A145="","",TEXT(A145,"yyyy-mm"))</f>
        <v/>
      </c>
    </row>
    <row r="146" customFormat="false" ht="15" hidden="false" customHeight="false" outlineLevel="0" collapsed="false">
      <c r="A146" s="13"/>
      <c r="B146" s="12"/>
      <c r="C146" s="12"/>
      <c r="D146" s="14"/>
      <c r="E146" s="3" t="str">
        <f aca="false">IF(A146="","",TEXT(A146,"yyyy-mm"))</f>
        <v/>
      </c>
    </row>
    <row r="147" customFormat="false" ht="15" hidden="false" customHeight="false" outlineLevel="0" collapsed="false">
      <c r="A147" s="13"/>
      <c r="B147" s="12"/>
      <c r="C147" s="12"/>
      <c r="D147" s="14"/>
      <c r="E147" s="3" t="str">
        <f aca="false">IF(A147="","",TEXT(A147,"yyyy-mm"))</f>
        <v/>
      </c>
    </row>
    <row r="148" customFormat="false" ht="15" hidden="false" customHeight="false" outlineLevel="0" collapsed="false">
      <c r="A148" s="13"/>
      <c r="B148" s="12"/>
      <c r="C148" s="12"/>
      <c r="D148" s="14"/>
      <c r="E148" s="3" t="str">
        <f aca="false">IF(A148="","",TEXT(A148,"yyyy-mm"))</f>
        <v/>
      </c>
    </row>
    <row r="149" customFormat="false" ht="15" hidden="false" customHeight="false" outlineLevel="0" collapsed="false">
      <c r="A149" s="13"/>
      <c r="B149" s="12"/>
      <c r="C149" s="12"/>
      <c r="D149" s="14"/>
      <c r="E149" s="3" t="str">
        <f aca="false">IF(A149="","",TEXT(A149,"yyyy-mm"))</f>
        <v/>
      </c>
    </row>
    <row r="150" customFormat="false" ht="15" hidden="false" customHeight="false" outlineLevel="0" collapsed="false">
      <c r="A150" s="13"/>
      <c r="B150" s="12"/>
      <c r="C150" s="12"/>
      <c r="D150" s="14"/>
      <c r="E150" s="3" t="str">
        <f aca="false">IF(A150="","",TEXT(A150,"yyyy-mm"))</f>
        <v/>
      </c>
    </row>
    <row r="151" customFormat="false" ht="15" hidden="false" customHeight="false" outlineLevel="0" collapsed="false">
      <c r="A151" s="13"/>
      <c r="B151" s="12"/>
      <c r="C151" s="12"/>
      <c r="D151" s="14"/>
      <c r="E151" s="3" t="str">
        <f aca="false">IF(A151="","",TEXT(A151,"yyyy-mm"))</f>
        <v/>
      </c>
    </row>
    <row r="152" customFormat="false" ht="15" hidden="false" customHeight="false" outlineLevel="0" collapsed="false">
      <c r="A152" s="13"/>
      <c r="B152" s="12"/>
      <c r="C152" s="12"/>
      <c r="D152" s="14"/>
      <c r="E152" s="3" t="str">
        <f aca="false">IF(A152="","",TEXT(A152,"yyyy-mm"))</f>
        <v/>
      </c>
    </row>
    <row r="153" customFormat="false" ht="15" hidden="false" customHeight="false" outlineLevel="0" collapsed="false">
      <c r="A153" s="13"/>
      <c r="B153" s="12"/>
      <c r="C153" s="12"/>
      <c r="D153" s="14"/>
      <c r="E153" s="3" t="str">
        <f aca="false">IF(A153="","",TEXT(A153,"yyyy-mm"))</f>
        <v/>
      </c>
    </row>
    <row r="154" customFormat="false" ht="15" hidden="false" customHeight="false" outlineLevel="0" collapsed="false">
      <c r="A154" s="13"/>
      <c r="B154" s="12"/>
      <c r="C154" s="12"/>
      <c r="D154" s="14"/>
      <c r="E154" s="3" t="str">
        <f aca="false">IF(A154="","",TEXT(A154,"yyyy-mm"))</f>
        <v/>
      </c>
    </row>
    <row r="155" customFormat="false" ht="15" hidden="false" customHeight="false" outlineLevel="0" collapsed="false">
      <c r="A155" s="13"/>
      <c r="B155" s="12"/>
      <c r="C155" s="12"/>
      <c r="D155" s="14"/>
      <c r="E155" s="3" t="str">
        <f aca="false">IF(A155="","",TEXT(A155,"yyyy-mm"))</f>
        <v/>
      </c>
    </row>
    <row r="156" customFormat="false" ht="15" hidden="false" customHeight="false" outlineLevel="0" collapsed="false">
      <c r="A156" s="13"/>
      <c r="B156" s="12"/>
      <c r="C156" s="12"/>
      <c r="D156" s="14"/>
      <c r="E156" s="3" t="str">
        <f aca="false">IF(A156="","",TEXT(A156,"yyyy-mm"))</f>
        <v/>
      </c>
    </row>
    <row r="157" customFormat="false" ht="15" hidden="false" customHeight="false" outlineLevel="0" collapsed="false">
      <c r="A157" s="13"/>
      <c r="B157" s="12"/>
      <c r="C157" s="12"/>
      <c r="D157" s="14"/>
      <c r="E157" s="3" t="str">
        <f aca="false">IF(A157="","",TEXT(A157,"yyyy-mm"))</f>
        <v/>
      </c>
    </row>
    <row r="158" customFormat="false" ht="15" hidden="false" customHeight="false" outlineLevel="0" collapsed="false">
      <c r="A158" s="13"/>
      <c r="B158" s="12"/>
      <c r="C158" s="12"/>
      <c r="D158" s="14"/>
      <c r="E158" s="3" t="str">
        <f aca="false">IF(A158="","",TEXT(A158,"yyyy-mm"))</f>
        <v/>
      </c>
    </row>
    <row r="159" customFormat="false" ht="15" hidden="false" customHeight="false" outlineLevel="0" collapsed="false">
      <c r="A159" s="13"/>
      <c r="B159" s="12"/>
      <c r="C159" s="12"/>
      <c r="D159" s="14"/>
      <c r="E159" s="3" t="str">
        <f aca="false">IF(A159="","",TEXT(A159,"yyyy-mm"))</f>
        <v/>
      </c>
    </row>
    <row r="160" customFormat="false" ht="15" hidden="false" customHeight="false" outlineLevel="0" collapsed="false">
      <c r="A160" s="13"/>
      <c r="B160" s="12"/>
      <c r="C160" s="12"/>
      <c r="D160" s="14"/>
      <c r="E160" s="3" t="str">
        <f aca="false">IF(A160="","",TEXT(A160,"yyyy-mm"))</f>
        <v/>
      </c>
    </row>
    <row r="161" customFormat="false" ht="15" hidden="false" customHeight="false" outlineLevel="0" collapsed="false">
      <c r="A161" s="13"/>
      <c r="B161" s="12"/>
      <c r="C161" s="12"/>
      <c r="D161" s="14"/>
      <c r="E161" s="3" t="str">
        <f aca="false">IF(A161="","",TEXT(A161,"yyyy-mm"))</f>
        <v/>
      </c>
    </row>
    <row r="162" customFormat="false" ht="15" hidden="false" customHeight="false" outlineLevel="0" collapsed="false">
      <c r="A162" s="13"/>
      <c r="B162" s="12"/>
      <c r="C162" s="12"/>
      <c r="D162" s="14"/>
      <c r="E162" s="3" t="str">
        <f aca="false">IF(A162="","",TEXT(A162,"yyyy-mm"))</f>
        <v/>
      </c>
    </row>
    <row r="163" customFormat="false" ht="15" hidden="false" customHeight="false" outlineLevel="0" collapsed="false">
      <c r="A163" s="13"/>
      <c r="B163" s="12"/>
      <c r="C163" s="12"/>
      <c r="D163" s="14"/>
      <c r="E163" s="3" t="str">
        <f aca="false">IF(A163="","",TEXT(A163,"yyyy-mm"))</f>
        <v/>
      </c>
    </row>
    <row r="164" customFormat="false" ht="15" hidden="false" customHeight="false" outlineLevel="0" collapsed="false">
      <c r="A164" s="13"/>
      <c r="B164" s="12"/>
      <c r="C164" s="12"/>
      <c r="D164" s="14"/>
      <c r="E164" s="3" t="str">
        <f aca="false">IF(A164="","",TEXT(A164,"yyyy-mm"))</f>
        <v/>
      </c>
    </row>
    <row r="165" customFormat="false" ht="15" hidden="false" customHeight="false" outlineLevel="0" collapsed="false">
      <c r="A165" s="13"/>
      <c r="B165" s="12"/>
      <c r="C165" s="12"/>
      <c r="D165" s="14"/>
      <c r="E165" s="3" t="str">
        <f aca="false">IF(A165="","",TEXT(A165,"yyyy-mm"))</f>
        <v/>
      </c>
    </row>
    <row r="166" customFormat="false" ht="15" hidden="false" customHeight="false" outlineLevel="0" collapsed="false">
      <c r="A166" s="13"/>
      <c r="B166" s="12"/>
      <c r="C166" s="12"/>
      <c r="D166" s="14"/>
      <c r="E166" s="3" t="str">
        <f aca="false">IF(A166="","",TEXT(A166,"yyyy-mm"))</f>
        <v/>
      </c>
    </row>
    <row r="167" customFormat="false" ht="15" hidden="false" customHeight="false" outlineLevel="0" collapsed="false">
      <c r="A167" s="13"/>
      <c r="B167" s="12"/>
      <c r="C167" s="12"/>
      <c r="D167" s="14"/>
      <c r="E167" s="3" t="str">
        <f aca="false">IF(A167="","",TEXT(A167,"yyyy-mm"))</f>
        <v/>
      </c>
    </row>
    <row r="168" customFormat="false" ht="15" hidden="false" customHeight="false" outlineLevel="0" collapsed="false">
      <c r="A168" s="13"/>
      <c r="B168" s="12"/>
      <c r="C168" s="12"/>
      <c r="D168" s="14"/>
      <c r="E168" s="3" t="str">
        <f aca="false">IF(A168="","",TEXT(A168,"yyyy-mm"))</f>
        <v/>
      </c>
    </row>
    <row r="169" customFormat="false" ht="15" hidden="false" customHeight="false" outlineLevel="0" collapsed="false">
      <c r="A169" s="13"/>
      <c r="B169" s="12"/>
      <c r="C169" s="12"/>
      <c r="D169" s="14"/>
      <c r="E169" s="3" t="str">
        <f aca="false">IF(A169="","",TEXT(A169,"yyyy-mm"))</f>
        <v/>
      </c>
    </row>
    <row r="170" customFormat="false" ht="15" hidden="false" customHeight="false" outlineLevel="0" collapsed="false">
      <c r="A170" s="13"/>
      <c r="B170" s="12"/>
      <c r="C170" s="12"/>
      <c r="D170" s="14"/>
      <c r="E170" s="3" t="str">
        <f aca="false">IF(A170="","",TEXT(A170,"yyyy-mm"))</f>
        <v/>
      </c>
    </row>
    <row r="171" customFormat="false" ht="15" hidden="false" customHeight="false" outlineLevel="0" collapsed="false">
      <c r="A171" s="13"/>
      <c r="B171" s="12"/>
      <c r="C171" s="12"/>
      <c r="D171" s="14"/>
      <c r="E171" s="3" t="str">
        <f aca="false">IF(A171="","",TEXT(A171,"yyyy-mm"))</f>
        <v/>
      </c>
    </row>
    <row r="172" customFormat="false" ht="15" hidden="false" customHeight="false" outlineLevel="0" collapsed="false">
      <c r="A172" s="13"/>
      <c r="B172" s="12"/>
      <c r="C172" s="12"/>
      <c r="D172" s="14"/>
      <c r="E172" s="3" t="str">
        <f aca="false">IF(A172="","",TEXT(A172,"yyyy-mm"))</f>
        <v/>
      </c>
    </row>
    <row r="173" customFormat="false" ht="15" hidden="false" customHeight="false" outlineLevel="0" collapsed="false">
      <c r="A173" s="13"/>
      <c r="B173" s="12"/>
      <c r="C173" s="12"/>
      <c r="D173" s="14"/>
      <c r="E173" s="3" t="str">
        <f aca="false">IF(A173="","",TEXT(A173,"yyyy-mm"))</f>
        <v/>
      </c>
    </row>
    <row r="174" customFormat="false" ht="15" hidden="false" customHeight="false" outlineLevel="0" collapsed="false">
      <c r="A174" s="13"/>
      <c r="B174" s="12"/>
      <c r="C174" s="12"/>
      <c r="D174" s="14"/>
      <c r="E174" s="3" t="str">
        <f aca="false">IF(A174="","",TEXT(A174,"yyyy-mm"))</f>
        <v/>
      </c>
    </row>
    <row r="175" customFormat="false" ht="15" hidden="false" customHeight="false" outlineLevel="0" collapsed="false">
      <c r="A175" s="13"/>
      <c r="B175" s="12"/>
      <c r="C175" s="12"/>
      <c r="D175" s="14"/>
      <c r="E175" s="3" t="str">
        <f aca="false">IF(A175="","",TEXT(A175,"yyyy-mm"))</f>
        <v/>
      </c>
    </row>
    <row r="176" customFormat="false" ht="15" hidden="false" customHeight="false" outlineLevel="0" collapsed="false">
      <c r="A176" s="13"/>
      <c r="B176" s="12"/>
      <c r="C176" s="12"/>
      <c r="D176" s="14"/>
      <c r="E176" s="3" t="str">
        <f aca="false">IF(A176="","",TEXT(A176,"yyyy-mm"))</f>
        <v/>
      </c>
    </row>
    <row r="177" customFormat="false" ht="15" hidden="false" customHeight="false" outlineLevel="0" collapsed="false">
      <c r="A177" s="13"/>
      <c r="B177" s="12"/>
      <c r="C177" s="12"/>
      <c r="D177" s="14"/>
      <c r="E177" s="3" t="str">
        <f aca="false">IF(A177="","",TEXT(A177,"yyyy-mm"))</f>
        <v/>
      </c>
    </row>
    <row r="178" customFormat="false" ht="15" hidden="false" customHeight="false" outlineLevel="0" collapsed="false">
      <c r="A178" s="13"/>
      <c r="B178" s="12"/>
      <c r="C178" s="12"/>
      <c r="D178" s="14"/>
      <c r="E178" s="3" t="str">
        <f aca="false">IF(A178="","",TEXT(A178,"yyyy-mm"))</f>
        <v/>
      </c>
    </row>
    <row r="179" customFormat="false" ht="15" hidden="false" customHeight="false" outlineLevel="0" collapsed="false">
      <c r="A179" s="13"/>
      <c r="B179" s="12"/>
      <c r="C179" s="12"/>
      <c r="D179" s="14"/>
      <c r="E179" s="3" t="str">
        <f aca="false">IF(A179="","",TEXT(A179,"yyyy-mm"))</f>
        <v/>
      </c>
    </row>
    <row r="180" customFormat="false" ht="15" hidden="false" customHeight="false" outlineLevel="0" collapsed="false">
      <c r="A180" s="13"/>
      <c r="B180" s="12"/>
      <c r="C180" s="12"/>
      <c r="D180" s="14"/>
      <c r="E180" s="3" t="str">
        <f aca="false">IF(A180="","",TEXT(A180,"yyyy-mm"))</f>
        <v/>
      </c>
    </row>
    <row r="181" customFormat="false" ht="15" hidden="false" customHeight="false" outlineLevel="0" collapsed="false">
      <c r="A181" s="13"/>
      <c r="B181" s="12"/>
      <c r="C181" s="12"/>
      <c r="D181" s="14"/>
      <c r="E181" s="3" t="str">
        <f aca="false">IF(A181="","",TEXT(A181,"yyyy-mm"))</f>
        <v/>
      </c>
    </row>
    <row r="182" customFormat="false" ht="15" hidden="false" customHeight="false" outlineLevel="0" collapsed="false">
      <c r="A182" s="13"/>
      <c r="B182" s="12"/>
      <c r="C182" s="12"/>
      <c r="D182" s="14"/>
      <c r="E182" s="3" t="str">
        <f aca="false">IF(A182="","",TEXT(A182,"yyyy-mm"))</f>
        <v/>
      </c>
    </row>
    <row r="183" customFormat="false" ht="15" hidden="false" customHeight="false" outlineLevel="0" collapsed="false">
      <c r="A183" s="13"/>
      <c r="B183" s="12"/>
      <c r="C183" s="12"/>
      <c r="D183" s="14"/>
      <c r="E183" s="3" t="str">
        <f aca="false">IF(A183="","",TEXT(A183,"yyyy-mm"))</f>
        <v/>
      </c>
    </row>
    <row r="184" customFormat="false" ht="15" hidden="false" customHeight="false" outlineLevel="0" collapsed="false">
      <c r="A184" s="13"/>
      <c r="B184" s="12"/>
      <c r="C184" s="12"/>
      <c r="D184" s="14"/>
      <c r="E184" s="3" t="str">
        <f aca="false">IF(A184="","",TEXT(A184,"yyyy-mm"))</f>
        <v/>
      </c>
    </row>
    <row r="185" customFormat="false" ht="15" hidden="false" customHeight="false" outlineLevel="0" collapsed="false">
      <c r="A185" s="13"/>
      <c r="B185" s="12"/>
      <c r="C185" s="12"/>
      <c r="D185" s="14"/>
      <c r="E185" s="3" t="str">
        <f aca="false">IF(A185="","",TEXT(A185,"yyyy-mm"))</f>
        <v/>
      </c>
    </row>
    <row r="186" customFormat="false" ht="15" hidden="false" customHeight="false" outlineLevel="0" collapsed="false">
      <c r="A186" s="13"/>
      <c r="B186" s="12"/>
      <c r="C186" s="12"/>
      <c r="D186" s="14"/>
      <c r="E186" s="3" t="str">
        <f aca="false">IF(A186="","",TEXT(A186,"yyyy-mm"))</f>
        <v/>
      </c>
    </row>
    <row r="187" customFormat="false" ht="15" hidden="false" customHeight="false" outlineLevel="0" collapsed="false">
      <c r="A187" s="13"/>
      <c r="B187" s="12"/>
      <c r="C187" s="12"/>
      <c r="D187" s="14"/>
      <c r="E187" s="3" t="str">
        <f aca="false">IF(A187="","",TEXT(A187,"yyyy-mm"))</f>
        <v/>
      </c>
    </row>
    <row r="188" customFormat="false" ht="15" hidden="false" customHeight="false" outlineLevel="0" collapsed="false">
      <c r="A188" s="13"/>
      <c r="B188" s="12"/>
      <c r="C188" s="12"/>
      <c r="D188" s="14"/>
      <c r="E188" s="3" t="str">
        <f aca="false">IF(A188="","",TEXT(A188,"yyyy-mm"))</f>
        <v/>
      </c>
    </row>
    <row r="189" customFormat="false" ht="15" hidden="false" customHeight="false" outlineLevel="0" collapsed="false">
      <c r="A189" s="13"/>
      <c r="B189" s="12"/>
      <c r="C189" s="12"/>
      <c r="D189" s="14"/>
      <c r="E189" s="3" t="str">
        <f aca="false">IF(A189="","",TEXT(A189,"yyyy-mm"))</f>
        <v/>
      </c>
    </row>
    <row r="190" customFormat="false" ht="15" hidden="false" customHeight="false" outlineLevel="0" collapsed="false">
      <c r="A190" s="13"/>
      <c r="B190" s="12"/>
      <c r="C190" s="12"/>
      <c r="D190" s="14"/>
      <c r="E190" s="3" t="str">
        <f aca="false">IF(A190="","",TEXT(A190,"yyyy-mm"))</f>
        <v/>
      </c>
    </row>
    <row r="191" customFormat="false" ht="15" hidden="false" customHeight="false" outlineLevel="0" collapsed="false">
      <c r="A191" s="13"/>
      <c r="B191" s="12"/>
      <c r="C191" s="12"/>
      <c r="D191" s="14"/>
      <c r="E191" s="3" t="str">
        <f aca="false">IF(A191="","",TEXT(A191,"yyyy-mm"))</f>
        <v/>
      </c>
    </row>
    <row r="192" customFormat="false" ht="15" hidden="false" customHeight="false" outlineLevel="0" collapsed="false">
      <c r="A192" s="13"/>
      <c r="B192" s="12"/>
      <c r="C192" s="12"/>
      <c r="D192" s="14"/>
      <c r="E192" s="3" t="str">
        <f aca="false">IF(A192="","",TEXT(A192,"yyyy-mm"))</f>
        <v/>
      </c>
    </row>
    <row r="193" customFormat="false" ht="15" hidden="false" customHeight="false" outlineLevel="0" collapsed="false">
      <c r="A193" s="13"/>
      <c r="B193" s="12"/>
      <c r="C193" s="12"/>
      <c r="D193" s="14"/>
      <c r="E193" s="3" t="str">
        <f aca="false">IF(A193="","",TEXT(A193,"yyyy-mm"))</f>
        <v/>
      </c>
    </row>
    <row r="194" customFormat="false" ht="15" hidden="false" customHeight="false" outlineLevel="0" collapsed="false">
      <c r="A194" s="13"/>
      <c r="B194" s="12"/>
      <c r="C194" s="12"/>
      <c r="D194" s="14"/>
      <c r="E194" s="3" t="str">
        <f aca="false">IF(A194="","",TEXT(A194,"yyyy-mm"))</f>
        <v/>
      </c>
    </row>
    <row r="195" customFormat="false" ht="15" hidden="false" customHeight="false" outlineLevel="0" collapsed="false">
      <c r="A195" s="13"/>
      <c r="B195" s="12"/>
      <c r="C195" s="12"/>
      <c r="D195" s="14"/>
      <c r="E195" s="3" t="str">
        <f aca="false">IF(A195="","",TEXT(A195,"yyyy-mm"))</f>
        <v/>
      </c>
    </row>
    <row r="196" customFormat="false" ht="15" hidden="false" customHeight="false" outlineLevel="0" collapsed="false">
      <c r="A196" s="13"/>
      <c r="B196" s="12"/>
      <c r="C196" s="12"/>
      <c r="D196" s="14"/>
      <c r="E196" s="3" t="str">
        <f aca="false">IF(A196="","",TEXT(A196,"yyyy-mm"))</f>
        <v/>
      </c>
    </row>
    <row r="197" customFormat="false" ht="15" hidden="false" customHeight="false" outlineLevel="0" collapsed="false">
      <c r="A197" s="13"/>
      <c r="B197" s="12"/>
      <c r="C197" s="12"/>
      <c r="D197" s="14"/>
      <c r="E197" s="3" t="str">
        <f aca="false">IF(A197="","",TEXT(A197,"yyyy-mm"))</f>
        <v/>
      </c>
    </row>
    <row r="198" customFormat="false" ht="15" hidden="false" customHeight="false" outlineLevel="0" collapsed="false">
      <c r="A198" s="13"/>
      <c r="B198" s="12"/>
      <c r="C198" s="12"/>
      <c r="D198" s="14"/>
      <c r="E198" s="3" t="str">
        <f aca="false">IF(A198="","",TEXT(A198,"yyyy-mm"))</f>
        <v/>
      </c>
    </row>
    <row r="199" customFormat="false" ht="15" hidden="false" customHeight="false" outlineLevel="0" collapsed="false">
      <c r="A199" s="13"/>
      <c r="B199" s="12"/>
      <c r="C199" s="12"/>
      <c r="D199" s="14"/>
      <c r="E199" s="3" t="str">
        <f aca="false">IF(A199="","",TEXT(A199,"yyyy-mm"))</f>
        <v/>
      </c>
    </row>
    <row r="200" customFormat="false" ht="15" hidden="false" customHeight="false" outlineLevel="0" collapsed="false">
      <c r="A200" s="13"/>
      <c r="B200" s="12"/>
      <c r="C200" s="12"/>
      <c r="D200" s="14"/>
      <c r="E200" s="3" t="str">
        <f aca="false">IF(A200="","",TEXT(A200,"yyyy-mm"))</f>
        <v/>
      </c>
    </row>
    <row r="201" customFormat="false" ht="15" hidden="false" customHeight="false" outlineLevel="0" collapsed="false">
      <c r="A201" s="13"/>
      <c r="B201" s="12"/>
      <c r="C201" s="12"/>
      <c r="D201" s="14"/>
      <c r="E201" s="3" t="str">
        <f aca="false">IF(A201="","",TEXT(A201,"yyyy-mm"))</f>
        <v/>
      </c>
    </row>
    <row r="202" customFormat="false" ht="15" hidden="false" customHeight="false" outlineLevel="0" collapsed="false">
      <c r="A202" s="13"/>
      <c r="B202" s="12"/>
      <c r="C202" s="12"/>
      <c r="D202" s="14"/>
      <c r="E202" s="3" t="str">
        <f aca="false">IF(A202="","",TEXT(A202,"yyyy-mm"))</f>
        <v/>
      </c>
    </row>
    <row r="203" customFormat="false" ht="15" hidden="false" customHeight="false" outlineLevel="0" collapsed="false">
      <c r="A203" s="13"/>
      <c r="B203" s="12"/>
      <c r="C203" s="12"/>
      <c r="D203" s="14"/>
      <c r="E203" s="3" t="str">
        <f aca="false">IF(A203="","",TEXT(A203,"yyyy-mm"))</f>
        <v/>
      </c>
    </row>
    <row r="204" customFormat="false" ht="15" hidden="false" customHeight="false" outlineLevel="0" collapsed="false">
      <c r="A204" s="13"/>
      <c r="B204" s="12"/>
      <c r="C204" s="12"/>
      <c r="D204" s="14"/>
      <c r="E204" s="3" t="str">
        <f aca="false">IF(A204="","",TEXT(A204,"yyyy-mm"))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5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3" t="s">
        <v>94</v>
      </c>
      <c r="B2" s="19" t="n">
        <v>46266</v>
      </c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 t="s">
        <v>95</v>
      </c>
      <c r="H4" s="11" t="s">
        <v>96</v>
      </c>
    </row>
    <row r="5" customFormat="false" ht="15" hidden="false" customHeight="false" outlineLevel="0" collapsed="false">
      <c r="A5" s="20" t="n">
        <f aca="false">EDATE($B$2,0)</f>
        <v>46266</v>
      </c>
      <c r="B5" s="17" t="n">
        <f aca="false">SUMIFS(Invoices!$D$5:$D$104,Invoices!$C$5:$C$104,"&gt;="&amp;A5,Invoices!$C$5:$C$104,"&lt;"&amp;EDATE(A5,1))</f>
        <v>0</v>
      </c>
      <c r="C5" s="17" t="n">
        <f aca="false">SUMIFS(Invoices!$D$5:$D$104,Invoices!$G$5:$G$104,"&gt;="&amp;A5,Invoices!$G$5:$G$104,"&lt;"&amp;EDATE(A5,1))</f>
        <v>0</v>
      </c>
      <c r="D5" s="17" t="n">
        <f aca="false">SUMIFS(Expenses!$D$5:$D$204,Expenses!$A$5:$A$204,"&gt;="&amp;A5,Expenses!$A$5:$A$204,"&lt;"&amp;EDATE(A5,1))</f>
        <v>24</v>
      </c>
      <c r="E5" s="17" t="n">
        <f aca="false">C5-D5</f>
        <v>-24</v>
      </c>
      <c r="G5" s="3" t="str">
        <f aca="false">"Q"&amp;1</f>
        <v>Q1</v>
      </c>
      <c r="H5" s="17" t="n">
        <f aca="false">SUM(E5:E7)</f>
        <v>-24</v>
      </c>
    </row>
    <row r="6" customFormat="false" ht="15" hidden="false" customHeight="false" outlineLevel="0" collapsed="false">
      <c r="A6" s="20" t="n">
        <f aca="false">EDATE($B$2,1)</f>
        <v>46296</v>
      </c>
      <c r="B6" s="17" t="n">
        <f aca="false">SUMIFS(Invoices!$D$5:$D$104,Invoices!$C$5:$C$104,"&gt;="&amp;A6,Invoices!$C$5:$C$104,"&lt;"&amp;EDATE(A6,1))</f>
        <v>0</v>
      </c>
      <c r="C6" s="17" t="n">
        <f aca="false">SUMIFS(Invoices!$D$5:$D$104,Invoices!$G$5:$G$104,"&gt;="&amp;A6,Invoices!$G$5:$G$104,"&lt;"&amp;EDATE(A6,1))</f>
        <v>0</v>
      </c>
      <c r="D6" s="17" t="n">
        <f aca="false">SUMIFS(Expenses!$D$5:$D$204,Expenses!$A$5:$A$204,"&gt;="&amp;A6,Expenses!$A$5:$A$204,"&lt;"&amp;EDATE(A6,1))</f>
        <v>0</v>
      </c>
      <c r="E6" s="17" t="n">
        <f aca="false">C6-D6</f>
        <v>0</v>
      </c>
      <c r="G6" s="3" t="str">
        <f aca="false">"Q"&amp;2</f>
        <v>Q2</v>
      </c>
      <c r="H6" s="17" t="n">
        <f aca="false">SUM(E8:E10)</f>
        <v>0</v>
      </c>
    </row>
    <row r="7" customFormat="false" ht="15" hidden="false" customHeight="false" outlineLevel="0" collapsed="false">
      <c r="A7" s="20" t="n">
        <f aca="false">EDATE($B$2,2)</f>
        <v>46327</v>
      </c>
      <c r="B7" s="17" t="n">
        <f aca="false">SUMIFS(Invoices!$D$5:$D$104,Invoices!$C$5:$C$104,"&gt;="&amp;A7,Invoices!$C$5:$C$104,"&lt;"&amp;EDATE(A7,1))</f>
        <v>0</v>
      </c>
      <c r="C7" s="17" t="n">
        <f aca="false">SUMIFS(Invoices!$D$5:$D$104,Invoices!$G$5:$G$104,"&gt;="&amp;A7,Invoices!$G$5:$G$104,"&lt;"&amp;EDATE(A7,1))</f>
        <v>0</v>
      </c>
      <c r="D7" s="17" t="n">
        <f aca="false">SUMIFS(Expenses!$D$5:$D$204,Expenses!$A$5:$A$204,"&gt;="&amp;A7,Expenses!$A$5:$A$204,"&lt;"&amp;EDATE(A7,1))</f>
        <v>0</v>
      </c>
      <c r="E7" s="17" t="n">
        <f aca="false">C7-D7</f>
        <v>0</v>
      </c>
      <c r="G7" s="3" t="str">
        <f aca="false">"Q"&amp;3</f>
        <v>Q3</v>
      </c>
      <c r="H7" s="17" t="n">
        <f aca="false">SUM(E11:E13)</f>
        <v>0</v>
      </c>
    </row>
    <row r="8" customFormat="false" ht="15" hidden="false" customHeight="false" outlineLevel="0" collapsed="false">
      <c r="A8" s="20" t="n">
        <f aca="false">EDATE($B$2,3)</f>
        <v>46357</v>
      </c>
      <c r="B8" s="17" t="n">
        <f aca="false">SUMIFS(Invoices!$D$5:$D$104,Invoices!$C$5:$C$104,"&gt;="&amp;A8,Invoices!$C$5:$C$104,"&lt;"&amp;EDATE(A8,1))</f>
        <v>0</v>
      </c>
      <c r="C8" s="17" t="n">
        <f aca="false">SUMIFS(Invoices!$D$5:$D$104,Invoices!$G$5:$G$104,"&gt;="&amp;A8,Invoices!$G$5:$G$104,"&lt;"&amp;EDATE(A8,1))</f>
        <v>0</v>
      </c>
      <c r="D8" s="17" t="n">
        <f aca="false">SUMIFS(Expenses!$D$5:$D$204,Expenses!$A$5:$A$204,"&gt;="&amp;A8,Expenses!$A$5:$A$204,"&lt;"&amp;EDATE(A8,1))</f>
        <v>0</v>
      </c>
      <c r="E8" s="17" t="n">
        <f aca="false">C8-D8</f>
        <v>0</v>
      </c>
      <c r="G8" s="3" t="str">
        <f aca="false">"Q"&amp;4</f>
        <v>Q4</v>
      </c>
      <c r="H8" s="17" t="n">
        <f aca="false">SUM(E14:E16)</f>
        <v>0</v>
      </c>
    </row>
    <row r="9" customFormat="false" ht="15" hidden="false" customHeight="false" outlineLevel="0" collapsed="false">
      <c r="A9" s="20" t="n">
        <f aca="false">EDATE($B$2,4)</f>
        <v>46388</v>
      </c>
      <c r="B9" s="17" t="n">
        <f aca="false">SUMIFS(Invoices!$D$5:$D$104,Invoices!$C$5:$C$104,"&gt;="&amp;A9,Invoices!$C$5:$C$104,"&lt;"&amp;EDATE(A9,1))</f>
        <v>0</v>
      </c>
      <c r="C9" s="17" t="n">
        <f aca="false">SUMIFS(Invoices!$D$5:$D$104,Invoices!$G$5:$G$104,"&gt;="&amp;A9,Invoices!$G$5:$G$104,"&lt;"&amp;EDATE(A9,1))</f>
        <v>0</v>
      </c>
      <c r="D9" s="17" t="n">
        <f aca="false">SUMIFS(Expenses!$D$5:$D$204,Expenses!$A$5:$A$204,"&gt;="&amp;A9,Expenses!$A$5:$A$204,"&lt;"&amp;EDATE(A9,1))</f>
        <v>0</v>
      </c>
      <c r="E9" s="17" t="n">
        <f aca="false">C9-D9</f>
        <v>0</v>
      </c>
    </row>
    <row r="10" customFormat="false" ht="15" hidden="false" customHeight="false" outlineLevel="0" collapsed="false">
      <c r="A10" s="20" t="n">
        <f aca="false">EDATE($B$2,5)</f>
        <v>46419</v>
      </c>
      <c r="B10" s="17" t="n">
        <f aca="false">SUMIFS(Invoices!$D$5:$D$104,Invoices!$C$5:$C$104,"&gt;="&amp;A10,Invoices!$C$5:$C$104,"&lt;"&amp;EDATE(A10,1))</f>
        <v>0</v>
      </c>
      <c r="C10" s="17" t="n">
        <f aca="false">SUMIFS(Invoices!$D$5:$D$104,Invoices!$G$5:$G$104,"&gt;="&amp;A10,Invoices!$G$5:$G$104,"&lt;"&amp;EDATE(A10,1))</f>
        <v>0</v>
      </c>
      <c r="D10" s="17" t="n">
        <f aca="false">SUMIFS(Expenses!$D$5:$D$204,Expenses!$A$5:$A$204,"&gt;="&amp;A10,Expenses!$A$5:$A$204,"&lt;"&amp;EDATE(A10,1))</f>
        <v>0</v>
      </c>
      <c r="E10" s="17" t="n">
        <f aca="false">C10-D10</f>
        <v>0</v>
      </c>
      <c r="G10" s="4" t="s">
        <v>97</v>
      </c>
      <c r="H10" s="10" t="n">
        <f aca="false">Invoices!B2</f>
        <v>1500</v>
      </c>
    </row>
    <row r="11" customFormat="false" ht="15" hidden="false" customHeight="false" outlineLevel="0" collapsed="false">
      <c r="A11" s="20" t="n">
        <f aca="false">EDATE($B$2,6)</f>
        <v>46447</v>
      </c>
      <c r="B11" s="17" t="n">
        <f aca="false">SUMIFS(Invoices!$D$5:$D$104,Invoices!$C$5:$C$104,"&gt;="&amp;A11,Invoices!$C$5:$C$104,"&lt;"&amp;EDATE(A11,1))</f>
        <v>0</v>
      </c>
      <c r="C11" s="17" t="n">
        <f aca="false">SUMIFS(Invoices!$D$5:$D$104,Invoices!$G$5:$G$104,"&gt;="&amp;A11,Invoices!$G$5:$G$104,"&lt;"&amp;EDATE(A11,1))</f>
        <v>0</v>
      </c>
      <c r="D11" s="17" t="n">
        <f aca="false">SUMIFS(Expenses!$D$5:$D$204,Expenses!$A$5:$A$204,"&gt;="&amp;A11,Expenses!$A$5:$A$204,"&lt;"&amp;EDATE(A11,1))</f>
        <v>0</v>
      </c>
      <c r="E11" s="17" t="n">
        <f aca="false">C11-D11</f>
        <v>0</v>
      </c>
      <c r="G11" s="4" t="s">
        <v>98</v>
      </c>
      <c r="H11" s="10" t="n">
        <f aca="false">Invoices!D2</f>
        <v>1500</v>
      </c>
    </row>
    <row r="12" customFormat="false" ht="15" hidden="false" customHeight="false" outlineLevel="0" collapsed="false">
      <c r="A12" s="20" t="n">
        <f aca="false">EDATE($B$2,7)</f>
        <v>46478</v>
      </c>
      <c r="B12" s="17" t="n">
        <f aca="false">SUMIFS(Invoices!$D$5:$D$104,Invoices!$C$5:$C$104,"&gt;="&amp;A12,Invoices!$C$5:$C$104,"&lt;"&amp;EDATE(A12,1))</f>
        <v>0</v>
      </c>
      <c r="C12" s="17" t="n">
        <f aca="false">SUMIFS(Invoices!$D$5:$D$104,Invoices!$G$5:$G$104,"&gt;="&amp;A12,Invoices!$G$5:$G$104,"&lt;"&amp;EDATE(A12,1))</f>
        <v>0</v>
      </c>
      <c r="D12" s="17" t="n">
        <f aca="false">SUMIFS(Expenses!$D$5:$D$204,Expenses!$A$5:$A$204,"&gt;="&amp;A12,Expenses!$A$5:$A$204,"&lt;"&amp;EDATE(A12,1))</f>
        <v>0</v>
      </c>
      <c r="E12" s="17" t="n">
        <f aca="false">C12-D12</f>
        <v>0</v>
      </c>
    </row>
    <row r="13" customFormat="false" ht="15" hidden="false" customHeight="false" outlineLevel="0" collapsed="false">
      <c r="A13" s="20" t="n">
        <f aca="false">EDATE($B$2,8)</f>
        <v>46508</v>
      </c>
      <c r="B13" s="17" t="n">
        <f aca="false">SUMIFS(Invoices!$D$5:$D$104,Invoices!$C$5:$C$104,"&gt;="&amp;A13,Invoices!$C$5:$C$104,"&lt;"&amp;EDATE(A13,1))</f>
        <v>0</v>
      </c>
      <c r="C13" s="17" t="n">
        <f aca="false">SUMIFS(Invoices!$D$5:$D$104,Invoices!$G$5:$G$104,"&gt;="&amp;A13,Invoices!$G$5:$G$104,"&lt;"&amp;EDATE(A13,1))</f>
        <v>0</v>
      </c>
      <c r="D13" s="17" t="n">
        <f aca="false">SUMIFS(Expenses!$D$5:$D$204,Expenses!$A$5:$A$204,"&gt;="&amp;A13,Expenses!$A$5:$A$204,"&lt;"&amp;EDATE(A13,1))</f>
        <v>0</v>
      </c>
      <c r="E13" s="17" t="n">
        <f aca="false">C13-D13</f>
        <v>0</v>
      </c>
    </row>
    <row r="14" customFormat="false" ht="15" hidden="false" customHeight="false" outlineLevel="0" collapsed="false">
      <c r="A14" s="20" t="n">
        <f aca="false">EDATE($B$2,9)</f>
        <v>46539</v>
      </c>
      <c r="B14" s="17" t="n">
        <f aca="false">SUMIFS(Invoices!$D$5:$D$104,Invoices!$C$5:$C$104,"&gt;="&amp;A14,Invoices!$C$5:$C$104,"&lt;"&amp;EDATE(A14,1))</f>
        <v>0</v>
      </c>
      <c r="C14" s="17" t="n">
        <f aca="false">SUMIFS(Invoices!$D$5:$D$104,Invoices!$G$5:$G$104,"&gt;="&amp;A14,Invoices!$G$5:$G$104,"&lt;"&amp;EDATE(A14,1))</f>
        <v>0</v>
      </c>
      <c r="D14" s="17" t="n">
        <f aca="false">SUMIFS(Expenses!$D$5:$D$204,Expenses!$A$5:$A$204,"&gt;="&amp;A14,Expenses!$A$5:$A$204,"&lt;"&amp;EDATE(A14,1))</f>
        <v>0</v>
      </c>
      <c r="E14" s="17" t="n">
        <f aca="false">C14-D14</f>
        <v>0</v>
      </c>
    </row>
    <row r="15" customFormat="false" ht="15" hidden="false" customHeight="false" outlineLevel="0" collapsed="false">
      <c r="A15" s="20" t="n">
        <f aca="false">EDATE($B$2,10)</f>
        <v>46569</v>
      </c>
      <c r="B15" s="17" t="n">
        <f aca="false">SUMIFS(Invoices!$D$5:$D$104,Invoices!$C$5:$C$104,"&gt;="&amp;A15,Invoices!$C$5:$C$104,"&lt;"&amp;EDATE(A15,1))</f>
        <v>0</v>
      </c>
      <c r="C15" s="17" t="n">
        <f aca="false">SUMIFS(Invoices!$D$5:$D$104,Invoices!$G$5:$G$104,"&gt;="&amp;A15,Invoices!$G$5:$G$104,"&lt;"&amp;EDATE(A15,1))</f>
        <v>0</v>
      </c>
      <c r="D15" s="17" t="n">
        <f aca="false">SUMIFS(Expenses!$D$5:$D$204,Expenses!$A$5:$A$204,"&gt;="&amp;A15,Expenses!$A$5:$A$204,"&lt;"&amp;EDATE(A15,1))</f>
        <v>0</v>
      </c>
      <c r="E15" s="17" t="n">
        <f aca="false">C15-D15</f>
        <v>0</v>
      </c>
    </row>
    <row r="16" customFormat="false" ht="15" hidden="false" customHeight="false" outlineLevel="0" collapsed="false">
      <c r="A16" s="20" t="n">
        <f aca="false">EDATE($B$2,11)</f>
        <v>46600</v>
      </c>
      <c r="B16" s="17" t="n">
        <f aca="false">SUMIFS(Invoices!$D$5:$D$104,Invoices!$C$5:$C$104,"&gt;="&amp;A16,Invoices!$C$5:$C$104,"&lt;"&amp;EDATE(A16,1))</f>
        <v>0</v>
      </c>
      <c r="C16" s="17" t="n">
        <f aca="false">SUMIFS(Invoices!$D$5:$D$104,Invoices!$G$5:$G$104,"&gt;="&amp;A16,Invoices!$G$5:$G$104,"&lt;"&amp;EDATE(A16,1))</f>
        <v>0</v>
      </c>
      <c r="D16" s="17" t="n">
        <f aca="false">SUMIFS(Expenses!$D$5:$D$204,Expenses!$A$5:$A$204,"&gt;="&amp;A16,Expenses!$A$5:$A$204,"&lt;"&amp;EDATE(A16,1))</f>
        <v>0</v>
      </c>
      <c r="E16" s="17" t="n">
        <f aca="false">C16-D16</f>
        <v>0</v>
      </c>
    </row>
    <row r="17" customFormat="false" ht="15" hidden="false" customHeight="false" outlineLevel="0" collapsed="false">
      <c r="A17" s="4" t="s">
        <v>99</v>
      </c>
      <c r="B17" s="10" t="n">
        <f aca="false">SUM(B5:B16)</f>
        <v>0</v>
      </c>
      <c r="C17" s="10" t="n">
        <f aca="false">SUM(C5:C16)</f>
        <v>0</v>
      </c>
      <c r="D17" s="10" t="n">
        <f aca="false">SUM(D5:D16)</f>
        <v>24</v>
      </c>
      <c r="E17" s="10" t="n">
        <f aca="false">SUM(E5:E16)</f>
        <v>-24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2026-09-30T19:48:57Z</dcterms:created>
  <dc:creator>openpyxl</dc:creator>
  <dc:description/>
  <dc:language>en-US</dc:language>
  <cp:lastModifiedBy/>
  <dcterms:modified xsi:type="dcterms:W3CDTF">2026-09-30T19:48:57Z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