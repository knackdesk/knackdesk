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Properties" sheetId="2" state="visible" r:id="rId4"/>
    <sheet name="Rent Log" sheetId="3" state="visible" r:id="rId5"/>
    <sheet name="Expense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Knackdesk</author>
  </authors>
  <commentList>
    <comment ref="B2" authorId="0">
      <text>
        <r>
          <rPr>
            <sz val="10"/>
            <rFont val="Arial"/>
            <family val="2"/>
          </rPr>
          <t xml:space="preserve">Expenses and rent are summed for this calendar year.</t>
        </r>
      </text>
    </comment>
  </commentList>
</comments>
</file>

<file path=xl/sharedStrings.xml><?xml version="1.0" encoding="utf-8"?>
<sst xmlns="http://schemas.openxmlformats.org/spreadsheetml/2006/main" count="68" uniqueCount="60">
  <si>
    <t xml:space="preserve">Landlord Rent &amp; Expense Tracker</t>
  </si>
  <si>
    <t xml:space="preserve">by Knackdesk · knackdesk.com</t>
  </si>
  <si>
    <t xml:space="preserve">HOW TO USE</t>
  </si>
  <si>
    <t xml:space="preserve">1. Properties: one row per unit. Give each a short code (A, B, C...) and enter rent, tenant, lease dates, deposit held and purchase price.</t>
  </si>
  <si>
    <t xml:space="preserve">2. Rent Log: one row per rent period per property. Enter the property code, due date, amount due, amount paid and paid date. Days late, outstanding and status are calculated.</t>
  </si>
  <si>
    <t xml:space="preserve">3. Expenses: one row per cost, with the property code and a category.</t>
  </si>
  <si>
    <t xml:space="preserve">4. Summary: rent due, collected, outstanding, expenses, net income and gross and net yield per property and for the whole portfolio.</t>
  </si>
  <si>
    <t xml:space="preserve">LEGEND</t>
  </si>
  <si>
    <t xml:space="preserve">Blue text = a cell you type into.   Black text = a formula, leave it alone.   Yellow fill = key inputs.</t>
  </si>
  <si>
    <t xml:space="preserve">Each table has one example row to overwrite. Property codes must match between sheets exactly.</t>
  </si>
  <si>
    <t xml:space="preserve">NOTES</t>
  </si>
  <si>
    <t xml:space="preserve">Days late count from the due date to today for unpaid rows, or to the paid date for paid rows. 'Today' recalculates when the file opens.</t>
  </si>
  <si>
    <t xml:space="preserve">Gross yield = annual rent due ÷ purchase price. Net yield = (annual rent due − expenses logged for the year) ÷ purchase price.</t>
  </si>
  <si>
    <t xml:space="preserve">This workbook does arithmetic only. Deposit, notice, rent-control and tax rules vary by country and city; it is not legal or tax advice.</t>
  </si>
  <si>
    <t xml:space="preserve">Support: hello@knackdesk.com</t>
  </si>
  <si>
    <t xml:space="preserve">Properties</t>
  </si>
  <si>
    <t xml:space="preserve">Today (auto)</t>
  </si>
  <si>
    <t xml:space="preserve">Code</t>
  </si>
  <si>
    <t xml:space="preserve">Address</t>
  </si>
  <si>
    <t xml:space="preserve">Tenant</t>
  </si>
  <si>
    <t xml:space="preserve">Monthly rent</t>
  </si>
  <si>
    <t xml:space="preserve">Lease start</t>
  </si>
  <si>
    <t xml:space="preserve">Lease end</t>
  </si>
  <si>
    <t xml:space="preserve">Deposit held</t>
  </si>
  <si>
    <t xml:space="preserve">Purchase price</t>
  </si>
  <si>
    <t xml:space="preserve">Notes</t>
  </si>
  <si>
    <t xml:space="preserve">A</t>
  </si>
  <si>
    <t xml:space="preserve">12 Example Street, Flat 2</t>
  </si>
  <si>
    <t xml:space="preserve">J. Example</t>
  </si>
  <si>
    <t xml:space="preserve">Rent Log</t>
  </si>
  <si>
    <t xml:space="preserve">Outstanding total</t>
  </si>
  <si>
    <t xml:space="preserve">Rows overdue</t>
  </si>
  <si>
    <t xml:space="preserve">Property code</t>
  </si>
  <si>
    <t xml:space="preserve">Period (month)</t>
  </si>
  <si>
    <t xml:space="preserve">Due date</t>
  </si>
  <si>
    <t xml:space="preserve">Amount due</t>
  </si>
  <si>
    <t xml:space="preserve">Amount paid</t>
  </si>
  <si>
    <t xml:space="preserve">Paid date</t>
  </si>
  <si>
    <t xml:space="preserve">Days late</t>
  </si>
  <si>
    <t xml:space="preserve">Outstanding</t>
  </si>
  <si>
    <t xml:space="preserve">Status</t>
  </si>
  <si>
    <t xml:space="preserve">Note</t>
  </si>
  <si>
    <t xml:space="preserve">Expenses</t>
  </si>
  <si>
    <t xml:space="preserve">Total</t>
  </si>
  <si>
    <t xml:space="preserve">Date</t>
  </si>
  <si>
    <t xml:space="preserve">Category</t>
  </si>
  <si>
    <t xml:space="preserve">Description</t>
  </si>
  <si>
    <t xml:space="preserve">Amount</t>
  </si>
  <si>
    <t xml:space="preserve">Year</t>
  </si>
  <si>
    <t xml:space="preserve">Repairs</t>
  </si>
  <si>
    <t xml:space="preserve">Example: boiler service</t>
  </si>
  <si>
    <t xml:space="preserve">Summary</t>
  </si>
  <si>
    <t xml:space="preserve">Rent due (year)</t>
  </si>
  <si>
    <t xml:space="preserve">Rent collected (year)</t>
  </si>
  <si>
    <t xml:space="preserve">Expenses (year)</t>
  </si>
  <si>
    <t xml:space="preserve">Net income (year)</t>
  </si>
  <si>
    <t xml:space="preserve">Gross yield</t>
  </si>
  <si>
    <t xml:space="preserve">Net yield</t>
  </si>
  <si>
    <t xml:space="preserve">Portfolio</t>
  </si>
  <si>
    <t xml:space="preserve">Gross yield = annual rent due ÷ purchase price. Net yield deducts the expenses logged for the chosen year. Yields are blank until a purchase price is entered.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</si>
</sst>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#,##0.00;\(#,##0.00\);\-"/>
    <numFmt numFmtId="167" formatCode="0"/>
    <numFmt numFmtId="168" formatCode="mmm\ yyyy"/>
    <numFmt numFmtId="169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  <c r="B2" s="5" t="n">
        <f aca="true">TODAY()</f>
        <v>46296</v>
      </c>
    </row>
    <row r="4" customFormat="false" ht="15" hidden="false" customHeight="false" outlineLevel="0" collapsed="false">
      <c r="A4" s="6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</row>
    <row r="5" customFormat="false" ht="15" hidden="false" customHeight="false" outlineLevel="0" collapsed="false">
      <c r="A5" s="7" t="s">
        <v>26</v>
      </c>
      <c r="B5" s="8" t="s">
        <v>27</v>
      </c>
      <c r="C5" s="8" t="s">
        <v>28</v>
      </c>
      <c r="D5" s="9" t="n">
        <v>1200</v>
      </c>
      <c r="E5" s="10" t="n">
        <v>46096</v>
      </c>
      <c r="F5" s="10" t="n">
        <v>46461</v>
      </c>
      <c r="G5" s="9" t="n">
        <v>1200</v>
      </c>
      <c r="H5" s="9" t="n">
        <v>200000</v>
      </c>
      <c r="I5" s="8"/>
    </row>
    <row r="6" customFormat="false" ht="15" hidden="false" customHeight="false" outlineLevel="0" collapsed="false">
      <c r="A6" s="8"/>
      <c r="B6" s="8"/>
      <c r="C6" s="8"/>
      <c r="D6" s="9"/>
      <c r="E6" s="10"/>
      <c r="F6" s="10"/>
      <c r="G6" s="9"/>
      <c r="H6" s="9"/>
      <c r="I6" s="8"/>
    </row>
    <row r="7" customFormat="false" ht="15" hidden="false" customHeight="false" outlineLevel="0" collapsed="false">
      <c r="A7" s="8"/>
      <c r="B7" s="8"/>
      <c r="C7" s="8"/>
      <c r="D7" s="9"/>
      <c r="E7" s="10"/>
      <c r="F7" s="10"/>
      <c r="G7" s="9"/>
      <c r="H7" s="9"/>
      <c r="I7" s="8"/>
    </row>
    <row r="8" customFormat="false" ht="15" hidden="false" customHeight="false" outlineLevel="0" collapsed="false">
      <c r="A8" s="8"/>
      <c r="B8" s="8"/>
      <c r="C8" s="8"/>
      <c r="D8" s="9"/>
      <c r="E8" s="10"/>
      <c r="F8" s="10"/>
      <c r="G8" s="9"/>
      <c r="H8" s="9"/>
      <c r="I8" s="8"/>
    </row>
    <row r="9" customFormat="false" ht="15" hidden="false" customHeight="false" outlineLevel="0" collapsed="false">
      <c r="A9" s="8"/>
      <c r="B9" s="8"/>
      <c r="C9" s="8"/>
      <c r="D9" s="9"/>
      <c r="E9" s="10"/>
      <c r="F9" s="10"/>
      <c r="G9" s="9"/>
      <c r="H9" s="9"/>
      <c r="I9" s="8"/>
    </row>
    <row r="10" customFormat="false" ht="15" hidden="false" customHeight="false" outlineLevel="0" collapsed="false">
      <c r="A10" s="8"/>
      <c r="B10" s="8"/>
      <c r="C10" s="8"/>
      <c r="D10" s="9"/>
      <c r="E10" s="10"/>
      <c r="F10" s="10"/>
      <c r="G10" s="9"/>
      <c r="H10" s="9"/>
      <c r="I10" s="8"/>
    </row>
    <row r="11" customFormat="false" ht="15" hidden="false" customHeight="false" outlineLevel="0" collapsed="false">
      <c r="A11" s="8"/>
      <c r="B11" s="8"/>
      <c r="C11" s="8"/>
      <c r="D11" s="9"/>
      <c r="E11" s="10"/>
      <c r="F11" s="10"/>
      <c r="G11" s="9"/>
      <c r="H11" s="9"/>
      <c r="I11" s="8"/>
    </row>
    <row r="12" customFormat="false" ht="15" hidden="false" customHeight="false" outlineLevel="0" collapsed="false">
      <c r="A12" s="8"/>
      <c r="B12" s="8"/>
      <c r="C12" s="8"/>
      <c r="D12" s="9"/>
      <c r="E12" s="10"/>
      <c r="F12" s="10"/>
      <c r="G12" s="9"/>
      <c r="H12" s="9"/>
      <c r="I12" s="8"/>
    </row>
    <row r="13" customFormat="false" ht="15" hidden="false" customHeight="false" outlineLevel="0" collapsed="false">
      <c r="A13" s="8"/>
      <c r="B13" s="8"/>
      <c r="C13" s="8"/>
      <c r="D13" s="9"/>
      <c r="E13" s="10"/>
      <c r="F13" s="10"/>
      <c r="G13" s="9"/>
      <c r="H13" s="9"/>
      <c r="I13" s="8"/>
    </row>
    <row r="14" customFormat="false" ht="15" hidden="false" customHeight="false" outlineLevel="0" collapsed="false">
      <c r="A14" s="8"/>
      <c r="B14" s="8"/>
      <c r="C14" s="8"/>
      <c r="D14" s="9"/>
      <c r="E14" s="10"/>
      <c r="F14" s="10"/>
      <c r="G14" s="9"/>
      <c r="H14" s="9"/>
      <c r="I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6" min="3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8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4" t="s">
        <v>30</v>
      </c>
      <c r="B2" s="11" t="n">
        <f aca="false">SUM(H5:H304)</f>
        <v>1200</v>
      </c>
      <c r="C2" s="4" t="s">
        <v>31</v>
      </c>
      <c r="D2" s="12" t="n">
        <f aca="false">COUNTIF(I5:I304,"Overdue")</f>
        <v>0</v>
      </c>
    </row>
    <row r="4" customFormat="false" ht="26.85" hidden="false" customHeight="false" outlineLevel="0" collapsed="false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 t="s">
        <v>38</v>
      </c>
      <c r="H4" s="6" t="s">
        <v>39</v>
      </c>
      <c r="I4" s="6" t="s">
        <v>40</v>
      </c>
      <c r="J4" s="6" t="s">
        <v>41</v>
      </c>
    </row>
    <row r="5" customFormat="false" ht="15" hidden="false" customHeight="false" outlineLevel="0" collapsed="false">
      <c r="A5" s="8" t="s">
        <v>26</v>
      </c>
      <c r="B5" s="13" t="n">
        <v>46265</v>
      </c>
      <c r="C5" s="10" t="n">
        <v>46265</v>
      </c>
      <c r="D5" s="9" t="n">
        <v>1200</v>
      </c>
      <c r="E5" s="9" t="n">
        <v>1200</v>
      </c>
      <c r="F5" s="10" t="n">
        <v>46267</v>
      </c>
      <c r="G5" s="14" t="n">
        <f aca="false">IF(C5="",0,IF(E5&gt;=D5,MAX(0,IF(F5="",0,F5-C5)),MAX(0,Properties!$B$2-C5)))</f>
        <v>2</v>
      </c>
      <c r="H5" s="15" t="n">
        <f aca="false">IF(C5="",0,MAX(0,D5-E5))</f>
        <v>0</v>
      </c>
      <c r="I5" s="3" t="str">
        <f aca="false">IF(C5="","",IF(H5&lt;=0,"Paid",IF(G5&gt;0,"Overdue","Due")))</f>
        <v>Paid</v>
      </c>
      <c r="J5" s="8"/>
    </row>
    <row r="6" customFormat="false" ht="15" hidden="false" customHeight="false" outlineLevel="0" collapsed="false">
      <c r="A6" s="8" t="s">
        <v>26</v>
      </c>
      <c r="B6" s="13" t="n">
        <v>46296</v>
      </c>
      <c r="C6" s="10" t="n">
        <v>46296</v>
      </c>
      <c r="D6" s="9" t="n">
        <v>1200</v>
      </c>
      <c r="E6" s="9" t="n">
        <v>0</v>
      </c>
      <c r="F6" s="10"/>
      <c r="G6" s="14" t="n">
        <f aca="false">IF(C6="",0,IF(E6&gt;=D6,MAX(0,IF(F6="",0,F6-C6)),MAX(0,Properties!$B$2-C6)))</f>
        <v>0</v>
      </c>
      <c r="H6" s="15" t="n">
        <f aca="false">IF(C6="",0,MAX(0,D6-E6))</f>
        <v>1200</v>
      </c>
      <c r="I6" s="3" t="str">
        <f aca="false">IF(C6="","",IF(H6&lt;=0,"Paid",IF(G6&gt;0,"Overdue","Due")))</f>
        <v>Due</v>
      </c>
      <c r="J6" s="8"/>
    </row>
    <row r="7" customFormat="false" ht="15" hidden="false" customHeight="false" outlineLevel="0" collapsed="false">
      <c r="A7" s="8"/>
      <c r="B7" s="13"/>
      <c r="C7" s="10"/>
      <c r="D7" s="9"/>
      <c r="E7" s="9"/>
      <c r="F7" s="10"/>
      <c r="G7" s="14" t="n">
        <f aca="false">IF(C7="",0,IF(E7&gt;=D7,MAX(0,IF(F7="",0,F7-C7)),MAX(0,Properties!$B$2-C7)))</f>
        <v>0</v>
      </c>
      <c r="H7" s="15" t="n">
        <f aca="false">IF(C7="",0,MAX(0,D7-E7))</f>
        <v>0</v>
      </c>
      <c r="I7" s="3" t="str">
        <f aca="false">IF(C7="","",IF(H7&lt;=0,"Paid",IF(G7&gt;0,"Overdue","Due")))</f>
        <v/>
      </c>
      <c r="J7" s="8"/>
    </row>
    <row r="8" customFormat="false" ht="15" hidden="false" customHeight="false" outlineLevel="0" collapsed="false">
      <c r="A8" s="8"/>
      <c r="B8" s="13"/>
      <c r="C8" s="10"/>
      <c r="D8" s="9"/>
      <c r="E8" s="9"/>
      <c r="F8" s="10"/>
      <c r="G8" s="14" t="n">
        <f aca="false">IF(C8="",0,IF(E8&gt;=D8,MAX(0,IF(F8="",0,F8-C8)),MAX(0,Properties!$B$2-C8)))</f>
        <v>0</v>
      </c>
      <c r="H8" s="15" t="n">
        <f aca="false">IF(C8="",0,MAX(0,D8-E8))</f>
        <v>0</v>
      </c>
      <c r="I8" s="3" t="str">
        <f aca="false">IF(C8="","",IF(H8&lt;=0,"Paid",IF(G8&gt;0,"Overdue","Due")))</f>
        <v/>
      </c>
      <c r="J8" s="8"/>
    </row>
    <row r="9" customFormat="false" ht="15" hidden="false" customHeight="false" outlineLevel="0" collapsed="false">
      <c r="A9" s="8"/>
      <c r="B9" s="13"/>
      <c r="C9" s="10"/>
      <c r="D9" s="9"/>
      <c r="E9" s="9"/>
      <c r="F9" s="10"/>
      <c r="G9" s="14" t="n">
        <f aca="false">IF(C9="",0,IF(E9&gt;=D9,MAX(0,IF(F9="",0,F9-C9)),MAX(0,Properties!$B$2-C9)))</f>
        <v>0</v>
      </c>
      <c r="H9" s="15" t="n">
        <f aca="false">IF(C9="",0,MAX(0,D9-E9))</f>
        <v>0</v>
      </c>
      <c r="I9" s="3" t="str">
        <f aca="false">IF(C9="","",IF(H9&lt;=0,"Paid",IF(G9&gt;0,"Overdue","Due")))</f>
        <v/>
      </c>
      <c r="J9" s="8"/>
    </row>
    <row r="10" customFormat="false" ht="15" hidden="false" customHeight="false" outlineLevel="0" collapsed="false">
      <c r="A10" s="8"/>
      <c r="B10" s="13"/>
      <c r="C10" s="10"/>
      <c r="D10" s="9"/>
      <c r="E10" s="9"/>
      <c r="F10" s="10"/>
      <c r="G10" s="14" t="n">
        <f aca="false">IF(C10="",0,IF(E10&gt;=D10,MAX(0,IF(F10="",0,F10-C10)),MAX(0,Properties!$B$2-C10)))</f>
        <v>0</v>
      </c>
      <c r="H10" s="15" t="n">
        <f aca="false">IF(C10="",0,MAX(0,D10-E10))</f>
        <v>0</v>
      </c>
      <c r="I10" s="3" t="str">
        <f aca="false">IF(C10="","",IF(H10&lt;=0,"Paid",IF(G10&gt;0,"Overdue","Due")))</f>
        <v/>
      </c>
      <c r="J10" s="8"/>
    </row>
    <row r="11" customFormat="false" ht="15" hidden="false" customHeight="false" outlineLevel="0" collapsed="false">
      <c r="A11" s="8"/>
      <c r="B11" s="13"/>
      <c r="C11" s="10"/>
      <c r="D11" s="9"/>
      <c r="E11" s="9"/>
      <c r="F11" s="10"/>
      <c r="G11" s="14" t="n">
        <f aca="false">IF(C11="",0,IF(E11&gt;=D11,MAX(0,IF(F11="",0,F11-C11)),MAX(0,Properties!$B$2-C11)))</f>
        <v>0</v>
      </c>
      <c r="H11" s="15" t="n">
        <f aca="false">IF(C11="",0,MAX(0,D11-E11))</f>
        <v>0</v>
      </c>
      <c r="I11" s="3" t="str">
        <f aca="false">IF(C11="","",IF(H11&lt;=0,"Paid",IF(G11&gt;0,"Overdue","Due")))</f>
        <v/>
      </c>
      <c r="J11" s="8"/>
    </row>
    <row r="12" customFormat="false" ht="15" hidden="false" customHeight="false" outlineLevel="0" collapsed="false">
      <c r="A12" s="8"/>
      <c r="B12" s="13"/>
      <c r="C12" s="10"/>
      <c r="D12" s="9"/>
      <c r="E12" s="9"/>
      <c r="F12" s="10"/>
      <c r="G12" s="14" t="n">
        <f aca="false">IF(C12="",0,IF(E12&gt;=D12,MAX(0,IF(F12="",0,F12-C12)),MAX(0,Properties!$B$2-C12)))</f>
        <v>0</v>
      </c>
      <c r="H12" s="15" t="n">
        <f aca="false">IF(C12="",0,MAX(0,D12-E12))</f>
        <v>0</v>
      </c>
      <c r="I12" s="3" t="str">
        <f aca="false">IF(C12="","",IF(H12&lt;=0,"Paid",IF(G12&gt;0,"Overdue","Due")))</f>
        <v/>
      </c>
      <c r="J12" s="8"/>
    </row>
    <row r="13" customFormat="false" ht="15" hidden="false" customHeight="false" outlineLevel="0" collapsed="false">
      <c r="A13" s="8"/>
      <c r="B13" s="13"/>
      <c r="C13" s="10"/>
      <c r="D13" s="9"/>
      <c r="E13" s="9"/>
      <c r="F13" s="10"/>
      <c r="G13" s="14" t="n">
        <f aca="false">IF(C13="",0,IF(E13&gt;=D13,MAX(0,IF(F13="",0,F13-C13)),MAX(0,Properties!$B$2-C13)))</f>
        <v>0</v>
      </c>
      <c r="H13" s="15" t="n">
        <f aca="false">IF(C13="",0,MAX(0,D13-E13))</f>
        <v>0</v>
      </c>
      <c r="I13" s="3" t="str">
        <f aca="false">IF(C13="","",IF(H13&lt;=0,"Paid",IF(G13&gt;0,"Overdue","Due")))</f>
        <v/>
      </c>
      <c r="J13" s="8"/>
    </row>
    <row r="14" customFormat="false" ht="15" hidden="false" customHeight="false" outlineLevel="0" collapsed="false">
      <c r="A14" s="8"/>
      <c r="B14" s="13"/>
      <c r="C14" s="10"/>
      <c r="D14" s="9"/>
      <c r="E14" s="9"/>
      <c r="F14" s="10"/>
      <c r="G14" s="14" t="n">
        <f aca="false">IF(C14="",0,IF(E14&gt;=D14,MAX(0,IF(F14="",0,F14-C14)),MAX(0,Properties!$B$2-C14)))</f>
        <v>0</v>
      </c>
      <c r="H14" s="15" t="n">
        <f aca="false">IF(C14="",0,MAX(0,D14-E14))</f>
        <v>0</v>
      </c>
      <c r="I14" s="3" t="str">
        <f aca="false">IF(C14="","",IF(H14&lt;=0,"Paid",IF(G14&gt;0,"Overdue","Due")))</f>
        <v/>
      </c>
      <c r="J14" s="8"/>
    </row>
    <row r="15" customFormat="false" ht="15" hidden="false" customHeight="false" outlineLevel="0" collapsed="false">
      <c r="A15" s="8"/>
      <c r="B15" s="13"/>
      <c r="C15" s="10"/>
      <c r="D15" s="9"/>
      <c r="E15" s="9"/>
      <c r="F15" s="10"/>
      <c r="G15" s="14" t="n">
        <f aca="false">IF(C15="",0,IF(E15&gt;=D15,MAX(0,IF(F15="",0,F15-C15)),MAX(0,Properties!$B$2-C15)))</f>
        <v>0</v>
      </c>
      <c r="H15" s="15" t="n">
        <f aca="false">IF(C15="",0,MAX(0,D15-E15))</f>
        <v>0</v>
      </c>
      <c r="I15" s="3" t="str">
        <f aca="false">IF(C15="","",IF(H15&lt;=0,"Paid",IF(G15&gt;0,"Overdue","Due")))</f>
        <v/>
      </c>
      <c r="J15" s="8"/>
    </row>
    <row r="16" customFormat="false" ht="15" hidden="false" customHeight="false" outlineLevel="0" collapsed="false">
      <c r="A16" s="8"/>
      <c r="B16" s="13"/>
      <c r="C16" s="10"/>
      <c r="D16" s="9"/>
      <c r="E16" s="9"/>
      <c r="F16" s="10"/>
      <c r="G16" s="14" t="n">
        <f aca="false">IF(C16="",0,IF(E16&gt;=D16,MAX(0,IF(F16="",0,F16-C16)),MAX(0,Properties!$B$2-C16)))</f>
        <v>0</v>
      </c>
      <c r="H16" s="15" t="n">
        <f aca="false">IF(C16="",0,MAX(0,D16-E16))</f>
        <v>0</v>
      </c>
      <c r="I16" s="3" t="str">
        <f aca="false">IF(C16="","",IF(H16&lt;=0,"Paid",IF(G16&gt;0,"Overdue","Due")))</f>
        <v/>
      </c>
      <c r="J16" s="8"/>
    </row>
    <row r="17" customFormat="false" ht="15" hidden="false" customHeight="false" outlineLevel="0" collapsed="false">
      <c r="A17" s="8"/>
      <c r="B17" s="13"/>
      <c r="C17" s="10"/>
      <c r="D17" s="9"/>
      <c r="E17" s="9"/>
      <c r="F17" s="10"/>
      <c r="G17" s="14" t="n">
        <f aca="false">IF(C17="",0,IF(E17&gt;=D17,MAX(0,IF(F17="",0,F17-C17)),MAX(0,Properties!$B$2-C17)))</f>
        <v>0</v>
      </c>
      <c r="H17" s="15" t="n">
        <f aca="false">IF(C17="",0,MAX(0,D17-E17))</f>
        <v>0</v>
      </c>
      <c r="I17" s="3" t="str">
        <f aca="false">IF(C17="","",IF(H17&lt;=0,"Paid",IF(G17&gt;0,"Overdue","Due")))</f>
        <v/>
      </c>
      <c r="J17" s="8"/>
    </row>
    <row r="18" customFormat="false" ht="15" hidden="false" customHeight="false" outlineLevel="0" collapsed="false">
      <c r="A18" s="8"/>
      <c r="B18" s="13"/>
      <c r="C18" s="10"/>
      <c r="D18" s="9"/>
      <c r="E18" s="9"/>
      <c r="F18" s="10"/>
      <c r="G18" s="14" t="n">
        <f aca="false">IF(C18="",0,IF(E18&gt;=D18,MAX(0,IF(F18="",0,F18-C18)),MAX(0,Properties!$B$2-C18)))</f>
        <v>0</v>
      </c>
      <c r="H18" s="15" t="n">
        <f aca="false">IF(C18="",0,MAX(0,D18-E18))</f>
        <v>0</v>
      </c>
      <c r="I18" s="3" t="str">
        <f aca="false">IF(C18="","",IF(H18&lt;=0,"Paid",IF(G18&gt;0,"Overdue","Due")))</f>
        <v/>
      </c>
      <c r="J18" s="8"/>
    </row>
    <row r="19" customFormat="false" ht="15" hidden="false" customHeight="false" outlineLevel="0" collapsed="false">
      <c r="A19" s="8"/>
      <c r="B19" s="13"/>
      <c r="C19" s="10"/>
      <c r="D19" s="9"/>
      <c r="E19" s="9"/>
      <c r="F19" s="10"/>
      <c r="G19" s="14" t="n">
        <f aca="false">IF(C19="",0,IF(E19&gt;=D19,MAX(0,IF(F19="",0,F19-C19)),MAX(0,Properties!$B$2-C19)))</f>
        <v>0</v>
      </c>
      <c r="H19" s="15" t="n">
        <f aca="false">IF(C19="",0,MAX(0,D19-E19))</f>
        <v>0</v>
      </c>
      <c r="I19" s="3" t="str">
        <f aca="false">IF(C19="","",IF(H19&lt;=0,"Paid",IF(G19&gt;0,"Overdue","Due")))</f>
        <v/>
      </c>
      <c r="J19" s="8"/>
    </row>
    <row r="20" customFormat="false" ht="15" hidden="false" customHeight="false" outlineLevel="0" collapsed="false">
      <c r="A20" s="8"/>
      <c r="B20" s="13"/>
      <c r="C20" s="10"/>
      <c r="D20" s="9"/>
      <c r="E20" s="9"/>
      <c r="F20" s="10"/>
      <c r="G20" s="14" t="n">
        <f aca="false">IF(C20="",0,IF(E20&gt;=D20,MAX(0,IF(F20="",0,F20-C20)),MAX(0,Properties!$B$2-C20)))</f>
        <v>0</v>
      </c>
      <c r="H20" s="15" t="n">
        <f aca="false">IF(C20="",0,MAX(0,D20-E20))</f>
        <v>0</v>
      </c>
      <c r="I20" s="3" t="str">
        <f aca="false">IF(C20="","",IF(H20&lt;=0,"Paid",IF(G20&gt;0,"Overdue","Due")))</f>
        <v/>
      </c>
      <c r="J20" s="8"/>
    </row>
    <row r="21" customFormat="false" ht="15" hidden="false" customHeight="false" outlineLevel="0" collapsed="false">
      <c r="A21" s="8"/>
      <c r="B21" s="13"/>
      <c r="C21" s="10"/>
      <c r="D21" s="9"/>
      <c r="E21" s="9"/>
      <c r="F21" s="10"/>
      <c r="G21" s="14" t="n">
        <f aca="false">IF(C21="",0,IF(E21&gt;=D21,MAX(0,IF(F21="",0,F21-C21)),MAX(0,Properties!$B$2-C21)))</f>
        <v>0</v>
      </c>
      <c r="H21" s="15" t="n">
        <f aca="false">IF(C21="",0,MAX(0,D21-E21))</f>
        <v>0</v>
      </c>
      <c r="I21" s="3" t="str">
        <f aca="false">IF(C21="","",IF(H21&lt;=0,"Paid",IF(G21&gt;0,"Overdue","Due")))</f>
        <v/>
      </c>
      <c r="J21" s="8"/>
    </row>
    <row r="22" customFormat="false" ht="15" hidden="false" customHeight="false" outlineLevel="0" collapsed="false">
      <c r="A22" s="8"/>
      <c r="B22" s="13"/>
      <c r="C22" s="10"/>
      <c r="D22" s="9"/>
      <c r="E22" s="9"/>
      <c r="F22" s="10"/>
      <c r="G22" s="14" t="n">
        <f aca="false">IF(C22="",0,IF(E22&gt;=D22,MAX(0,IF(F22="",0,F22-C22)),MAX(0,Properties!$B$2-C22)))</f>
        <v>0</v>
      </c>
      <c r="H22" s="15" t="n">
        <f aca="false">IF(C22="",0,MAX(0,D22-E22))</f>
        <v>0</v>
      </c>
      <c r="I22" s="3" t="str">
        <f aca="false">IF(C22="","",IF(H22&lt;=0,"Paid",IF(G22&gt;0,"Overdue","Due")))</f>
        <v/>
      </c>
      <c r="J22" s="8"/>
    </row>
    <row r="23" customFormat="false" ht="15" hidden="false" customHeight="false" outlineLevel="0" collapsed="false">
      <c r="A23" s="8"/>
      <c r="B23" s="13"/>
      <c r="C23" s="10"/>
      <c r="D23" s="9"/>
      <c r="E23" s="9"/>
      <c r="F23" s="10"/>
      <c r="G23" s="14" t="n">
        <f aca="false">IF(C23="",0,IF(E23&gt;=D23,MAX(0,IF(F23="",0,F23-C23)),MAX(0,Properties!$B$2-C23)))</f>
        <v>0</v>
      </c>
      <c r="H23" s="15" t="n">
        <f aca="false">IF(C23="",0,MAX(0,D23-E23))</f>
        <v>0</v>
      </c>
      <c r="I23" s="3" t="str">
        <f aca="false">IF(C23="","",IF(H23&lt;=0,"Paid",IF(G23&gt;0,"Overdue","Due")))</f>
        <v/>
      </c>
      <c r="J23" s="8"/>
    </row>
    <row r="24" customFormat="false" ht="15" hidden="false" customHeight="false" outlineLevel="0" collapsed="false">
      <c r="A24" s="8"/>
      <c r="B24" s="13"/>
      <c r="C24" s="10"/>
      <c r="D24" s="9"/>
      <c r="E24" s="9"/>
      <c r="F24" s="10"/>
      <c r="G24" s="14" t="n">
        <f aca="false">IF(C24="",0,IF(E24&gt;=D24,MAX(0,IF(F24="",0,F24-C24)),MAX(0,Properties!$B$2-C24)))</f>
        <v>0</v>
      </c>
      <c r="H24" s="15" t="n">
        <f aca="false">IF(C24="",0,MAX(0,D24-E24))</f>
        <v>0</v>
      </c>
      <c r="I24" s="3" t="str">
        <f aca="false">IF(C24="","",IF(H24&lt;=0,"Paid",IF(G24&gt;0,"Overdue","Due")))</f>
        <v/>
      </c>
      <c r="J24" s="8"/>
    </row>
    <row r="25" customFormat="false" ht="15" hidden="false" customHeight="false" outlineLevel="0" collapsed="false">
      <c r="A25" s="8"/>
      <c r="B25" s="13"/>
      <c r="C25" s="10"/>
      <c r="D25" s="9"/>
      <c r="E25" s="9"/>
      <c r="F25" s="10"/>
      <c r="G25" s="14" t="n">
        <f aca="false">IF(C25="",0,IF(E25&gt;=D25,MAX(0,IF(F25="",0,F25-C25)),MAX(0,Properties!$B$2-C25)))</f>
        <v>0</v>
      </c>
      <c r="H25" s="15" t="n">
        <f aca="false">IF(C25="",0,MAX(0,D25-E25))</f>
        <v>0</v>
      </c>
      <c r="I25" s="3" t="str">
        <f aca="false">IF(C25="","",IF(H25&lt;=0,"Paid",IF(G25&gt;0,"Overdue","Due")))</f>
        <v/>
      </c>
      <c r="J25" s="8"/>
    </row>
    <row r="26" customFormat="false" ht="15" hidden="false" customHeight="false" outlineLevel="0" collapsed="false">
      <c r="A26" s="8"/>
      <c r="B26" s="13"/>
      <c r="C26" s="10"/>
      <c r="D26" s="9"/>
      <c r="E26" s="9"/>
      <c r="F26" s="10"/>
      <c r="G26" s="14" t="n">
        <f aca="false">IF(C26="",0,IF(E26&gt;=D26,MAX(0,IF(F26="",0,F26-C26)),MAX(0,Properties!$B$2-C26)))</f>
        <v>0</v>
      </c>
      <c r="H26" s="15" t="n">
        <f aca="false">IF(C26="",0,MAX(0,D26-E26))</f>
        <v>0</v>
      </c>
      <c r="I26" s="3" t="str">
        <f aca="false">IF(C26="","",IF(H26&lt;=0,"Paid",IF(G26&gt;0,"Overdue","Due")))</f>
        <v/>
      </c>
      <c r="J26" s="8"/>
    </row>
    <row r="27" customFormat="false" ht="15" hidden="false" customHeight="false" outlineLevel="0" collapsed="false">
      <c r="A27" s="8"/>
      <c r="B27" s="13"/>
      <c r="C27" s="10"/>
      <c r="D27" s="9"/>
      <c r="E27" s="9"/>
      <c r="F27" s="10"/>
      <c r="G27" s="14" t="n">
        <f aca="false">IF(C27="",0,IF(E27&gt;=D27,MAX(0,IF(F27="",0,F27-C27)),MAX(0,Properties!$B$2-C27)))</f>
        <v>0</v>
      </c>
      <c r="H27" s="15" t="n">
        <f aca="false">IF(C27="",0,MAX(0,D27-E27))</f>
        <v>0</v>
      </c>
      <c r="I27" s="3" t="str">
        <f aca="false">IF(C27="","",IF(H27&lt;=0,"Paid",IF(G27&gt;0,"Overdue","Due")))</f>
        <v/>
      </c>
      <c r="J27" s="8"/>
    </row>
    <row r="28" customFormat="false" ht="15" hidden="false" customHeight="false" outlineLevel="0" collapsed="false">
      <c r="A28" s="8"/>
      <c r="B28" s="13"/>
      <c r="C28" s="10"/>
      <c r="D28" s="9"/>
      <c r="E28" s="9"/>
      <c r="F28" s="10"/>
      <c r="G28" s="14" t="n">
        <f aca="false">IF(C28="",0,IF(E28&gt;=D28,MAX(0,IF(F28="",0,F28-C28)),MAX(0,Properties!$B$2-C28)))</f>
        <v>0</v>
      </c>
      <c r="H28" s="15" t="n">
        <f aca="false">IF(C28="",0,MAX(0,D28-E28))</f>
        <v>0</v>
      </c>
      <c r="I28" s="3" t="str">
        <f aca="false">IF(C28="","",IF(H28&lt;=0,"Paid",IF(G28&gt;0,"Overdue","Due")))</f>
        <v/>
      </c>
      <c r="J28" s="8"/>
    </row>
    <row r="29" customFormat="false" ht="15" hidden="false" customHeight="false" outlineLevel="0" collapsed="false">
      <c r="A29" s="8"/>
      <c r="B29" s="13"/>
      <c r="C29" s="10"/>
      <c r="D29" s="9"/>
      <c r="E29" s="9"/>
      <c r="F29" s="10"/>
      <c r="G29" s="14" t="n">
        <f aca="false">IF(C29="",0,IF(E29&gt;=D29,MAX(0,IF(F29="",0,F29-C29)),MAX(0,Properties!$B$2-C29)))</f>
        <v>0</v>
      </c>
      <c r="H29" s="15" t="n">
        <f aca="false">IF(C29="",0,MAX(0,D29-E29))</f>
        <v>0</v>
      </c>
      <c r="I29" s="3" t="str">
        <f aca="false">IF(C29="","",IF(H29&lt;=0,"Paid",IF(G29&gt;0,"Overdue","Due")))</f>
        <v/>
      </c>
      <c r="J29" s="8"/>
    </row>
    <row r="30" customFormat="false" ht="15" hidden="false" customHeight="false" outlineLevel="0" collapsed="false">
      <c r="A30" s="8"/>
      <c r="B30" s="13"/>
      <c r="C30" s="10"/>
      <c r="D30" s="9"/>
      <c r="E30" s="9"/>
      <c r="F30" s="10"/>
      <c r="G30" s="14" t="n">
        <f aca="false">IF(C30="",0,IF(E30&gt;=D30,MAX(0,IF(F30="",0,F30-C30)),MAX(0,Properties!$B$2-C30)))</f>
        <v>0</v>
      </c>
      <c r="H30" s="15" t="n">
        <f aca="false">IF(C30="",0,MAX(0,D30-E30))</f>
        <v>0</v>
      </c>
      <c r="I30" s="3" t="str">
        <f aca="false">IF(C30="","",IF(H30&lt;=0,"Paid",IF(G30&gt;0,"Overdue","Due")))</f>
        <v/>
      </c>
      <c r="J30" s="8"/>
    </row>
    <row r="31" customFormat="false" ht="15" hidden="false" customHeight="false" outlineLevel="0" collapsed="false">
      <c r="A31" s="8"/>
      <c r="B31" s="13"/>
      <c r="C31" s="10"/>
      <c r="D31" s="9"/>
      <c r="E31" s="9"/>
      <c r="F31" s="10"/>
      <c r="G31" s="14" t="n">
        <f aca="false">IF(C31="",0,IF(E31&gt;=D31,MAX(0,IF(F31="",0,F31-C31)),MAX(0,Properties!$B$2-C31)))</f>
        <v>0</v>
      </c>
      <c r="H31" s="15" t="n">
        <f aca="false">IF(C31="",0,MAX(0,D31-E31))</f>
        <v>0</v>
      </c>
      <c r="I31" s="3" t="str">
        <f aca="false">IF(C31="","",IF(H31&lt;=0,"Paid",IF(G31&gt;0,"Overdue","Due")))</f>
        <v/>
      </c>
      <c r="J31" s="8"/>
    </row>
    <row r="32" customFormat="false" ht="15" hidden="false" customHeight="false" outlineLevel="0" collapsed="false">
      <c r="A32" s="8"/>
      <c r="B32" s="13"/>
      <c r="C32" s="10"/>
      <c r="D32" s="9"/>
      <c r="E32" s="9"/>
      <c r="F32" s="10"/>
      <c r="G32" s="14" t="n">
        <f aca="false">IF(C32="",0,IF(E32&gt;=D32,MAX(0,IF(F32="",0,F32-C32)),MAX(0,Properties!$B$2-C32)))</f>
        <v>0</v>
      </c>
      <c r="H32" s="15" t="n">
        <f aca="false">IF(C32="",0,MAX(0,D32-E32))</f>
        <v>0</v>
      </c>
      <c r="I32" s="3" t="str">
        <f aca="false">IF(C32="","",IF(H32&lt;=0,"Paid",IF(G32&gt;0,"Overdue","Due")))</f>
        <v/>
      </c>
      <c r="J32" s="8"/>
    </row>
    <row r="33" customFormat="false" ht="15" hidden="false" customHeight="false" outlineLevel="0" collapsed="false">
      <c r="A33" s="8"/>
      <c r="B33" s="13"/>
      <c r="C33" s="10"/>
      <c r="D33" s="9"/>
      <c r="E33" s="9"/>
      <c r="F33" s="10"/>
      <c r="G33" s="14" t="n">
        <f aca="false">IF(C33="",0,IF(E33&gt;=D33,MAX(0,IF(F33="",0,F33-C33)),MAX(0,Properties!$B$2-C33)))</f>
        <v>0</v>
      </c>
      <c r="H33" s="15" t="n">
        <f aca="false">IF(C33="",0,MAX(0,D33-E33))</f>
        <v>0</v>
      </c>
      <c r="I33" s="3" t="str">
        <f aca="false">IF(C33="","",IF(H33&lt;=0,"Paid",IF(G33&gt;0,"Overdue","Due")))</f>
        <v/>
      </c>
      <c r="J33" s="8"/>
    </row>
    <row r="34" customFormat="false" ht="15" hidden="false" customHeight="false" outlineLevel="0" collapsed="false">
      <c r="A34" s="8"/>
      <c r="B34" s="13"/>
      <c r="C34" s="10"/>
      <c r="D34" s="9"/>
      <c r="E34" s="9"/>
      <c r="F34" s="10"/>
      <c r="G34" s="14" t="n">
        <f aca="false">IF(C34="",0,IF(E34&gt;=D34,MAX(0,IF(F34="",0,F34-C34)),MAX(0,Properties!$B$2-C34)))</f>
        <v>0</v>
      </c>
      <c r="H34" s="15" t="n">
        <f aca="false">IF(C34="",0,MAX(0,D34-E34))</f>
        <v>0</v>
      </c>
      <c r="I34" s="3" t="str">
        <f aca="false">IF(C34="","",IF(H34&lt;=0,"Paid",IF(G34&gt;0,"Overdue","Due")))</f>
        <v/>
      </c>
      <c r="J34" s="8"/>
    </row>
    <row r="35" customFormat="false" ht="15" hidden="false" customHeight="false" outlineLevel="0" collapsed="false">
      <c r="A35" s="8"/>
      <c r="B35" s="13"/>
      <c r="C35" s="10"/>
      <c r="D35" s="9"/>
      <c r="E35" s="9"/>
      <c r="F35" s="10"/>
      <c r="G35" s="14" t="n">
        <f aca="false">IF(C35="",0,IF(E35&gt;=D35,MAX(0,IF(F35="",0,F35-C35)),MAX(0,Properties!$B$2-C35)))</f>
        <v>0</v>
      </c>
      <c r="H35" s="15" t="n">
        <f aca="false">IF(C35="",0,MAX(0,D35-E35))</f>
        <v>0</v>
      </c>
      <c r="I35" s="3" t="str">
        <f aca="false">IF(C35="","",IF(H35&lt;=0,"Paid",IF(G35&gt;0,"Overdue","Due")))</f>
        <v/>
      </c>
      <c r="J35" s="8"/>
    </row>
    <row r="36" customFormat="false" ht="15" hidden="false" customHeight="false" outlineLevel="0" collapsed="false">
      <c r="A36" s="8"/>
      <c r="B36" s="13"/>
      <c r="C36" s="10"/>
      <c r="D36" s="9"/>
      <c r="E36" s="9"/>
      <c r="F36" s="10"/>
      <c r="G36" s="14" t="n">
        <f aca="false">IF(C36="",0,IF(E36&gt;=D36,MAX(0,IF(F36="",0,F36-C36)),MAX(0,Properties!$B$2-C36)))</f>
        <v>0</v>
      </c>
      <c r="H36" s="15" t="n">
        <f aca="false">IF(C36="",0,MAX(0,D36-E36))</f>
        <v>0</v>
      </c>
      <c r="I36" s="3" t="str">
        <f aca="false">IF(C36="","",IF(H36&lt;=0,"Paid",IF(G36&gt;0,"Overdue","Due")))</f>
        <v/>
      </c>
      <c r="J36" s="8"/>
    </row>
    <row r="37" customFormat="false" ht="15" hidden="false" customHeight="false" outlineLevel="0" collapsed="false">
      <c r="A37" s="8"/>
      <c r="B37" s="13"/>
      <c r="C37" s="10"/>
      <c r="D37" s="9"/>
      <c r="E37" s="9"/>
      <c r="F37" s="10"/>
      <c r="G37" s="14" t="n">
        <f aca="false">IF(C37="",0,IF(E37&gt;=D37,MAX(0,IF(F37="",0,F37-C37)),MAX(0,Properties!$B$2-C37)))</f>
        <v>0</v>
      </c>
      <c r="H37" s="15" t="n">
        <f aca="false">IF(C37="",0,MAX(0,D37-E37))</f>
        <v>0</v>
      </c>
      <c r="I37" s="3" t="str">
        <f aca="false">IF(C37="","",IF(H37&lt;=0,"Paid",IF(G37&gt;0,"Overdue","Due")))</f>
        <v/>
      </c>
      <c r="J37" s="8"/>
    </row>
    <row r="38" customFormat="false" ht="15" hidden="false" customHeight="false" outlineLevel="0" collapsed="false">
      <c r="A38" s="8"/>
      <c r="B38" s="13"/>
      <c r="C38" s="10"/>
      <c r="D38" s="9"/>
      <c r="E38" s="9"/>
      <c r="F38" s="10"/>
      <c r="G38" s="14" t="n">
        <f aca="false">IF(C38="",0,IF(E38&gt;=D38,MAX(0,IF(F38="",0,F38-C38)),MAX(0,Properties!$B$2-C38)))</f>
        <v>0</v>
      </c>
      <c r="H38" s="15" t="n">
        <f aca="false">IF(C38="",0,MAX(0,D38-E38))</f>
        <v>0</v>
      </c>
      <c r="I38" s="3" t="str">
        <f aca="false">IF(C38="","",IF(H38&lt;=0,"Paid",IF(G38&gt;0,"Overdue","Due")))</f>
        <v/>
      </c>
      <c r="J38" s="8"/>
    </row>
    <row r="39" customFormat="false" ht="15" hidden="false" customHeight="false" outlineLevel="0" collapsed="false">
      <c r="A39" s="8"/>
      <c r="B39" s="13"/>
      <c r="C39" s="10"/>
      <c r="D39" s="9"/>
      <c r="E39" s="9"/>
      <c r="F39" s="10"/>
      <c r="G39" s="14" t="n">
        <f aca="false">IF(C39="",0,IF(E39&gt;=D39,MAX(0,IF(F39="",0,F39-C39)),MAX(0,Properties!$B$2-C39)))</f>
        <v>0</v>
      </c>
      <c r="H39" s="15" t="n">
        <f aca="false">IF(C39="",0,MAX(0,D39-E39))</f>
        <v>0</v>
      </c>
      <c r="I39" s="3" t="str">
        <f aca="false">IF(C39="","",IF(H39&lt;=0,"Paid",IF(G39&gt;0,"Overdue","Due")))</f>
        <v/>
      </c>
      <c r="J39" s="8"/>
    </row>
    <row r="40" customFormat="false" ht="15" hidden="false" customHeight="false" outlineLevel="0" collapsed="false">
      <c r="A40" s="8"/>
      <c r="B40" s="13"/>
      <c r="C40" s="10"/>
      <c r="D40" s="9"/>
      <c r="E40" s="9"/>
      <c r="F40" s="10"/>
      <c r="G40" s="14" t="n">
        <f aca="false">IF(C40="",0,IF(E40&gt;=D40,MAX(0,IF(F40="",0,F40-C40)),MAX(0,Properties!$B$2-C40)))</f>
        <v>0</v>
      </c>
      <c r="H40" s="15" t="n">
        <f aca="false">IF(C40="",0,MAX(0,D40-E40))</f>
        <v>0</v>
      </c>
      <c r="I40" s="3" t="str">
        <f aca="false">IF(C40="","",IF(H40&lt;=0,"Paid",IF(G40&gt;0,"Overdue","Due")))</f>
        <v/>
      </c>
      <c r="J40" s="8"/>
    </row>
    <row r="41" customFormat="false" ht="15" hidden="false" customHeight="false" outlineLevel="0" collapsed="false">
      <c r="A41" s="8"/>
      <c r="B41" s="13"/>
      <c r="C41" s="10"/>
      <c r="D41" s="9"/>
      <c r="E41" s="9"/>
      <c r="F41" s="10"/>
      <c r="G41" s="14" t="n">
        <f aca="false">IF(C41="",0,IF(E41&gt;=D41,MAX(0,IF(F41="",0,F41-C41)),MAX(0,Properties!$B$2-C41)))</f>
        <v>0</v>
      </c>
      <c r="H41" s="15" t="n">
        <f aca="false">IF(C41="",0,MAX(0,D41-E41))</f>
        <v>0</v>
      </c>
      <c r="I41" s="3" t="str">
        <f aca="false">IF(C41="","",IF(H41&lt;=0,"Paid",IF(G41&gt;0,"Overdue","Due")))</f>
        <v/>
      </c>
      <c r="J41" s="8"/>
    </row>
    <row r="42" customFormat="false" ht="15" hidden="false" customHeight="false" outlineLevel="0" collapsed="false">
      <c r="A42" s="8"/>
      <c r="B42" s="13"/>
      <c r="C42" s="10"/>
      <c r="D42" s="9"/>
      <c r="E42" s="9"/>
      <c r="F42" s="10"/>
      <c r="G42" s="14" t="n">
        <f aca="false">IF(C42="",0,IF(E42&gt;=D42,MAX(0,IF(F42="",0,F42-C42)),MAX(0,Properties!$B$2-C42)))</f>
        <v>0</v>
      </c>
      <c r="H42" s="15" t="n">
        <f aca="false">IF(C42="",0,MAX(0,D42-E42))</f>
        <v>0</v>
      </c>
      <c r="I42" s="3" t="str">
        <f aca="false">IF(C42="","",IF(H42&lt;=0,"Paid",IF(G42&gt;0,"Overdue","Due")))</f>
        <v/>
      </c>
      <c r="J42" s="8"/>
    </row>
    <row r="43" customFormat="false" ht="15" hidden="false" customHeight="false" outlineLevel="0" collapsed="false">
      <c r="A43" s="8"/>
      <c r="B43" s="13"/>
      <c r="C43" s="10"/>
      <c r="D43" s="9"/>
      <c r="E43" s="9"/>
      <c r="F43" s="10"/>
      <c r="G43" s="14" t="n">
        <f aca="false">IF(C43="",0,IF(E43&gt;=D43,MAX(0,IF(F43="",0,F43-C43)),MAX(0,Properties!$B$2-C43)))</f>
        <v>0</v>
      </c>
      <c r="H43" s="15" t="n">
        <f aca="false">IF(C43="",0,MAX(0,D43-E43))</f>
        <v>0</v>
      </c>
      <c r="I43" s="3" t="str">
        <f aca="false">IF(C43="","",IF(H43&lt;=0,"Paid",IF(G43&gt;0,"Overdue","Due")))</f>
        <v/>
      </c>
      <c r="J43" s="8"/>
    </row>
    <row r="44" customFormat="false" ht="15" hidden="false" customHeight="false" outlineLevel="0" collapsed="false">
      <c r="A44" s="8"/>
      <c r="B44" s="13"/>
      <c r="C44" s="10"/>
      <c r="D44" s="9"/>
      <c r="E44" s="9"/>
      <c r="F44" s="10"/>
      <c r="G44" s="14" t="n">
        <f aca="false">IF(C44="",0,IF(E44&gt;=D44,MAX(0,IF(F44="",0,F44-C44)),MAX(0,Properties!$B$2-C44)))</f>
        <v>0</v>
      </c>
      <c r="H44" s="15" t="n">
        <f aca="false">IF(C44="",0,MAX(0,D44-E44))</f>
        <v>0</v>
      </c>
      <c r="I44" s="3" t="str">
        <f aca="false">IF(C44="","",IF(H44&lt;=0,"Paid",IF(G44&gt;0,"Overdue","Due")))</f>
        <v/>
      </c>
      <c r="J44" s="8"/>
    </row>
    <row r="45" customFormat="false" ht="15" hidden="false" customHeight="false" outlineLevel="0" collapsed="false">
      <c r="A45" s="8"/>
      <c r="B45" s="13"/>
      <c r="C45" s="10"/>
      <c r="D45" s="9"/>
      <c r="E45" s="9"/>
      <c r="F45" s="10"/>
      <c r="G45" s="14" t="n">
        <f aca="false">IF(C45="",0,IF(E45&gt;=D45,MAX(0,IF(F45="",0,F45-C45)),MAX(0,Properties!$B$2-C45)))</f>
        <v>0</v>
      </c>
      <c r="H45" s="15" t="n">
        <f aca="false">IF(C45="",0,MAX(0,D45-E45))</f>
        <v>0</v>
      </c>
      <c r="I45" s="3" t="str">
        <f aca="false">IF(C45="","",IF(H45&lt;=0,"Paid",IF(G45&gt;0,"Overdue","Due")))</f>
        <v/>
      </c>
      <c r="J45" s="8"/>
    </row>
    <row r="46" customFormat="false" ht="15" hidden="false" customHeight="false" outlineLevel="0" collapsed="false">
      <c r="A46" s="8"/>
      <c r="B46" s="13"/>
      <c r="C46" s="10"/>
      <c r="D46" s="9"/>
      <c r="E46" s="9"/>
      <c r="F46" s="10"/>
      <c r="G46" s="14" t="n">
        <f aca="false">IF(C46="",0,IF(E46&gt;=D46,MAX(0,IF(F46="",0,F46-C46)),MAX(0,Properties!$B$2-C46)))</f>
        <v>0</v>
      </c>
      <c r="H46" s="15" t="n">
        <f aca="false">IF(C46="",0,MAX(0,D46-E46))</f>
        <v>0</v>
      </c>
      <c r="I46" s="3" t="str">
        <f aca="false">IF(C46="","",IF(H46&lt;=0,"Paid",IF(G46&gt;0,"Overdue","Due")))</f>
        <v/>
      </c>
      <c r="J46" s="8"/>
    </row>
    <row r="47" customFormat="false" ht="15" hidden="false" customHeight="false" outlineLevel="0" collapsed="false">
      <c r="A47" s="8"/>
      <c r="B47" s="13"/>
      <c r="C47" s="10"/>
      <c r="D47" s="9"/>
      <c r="E47" s="9"/>
      <c r="F47" s="10"/>
      <c r="G47" s="14" t="n">
        <f aca="false">IF(C47="",0,IF(E47&gt;=D47,MAX(0,IF(F47="",0,F47-C47)),MAX(0,Properties!$B$2-C47)))</f>
        <v>0</v>
      </c>
      <c r="H47" s="15" t="n">
        <f aca="false">IF(C47="",0,MAX(0,D47-E47))</f>
        <v>0</v>
      </c>
      <c r="I47" s="3" t="str">
        <f aca="false">IF(C47="","",IF(H47&lt;=0,"Paid",IF(G47&gt;0,"Overdue","Due")))</f>
        <v/>
      </c>
      <c r="J47" s="8"/>
    </row>
    <row r="48" customFormat="false" ht="15" hidden="false" customHeight="false" outlineLevel="0" collapsed="false">
      <c r="A48" s="8"/>
      <c r="B48" s="13"/>
      <c r="C48" s="10"/>
      <c r="D48" s="9"/>
      <c r="E48" s="9"/>
      <c r="F48" s="10"/>
      <c r="G48" s="14" t="n">
        <f aca="false">IF(C48="",0,IF(E48&gt;=D48,MAX(0,IF(F48="",0,F48-C48)),MAX(0,Properties!$B$2-C48)))</f>
        <v>0</v>
      </c>
      <c r="H48" s="15" t="n">
        <f aca="false">IF(C48="",0,MAX(0,D48-E48))</f>
        <v>0</v>
      </c>
      <c r="I48" s="3" t="str">
        <f aca="false">IF(C48="","",IF(H48&lt;=0,"Paid",IF(G48&gt;0,"Overdue","Due")))</f>
        <v/>
      </c>
      <c r="J48" s="8"/>
    </row>
    <row r="49" customFormat="false" ht="15" hidden="false" customHeight="false" outlineLevel="0" collapsed="false">
      <c r="A49" s="8"/>
      <c r="B49" s="13"/>
      <c r="C49" s="10"/>
      <c r="D49" s="9"/>
      <c r="E49" s="9"/>
      <c r="F49" s="10"/>
      <c r="G49" s="14" t="n">
        <f aca="false">IF(C49="",0,IF(E49&gt;=D49,MAX(0,IF(F49="",0,F49-C49)),MAX(0,Properties!$B$2-C49)))</f>
        <v>0</v>
      </c>
      <c r="H49" s="15" t="n">
        <f aca="false">IF(C49="",0,MAX(0,D49-E49))</f>
        <v>0</v>
      </c>
      <c r="I49" s="3" t="str">
        <f aca="false">IF(C49="","",IF(H49&lt;=0,"Paid",IF(G49&gt;0,"Overdue","Due")))</f>
        <v/>
      </c>
      <c r="J49" s="8"/>
    </row>
    <row r="50" customFormat="false" ht="15" hidden="false" customHeight="false" outlineLevel="0" collapsed="false">
      <c r="A50" s="8"/>
      <c r="B50" s="13"/>
      <c r="C50" s="10"/>
      <c r="D50" s="9"/>
      <c r="E50" s="9"/>
      <c r="F50" s="10"/>
      <c r="G50" s="14" t="n">
        <f aca="false">IF(C50="",0,IF(E50&gt;=D50,MAX(0,IF(F50="",0,F50-C50)),MAX(0,Properties!$B$2-C50)))</f>
        <v>0</v>
      </c>
      <c r="H50" s="15" t="n">
        <f aca="false">IF(C50="",0,MAX(0,D50-E50))</f>
        <v>0</v>
      </c>
      <c r="I50" s="3" t="str">
        <f aca="false">IF(C50="","",IF(H50&lt;=0,"Paid",IF(G50&gt;0,"Overdue","Due")))</f>
        <v/>
      </c>
      <c r="J50" s="8"/>
    </row>
    <row r="51" customFormat="false" ht="15" hidden="false" customHeight="false" outlineLevel="0" collapsed="false">
      <c r="A51" s="8"/>
      <c r="B51" s="13"/>
      <c r="C51" s="10"/>
      <c r="D51" s="9"/>
      <c r="E51" s="9"/>
      <c r="F51" s="10"/>
      <c r="G51" s="14" t="n">
        <f aca="false">IF(C51="",0,IF(E51&gt;=D51,MAX(0,IF(F51="",0,F51-C51)),MAX(0,Properties!$B$2-C51)))</f>
        <v>0</v>
      </c>
      <c r="H51" s="15" t="n">
        <f aca="false">IF(C51="",0,MAX(0,D51-E51))</f>
        <v>0</v>
      </c>
      <c r="I51" s="3" t="str">
        <f aca="false">IF(C51="","",IF(H51&lt;=0,"Paid",IF(G51&gt;0,"Overdue","Due")))</f>
        <v/>
      </c>
      <c r="J51" s="8"/>
    </row>
    <row r="52" customFormat="false" ht="15" hidden="false" customHeight="false" outlineLevel="0" collapsed="false">
      <c r="A52" s="8"/>
      <c r="B52" s="13"/>
      <c r="C52" s="10"/>
      <c r="D52" s="9"/>
      <c r="E52" s="9"/>
      <c r="F52" s="10"/>
      <c r="G52" s="14" t="n">
        <f aca="false">IF(C52="",0,IF(E52&gt;=D52,MAX(0,IF(F52="",0,F52-C52)),MAX(0,Properties!$B$2-C52)))</f>
        <v>0</v>
      </c>
      <c r="H52" s="15" t="n">
        <f aca="false">IF(C52="",0,MAX(0,D52-E52))</f>
        <v>0</v>
      </c>
      <c r="I52" s="3" t="str">
        <f aca="false">IF(C52="","",IF(H52&lt;=0,"Paid",IF(G52&gt;0,"Overdue","Due")))</f>
        <v/>
      </c>
      <c r="J52" s="8"/>
    </row>
    <row r="53" customFormat="false" ht="15" hidden="false" customHeight="false" outlineLevel="0" collapsed="false">
      <c r="A53" s="8"/>
      <c r="B53" s="13"/>
      <c r="C53" s="10"/>
      <c r="D53" s="9"/>
      <c r="E53" s="9"/>
      <c r="F53" s="10"/>
      <c r="G53" s="14" t="n">
        <f aca="false">IF(C53="",0,IF(E53&gt;=D53,MAX(0,IF(F53="",0,F53-C53)),MAX(0,Properties!$B$2-C53)))</f>
        <v>0</v>
      </c>
      <c r="H53" s="15" t="n">
        <f aca="false">IF(C53="",0,MAX(0,D53-E53))</f>
        <v>0</v>
      </c>
      <c r="I53" s="3" t="str">
        <f aca="false">IF(C53="","",IF(H53&lt;=0,"Paid",IF(G53&gt;0,"Overdue","Due")))</f>
        <v/>
      </c>
      <c r="J53" s="8"/>
    </row>
    <row r="54" customFormat="false" ht="15" hidden="false" customHeight="false" outlineLevel="0" collapsed="false">
      <c r="A54" s="8"/>
      <c r="B54" s="13"/>
      <c r="C54" s="10"/>
      <c r="D54" s="9"/>
      <c r="E54" s="9"/>
      <c r="F54" s="10"/>
      <c r="G54" s="14" t="n">
        <f aca="false">IF(C54="",0,IF(E54&gt;=D54,MAX(0,IF(F54="",0,F54-C54)),MAX(0,Properties!$B$2-C54)))</f>
        <v>0</v>
      </c>
      <c r="H54" s="15" t="n">
        <f aca="false">IF(C54="",0,MAX(0,D54-E54))</f>
        <v>0</v>
      </c>
      <c r="I54" s="3" t="str">
        <f aca="false">IF(C54="","",IF(H54&lt;=0,"Paid",IF(G54&gt;0,"Overdue","Due")))</f>
        <v/>
      </c>
      <c r="J54" s="8"/>
    </row>
    <row r="55" customFormat="false" ht="15" hidden="false" customHeight="false" outlineLevel="0" collapsed="false">
      <c r="A55" s="8"/>
      <c r="B55" s="13"/>
      <c r="C55" s="10"/>
      <c r="D55" s="9"/>
      <c r="E55" s="9"/>
      <c r="F55" s="10"/>
      <c r="G55" s="14" t="n">
        <f aca="false">IF(C55="",0,IF(E55&gt;=D55,MAX(0,IF(F55="",0,F55-C55)),MAX(0,Properties!$B$2-C55)))</f>
        <v>0</v>
      </c>
      <c r="H55" s="15" t="n">
        <f aca="false">IF(C55="",0,MAX(0,D55-E55))</f>
        <v>0</v>
      </c>
      <c r="I55" s="3" t="str">
        <f aca="false">IF(C55="","",IF(H55&lt;=0,"Paid",IF(G55&gt;0,"Overdue","Due")))</f>
        <v/>
      </c>
      <c r="J55" s="8"/>
    </row>
    <row r="56" customFormat="false" ht="15" hidden="false" customHeight="false" outlineLevel="0" collapsed="false">
      <c r="A56" s="8"/>
      <c r="B56" s="13"/>
      <c r="C56" s="10"/>
      <c r="D56" s="9"/>
      <c r="E56" s="9"/>
      <c r="F56" s="10"/>
      <c r="G56" s="14" t="n">
        <f aca="false">IF(C56="",0,IF(E56&gt;=D56,MAX(0,IF(F56="",0,F56-C56)),MAX(0,Properties!$B$2-C56)))</f>
        <v>0</v>
      </c>
      <c r="H56" s="15" t="n">
        <f aca="false">IF(C56="",0,MAX(0,D56-E56))</f>
        <v>0</v>
      </c>
      <c r="I56" s="3" t="str">
        <f aca="false">IF(C56="","",IF(H56&lt;=0,"Paid",IF(G56&gt;0,"Overdue","Due")))</f>
        <v/>
      </c>
      <c r="J56" s="8"/>
    </row>
    <row r="57" customFormat="false" ht="15" hidden="false" customHeight="false" outlineLevel="0" collapsed="false">
      <c r="A57" s="8"/>
      <c r="B57" s="13"/>
      <c r="C57" s="10"/>
      <c r="D57" s="9"/>
      <c r="E57" s="9"/>
      <c r="F57" s="10"/>
      <c r="G57" s="14" t="n">
        <f aca="false">IF(C57="",0,IF(E57&gt;=D57,MAX(0,IF(F57="",0,F57-C57)),MAX(0,Properties!$B$2-C57)))</f>
        <v>0</v>
      </c>
      <c r="H57" s="15" t="n">
        <f aca="false">IF(C57="",0,MAX(0,D57-E57))</f>
        <v>0</v>
      </c>
      <c r="I57" s="3" t="str">
        <f aca="false">IF(C57="","",IF(H57&lt;=0,"Paid",IF(G57&gt;0,"Overdue","Due")))</f>
        <v/>
      </c>
      <c r="J57" s="8"/>
    </row>
    <row r="58" customFormat="false" ht="15" hidden="false" customHeight="false" outlineLevel="0" collapsed="false">
      <c r="A58" s="8"/>
      <c r="B58" s="13"/>
      <c r="C58" s="10"/>
      <c r="D58" s="9"/>
      <c r="E58" s="9"/>
      <c r="F58" s="10"/>
      <c r="G58" s="14" t="n">
        <f aca="false">IF(C58="",0,IF(E58&gt;=D58,MAX(0,IF(F58="",0,F58-C58)),MAX(0,Properties!$B$2-C58)))</f>
        <v>0</v>
      </c>
      <c r="H58" s="15" t="n">
        <f aca="false">IF(C58="",0,MAX(0,D58-E58))</f>
        <v>0</v>
      </c>
      <c r="I58" s="3" t="str">
        <f aca="false">IF(C58="","",IF(H58&lt;=0,"Paid",IF(G58&gt;0,"Overdue","Due")))</f>
        <v/>
      </c>
      <c r="J58" s="8"/>
    </row>
    <row r="59" customFormat="false" ht="15" hidden="false" customHeight="false" outlineLevel="0" collapsed="false">
      <c r="A59" s="8"/>
      <c r="B59" s="13"/>
      <c r="C59" s="10"/>
      <c r="D59" s="9"/>
      <c r="E59" s="9"/>
      <c r="F59" s="10"/>
      <c r="G59" s="14" t="n">
        <f aca="false">IF(C59="",0,IF(E59&gt;=D59,MAX(0,IF(F59="",0,F59-C59)),MAX(0,Properties!$B$2-C59)))</f>
        <v>0</v>
      </c>
      <c r="H59" s="15" t="n">
        <f aca="false">IF(C59="",0,MAX(0,D59-E59))</f>
        <v>0</v>
      </c>
      <c r="I59" s="3" t="str">
        <f aca="false">IF(C59="","",IF(H59&lt;=0,"Paid",IF(G59&gt;0,"Overdue","Due")))</f>
        <v/>
      </c>
      <c r="J59" s="8"/>
    </row>
    <row r="60" customFormat="false" ht="15" hidden="false" customHeight="false" outlineLevel="0" collapsed="false">
      <c r="A60" s="8"/>
      <c r="B60" s="13"/>
      <c r="C60" s="10"/>
      <c r="D60" s="9"/>
      <c r="E60" s="9"/>
      <c r="F60" s="10"/>
      <c r="G60" s="14" t="n">
        <f aca="false">IF(C60="",0,IF(E60&gt;=D60,MAX(0,IF(F60="",0,F60-C60)),MAX(0,Properties!$B$2-C60)))</f>
        <v>0</v>
      </c>
      <c r="H60" s="15" t="n">
        <f aca="false">IF(C60="",0,MAX(0,D60-E60))</f>
        <v>0</v>
      </c>
      <c r="I60" s="3" t="str">
        <f aca="false">IF(C60="","",IF(H60&lt;=0,"Paid",IF(G60&gt;0,"Overdue","Due")))</f>
        <v/>
      </c>
      <c r="J60" s="8"/>
    </row>
    <row r="61" customFormat="false" ht="15" hidden="false" customHeight="false" outlineLevel="0" collapsed="false">
      <c r="A61" s="8"/>
      <c r="B61" s="13"/>
      <c r="C61" s="10"/>
      <c r="D61" s="9"/>
      <c r="E61" s="9"/>
      <c r="F61" s="10"/>
      <c r="G61" s="14" t="n">
        <f aca="false">IF(C61="",0,IF(E61&gt;=D61,MAX(0,IF(F61="",0,F61-C61)),MAX(0,Properties!$B$2-C61)))</f>
        <v>0</v>
      </c>
      <c r="H61" s="15" t="n">
        <f aca="false">IF(C61="",0,MAX(0,D61-E61))</f>
        <v>0</v>
      </c>
      <c r="I61" s="3" t="str">
        <f aca="false">IF(C61="","",IF(H61&lt;=0,"Paid",IF(G61&gt;0,"Overdue","Due")))</f>
        <v/>
      </c>
      <c r="J61" s="8"/>
    </row>
    <row r="62" customFormat="false" ht="15" hidden="false" customHeight="false" outlineLevel="0" collapsed="false">
      <c r="A62" s="8"/>
      <c r="B62" s="13"/>
      <c r="C62" s="10"/>
      <c r="D62" s="9"/>
      <c r="E62" s="9"/>
      <c r="F62" s="10"/>
      <c r="G62" s="14" t="n">
        <f aca="false">IF(C62="",0,IF(E62&gt;=D62,MAX(0,IF(F62="",0,F62-C62)),MAX(0,Properties!$B$2-C62)))</f>
        <v>0</v>
      </c>
      <c r="H62" s="15" t="n">
        <f aca="false">IF(C62="",0,MAX(0,D62-E62))</f>
        <v>0</v>
      </c>
      <c r="I62" s="3" t="str">
        <f aca="false">IF(C62="","",IF(H62&lt;=0,"Paid",IF(G62&gt;0,"Overdue","Due")))</f>
        <v/>
      </c>
      <c r="J62" s="8"/>
    </row>
    <row r="63" customFormat="false" ht="15" hidden="false" customHeight="false" outlineLevel="0" collapsed="false">
      <c r="A63" s="8"/>
      <c r="B63" s="13"/>
      <c r="C63" s="10"/>
      <c r="D63" s="9"/>
      <c r="E63" s="9"/>
      <c r="F63" s="10"/>
      <c r="G63" s="14" t="n">
        <f aca="false">IF(C63="",0,IF(E63&gt;=D63,MAX(0,IF(F63="",0,F63-C63)),MAX(0,Properties!$B$2-C63)))</f>
        <v>0</v>
      </c>
      <c r="H63" s="15" t="n">
        <f aca="false">IF(C63="",0,MAX(0,D63-E63))</f>
        <v>0</v>
      </c>
      <c r="I63" s="3" t="str">
        <f aca="false">IF(C63="","",IF(H63&lt;=0,"Paid",IF(G63&gt;0,"Overdue","Due")))</f>
        <v/>
      </c>
      <c r="J63" s="8"/>
    </row>
    <row r="64" customFormat="false" ht="15" hidden="false" customHeight="false" outlineLevel="0" collapsed="false">
      <c r="A64" s="8"/>
      <c r="B64" s="13"/>
      <c r="C64" s="10"/>
      <c r="D64" s="9"/>
      <c r="E64" s="9"/>
      <c r="F64" s="10"/>
      <c r="G64" s="14" t="n">
        <f aca="false">IF(C64="",0,IF(E64&gt;=D64,MAX(0,IF(F64="",0,F64-C64)),MAX(0,Properties!$B$2-C64)))</f>
        <v>0</v>
      </c>
      <c r="H64" s="15" t="n">
        <f aca="false">IF(C64="",0,MAX(0,D64-E64))</f>
        <v>0</v>
      </c>
      <c r="I64" s="3" t="str">
        <f aca="false">IF(C64="","",IF(H64&lt;=0,"Paid",IF(G64&gt;0,"Overdue","Due")))</f>
        <v/>
      </c>
      <c r="J64" s="8"/>
    </row>
    <row r="65" customFormat="false" ht="15" hidden="false" customHeight="false" outlineLevel="0" collapsed="false">
      <c r="A65" s="8"/>
      <c r="B65" s="13"/>
      <c r="C65" s="10"/>
      <c r="D65" s="9"/>
      <c r="E65" s="9"/>
      <c r="F65" s="10"/>
      <c r="G65" s="14" t="n">
        <f aca="false">IF(C65="",0,IF(E65&gt;=D65,MAX(0,IF(F65="",0,F65-C65)),MAX(0,Properties!$B$2-C65)))</f>
        <v>0</v>
      </c>
      <c r="H65" s="15" t="n">
        <f aca="false">IF(C65="",0,MAX(0,D65-E65))</f>
        <v>0</v>
      </c>
      <c r="I65" s="3" t="str">
        <f aca="false">IF(C65="","",IF(H65&lt;=0,"Paid",IF(G65&gt;0,"Overdue","Due")))</f>
        <v/>
      </c>
      <c r="J65" s="8"/>
    </row>
    <row r="66" customFormat="false" ht="15" hidden="false" customHeight="false" outlineLevel="0" collapsed="false">
      <c r="A66" s="8"/>
      <c r="B66" s="13"/>
      <c r="C66" s="10"/>
      <c r="D66" s="9"/>
      <c r="E66" s="9"/>
      <c r="F66" s="10"/>
      <c r="G66" s="14" t="n">
        <f aca="false">IF(C66="",0,IF(E66&gt;=D66,MAX(0,IF(F66="",0,F66-C66)),MAX(0,Properties!$B$2-C66)))</f>
        <v>0</v>
      </c>
      <c r="H66" s="15" t="n">
        <f aca="false">IF(C66="",0,MAX(0,D66-E66))</f>
        <v>0</v>
      </c>
      <c r="I66" s="3" t="str">
        <f aca="false">IF(C66="","",IF(H66&lt;=0,"Paid",IF(G66&gt;0,"Overdue","Due")))</f>
        <v/>
      </c>
      <c r="J66" s="8"/>
    </row>
    <row r="67" customFormat="false" ht="15" hidden="false" customHeight="false" outlineLevel="0" collapsed="false">
      <c r="A67" s="8"/>
      <c r="B67" s="13"/>
      <c r="C67" s="10"/>
      <c r="D67" s="9"/>
      <c r="E67" s="9"/>
      <c r="F67" s="10"/>
      <c r="G67" s="14" t="n">
        <f aca="false">IF(C67="",0,IF(E67&gt;=D67,MAX(0,IF(F67="",0,F67-C67)),MAX(0,Properties!$B$2-C67)))</f>
        <v>0</v>
      </c>
      <c r="H67" s="15" t="n">
        <f aca="false">IF(C67="",0,MAX(0,D67-E67))</f>
        <v>0</v>
      </c>
      <c r="I67" s="3" t="str">
        <f aca="false">IF(C67="","",IF(H67&lt;=0,"Paid",IF(G67&gt;0,"Overdue","Due")))</f>
        <v/>
      </c>
      <c r="J67" s="8"/>
    </row>
    <row r="68" customFormat="false" ht="15" hidden="false" customHeight="false" outlineLevel="0" collapsed="false">
      <c r="A68" s="8"/>
      <c r="B68" s="13"/>
      <c r="C68" s="10"/>
      <c r="D68" s="9"/>
      <c r="E68" s="9"/>
      <c r="F68" s="10"/>
      <c r="G68" s="14" t="n">
        <f aca="false">IF(C68="",0,IF(E68&gt;=D68,MAX(0,IF(F68="",0,F68-C68)),MAX(0,Properties!$B$2-C68)))</f>
        <v>0</v>
      </c>
      <c r="H68" s="15" t="n">
        <f aca="false">IF(C68="",0,MAX(0,D68-E68))</f>
        <v>0</v>
      </c>
      <c r="I68" s="3" t="str">
        <f aca="false">IF(C68="","",IF(H68&lt;=0,"Paid",IF(G68&gt;0,"Overdue","Due")))</f>
        <v/>
      </c>
      <c r="J68" s="8"/>
    </row>
    <row r="69" customFormat="false" ht="15" hidden="false" customHeight="false" outlineLevel="0" collapsed="false">
      <c r="A69" s="8"/>
      <c r="B69" s="13"/>
      <c r="C69" s="10"/>
      <c r="D69" s="9"/>
      <c r="E69" s="9"/>
      <c r="F69" s="10"/>
      <c r="G69" s="14" t="n">
        <f aca="false">IF(C69="",0,IF(E69&gt;=D69,MAX(0,IF(F69="",0,F69-C69)),MAX(0,Properties!$B$2-C69)))</f>
        <v>0</v>
      </c>
      <c r="H69" s="15" t="n">
        <f aca="false">IF(C69="",0,MAX(0,D69-E69))</f>
        <v>0</v>
      </c>
      <c r="I69" s="3" t="str">
        <f aca="false">IF(C69="","",IF(H69&lt;=0,"Paid",IF(G69&gt;0,"Overdue","Due")))</f>
        <v/>
      </c>
      <c r="J69" s="8"/>
    </row>
    <row r="70" customFormat="false" ht="15" hidden="false" customHeight="false" outlineLevel="0" collapsed="false">
      <c r="A70" s="8"/>
      <c r="B70" s="13"/>
      <c r="C70" s="10"/>
      <c r="D70" s="9"/>
      <c r="E70" s="9"/>
      <c r="F70" s="10"/>
      <c r="G70" s="14" t="n">
        <f aca="false">IF(C70="",0,IF(E70&gt;=D70,MAX(0,IF(F70="",0,F70-C70)),MAX(0,Properties!$B$2-C70)))</f>
        <v>0</v>
      </c>
      <c r="H70" s="15" t="n">
        <f aca="false">IF(C70="",0,MAX(0,D70-E70))</f>
        <v>0</v>
      </c>
      <c r="I70" s="3" t="str">
        <f aca="false">IF(C70="","",IF(H70&lt;=0,"Paid",IF(G70&gt;0,"Overdue","Due")))</f>
        <v/>
      </c>
      <c r="J70" s="8"/>
    </row>
    <row r="71" customFormat="false" ht="15" hidden="false" customHeight="false" outlineLevel="0" collapsed="false">
      <c r="A71" s="8"/>
      <c r="B71" s="13"/>
      <c r="C71" s="10"/>
      <c r="D71" s="9"/>
      <c r="E71" s="9"/>
      <c r="F71" s="10"/>
      <c r="G71" s="14" t="n">
        <f aca="false">IF(C71="",0,IF(E71&gt;=D71,MAX(0,IF(F71="",0,F71-C71)),MAX(0,Properties!$B$2-C71)))</f>
        <v>0</v>
      </c>
      <c r="H71" s="15" t="n">
        <f aca="false">IF(C71="",0,MAX(0,D71-E71))</f>
        <v>0</v>
      </c>
      <c r="I71" s="3" t="str">
        <f aca="false">IF(C71="","",IF(H71&lt;=0,"Paid",IF(G71&gt;0,"Overdue","Due")))</f>
        <v/>
      </c>
      <c r="J71" s="8"/>
    </row>
    <row r="72" customFormat="false" ht="15" hidden="false" customHeight="false" outlineLevel="0" collapsed="false">
      <c r="A72" s="8"/>
      <c r="B72" s="13"/>
      <c r="C72" s="10"/>
      <c r="D72" s="9"/>
      <c r="E72" s="9"/>
      <c r="F72" s="10"/>
      <c r="G72" s="14" t="n">
        <f aca="false">IF(C72="",0,IF(E72&gt;=D72,MAX(0,IF(F72="",0,F72-C72)),MAX(0,Properties!$B$2-C72)))</f>
        <v>0</v>
      </c>
      <c r="H72" s="15" t="n">
        <f aca="false">IF(C72="",0,MAX(0,D72-E72))</f>
        <v>0</v>
      </c>
      <c r="I72" s="3" t="str">
        <f aca="false">IF(C72="","",IF(H72&lt;=0,"Paid",IF(G72&gt;0,"Overdue","Due")))</f>
        <v/>
      </c>
      <c r="J72" s="8"/>
    </row>
    <row r="73" customFormat="false" ht="15" hidden="false" customHeight="false" outlineLevel="0" collapsed="false">
      <c r="A73" s="8"/>
      <c r="B73" s="13"/>
      <c r="C73" s="10"/>
      <c r="D73" s="9"/>
      <c r="E73" s="9"/>
      <c r="F73" s="10"/>
      <c r="G73" s="14" t="n">
        <f aca="false">IF(C73="",0,IF(E73&gt;=D73,MAX(0,IF(F73="",0,F73-C73)),MAX(0,Properties!$B$2-C73)))</f>
        <v>0</v>
      </c>
      <c r="H73" s="15" t="n">
        <f aca="false">IF(C73="",0,MAX(0,D73-E73))</f>
        <v>0</v>
      </c>
      <c r="I73" s="3" t="str">
        <f aca="false">IF(C73="","",IF(H73&lt;=0,"Paid",IF(G73&gt;0,"Overdue","Due")))</f>
        <v/>
      </c>
      <c r="J73" s="8"/>
    </row>
    <row r="74" customFormat="false" ht="15" hidden="false" customHeight="false" outlineLevel="0" collapsed="false">
      <c r="A74" s="8"/>
      <c r="B74" s="13"/>
      <c r="C74" s="10"/>
      <c r="D74" s="9"/>
      <c r="E74" s="9"/>
      <c r="F74" s="10"/>
      <c r="G74" s="14" t="n">
        <f aca="false">IF(C74="",0,IF(E74&gt;=D74,MAX(0,IF(F74="",0,F74-C74)),MAX(0,Properties!$B$2-C74)))</f>
        <v>0</v>
      </c>
      <c r="H74" s="15" t="n">
        <f aca="false">IF(C74="",0,MAX(0,D74-E74))</f>
        <v>0</v>
      </c>
      <c r="I74" s="3" t="str">
        <f aca="false">IF(C74="","",IF(H74&lt;=0,"Paid",IF(G74&gt;0,"Overdue","Due")))</f>
        <v/>
      </c>
      <c r="J74" s="8"/>
    </row>
    <row r="75" customFormat="false" ht="15" hidden="false" customHeight="false" outlineLevel="0" collapsed="false">
      <c r="A75" s="8"/>
      <c r="B75" s="13"/>
      <c r="C75" s="10"/>
      <c r="D75" s="9"/>
      <c r="E75" s="9"/>
      <c r="F75" s="10"/>
      <c r="G75" s="14" t="n">
        <f aca="false">IF(C75="",0,IF(E75&gt;=D75,MAX(0,IF(F75="",0,F75-C75)),MAX(0,Properties!$B$2-C75)))</f>
        <v>0</v>
      </c>
      <c r="H75" s="15" t="n">
        <f aca="false">IF(C75="",0,MAX(0,D75-E75))</f>
        <v>0</v>
      </c>
      <c r="I75" s="3" t="str">
        <f aca="false">IF(C75="","",IF(H75&lt;=0,"Paid",IF(G75&gt;0,"Overdue","Due")))</f>
        <v/>
      </c>
      <c r="J75" s="8"/>
    </row>
    <row r="76" customFormat="false" ht="15" hidden="false" customHeight="false" outlineLevel="0" collapsed="false">
      <c r="A76" s="8"/>
      <c r="B76" s="13"/>
      <c r="C76" s="10"/>
      <c r="D76" s="9"/>
      <c r="E76" s="9"/>
      <c r="F76" s="10"/>
      <c r="G76" s="14" t="n">
        <f aca="false">IF(C76="",0,IF(E76&gt;=D76,MAX(0,IF(F76="",0,F76-C76)),MAX(0,Properties!$B$2-C76)))</f>
        <v>0</v>
      </c>
      <c r="H76" s="15" t="n">
        <f aca="false">IF(C76="",0,MAX(0,D76-E76))</f>
        <v>0</v>
      </c>
      <c r="I76" s="3" t="str">
        <f aca="false">IF(C76="","",IF(H76&lt;=0,"Paid",IF(G76&gt;0,"Overdue","Due")))</f>
        <v/>
      </c>
      <c r="J76" s="8"/>
    </row>
    <row r="77" customFormat="false" ht="15" hidden="false" customHeight="false" outlineLevel="0" collapsed="false">
      <c r="A77" s="8"/>
      <c r="B77" s="13"/>
      <c r="C77" s="10"/>
      <c r="D77" s="9"/>
      <c r="E77" s="9"/>
      <c r="F77" s="10"/>
      <c r="G77" s="14" t="n">
        <f aca="false">IF(C77="",0,IF(E77&gt;=D77,MAX(0,IF(F77="",0,F77-C77)),MAX(0,Properties!$B$2-C77)))</f>
        <v>0</v>
      </c>
      <c r="H77" s="15" t="n">
        <f aca="false">IF(C77="",0,MAX(0,D77-E77))</f>
        <v>0</v>
      </c>
      <c r="I77" s="3" t="str">
        <f aca="false">IF(C77="","",IF(H77&lt;=0,"Paid",IF(G77&gt;0,"Overdue","Due")))</f>
        <v/>
      </c>
      <c r="J77" s="8"/>
    </row>
    <row r="78" customFormat="false" ht="15" hidden="false" customHeight="false" outlineLevel="0" collapsed="false">
      <c r="A78" s="8"/>
      <c r="B78" s="13"/>
      <c r="C78" s="10"/>
      <c r="D78" s="9"/>
      <c r="E78" s="9"/>
      <c r="F78" s="10"/>
      <c r="G78" s="14" t="n">
        <f aca="false">IF(C78="",0,IF(E78&gt;=D78,MAX(0,IF(F78="",0,F78-C78)),MAX(0,Properties!$B$2-C78)))</f>
        <v>0</v>
      </c>
      <c r="H78" s="15" t="n">
        <f aca="false">IF(C78="",0,MAX(0,D78-E78))</f>
        <v>0</v>
      </c>
      <c r="I78" s="3" t="str">
        <f aca="false">IF(C78="","",IF(H78&lt;=0,"Paid",IF(G78&gt;0,"Overdue","Due")))</f>
        <v/>
      </c>
      <c r="J78" s="8"/>
    </row>
    <row r="79" customFormat="false" ht="15" hidden="false" customHeight="false" outlineLevel="0" collapsed="false">
      <c r="A79" s="8"/>
      <c r="B79" s="13"/>
      <c r="C79" s="10"/>
      <c r="D79" s="9"/>
      <c r="E79" s="9"/>
      <c r="F79" s="10"/>
      <c r="G79" s="14" t="n">
        <f aca="false">IF(C79="",0,IF(E79&gt;=D79,MAX(0,IF(F79="",0,F79-C79)),MAX(0,Properties!$B$2-C79)))</f>
        <v>0</v>
      </c>
      <c r="H79" s="15" t="n">
        <f aca="false">IF(C79="",0,MAX(0,D79-E79))</f>
        <v>0</v>
      </c>
      <c r="I79" s="3" t="str">
        <f aca="false">IF(C79="","",IF(H79&lt;=0,"Paid",IF(G79&gt;0,"Overdue","Due")))</f>
        <v/>
      </c>
      <c r="J79" s="8"/>
    </row>
    <row r="80" customFormat="false" ht="15" hidden="false" customHeight="false" outlineLevel="0" collapsed="false">
      <c r="A80" s="8"/>
      <c r="B80" s="13"/>
      <c r="C80" s="10"/>
      <c r="D80" s="9"/>
      <c r="E80" s="9"/>
      <c r="F80" s="10"/>
      <c r="G80" s="14" t="n">
        <f aca="false">IF(C80="",0,IF(E80&gt;=D80,MAX(0,IF(F80="",0,F80-C80)),MAX(0,Properties!$B$2-C80)))</f>
        <v>0</v>
      </c>
      <c r="H80" s="15" t="n">
        <f aca="false">IF(C80="",0,MAX(0,D80-E80))</f>
        <v>0</v>
      </c>
      <c r="I80" s="3" t="str">
        <f aca="false">IF(C80="","",IF(H80&lt;=0,"Paid",IF(G80&gt;0,"Overdue","Due")))</f>
        <v/>
      </c>
      <c r="J80" s="8"/>
    </row>
    <row r="81" customFormat="false" ht="15" hidden="false" customHeight="false" outlineLevel="0" collapsed="false">
      <c r="A81" s="8"/>
      <c r="B81" s="13"/>
      <c r="C81" s="10"/>
      <c r="D81" s="9"/>
      <c r="E81" s="9"/>
      <c r="F81" s="10"/>
      <c r="G81" s="14" t="n">
        <f aca="false">IF(C81="",0,IF(E81&gt;=D81,MAX(0,IF(F81="",0,F81-C81)),MAX(0,Properties!$B$2-C81)))</f>
        <v>0</v>
      </c>
      <c r="H81" s="15" t="n">
        <f aca="false">IF(C81="",0,MAX(0,D81-E81))</f>
        <v>0</v>
      </c>
      <c r="I81" s="3" t="str">
        <f aca="false">IF(C81="","",IF(H81&lt;=0,"Paid",IF(G81&gt;0,"Overdue","Due")))</f>
        <v/>
      </c>
      <c r="J81" s="8"/>
    </row>
    <row r="82" customFormat="false" ht="15" hidden="false" customHeight="false" outlineLevel="0" collapsed="false">
      <c r="A82" s="8"/>
      <c r="B82" s="13"/>
      <c r="C82" s="10"/>
      <c r="D82" s="9"/>
      <c r="E82" s="9"/>
      <c r="F82" s="10"/>
      <c r="G82" s="14" t="n">
        <f aca="false">IF(C82="",0,IF(E82&gt;=D82,MAX(0,IF(F82="",0,F82-C82)),MAX(0,Properties!$B$2-C82)))</f>
        <v>0</v>
      </c>
      <c r="H82" s="15" t="n">
        <f aca="false">IF(C82="",0,MAX(0,D82-E82))</f>
        <v>0</v>
      </c>
      <c r="I82" s="3" t="str">
        <f aca="false">IF(C82="","",IF(H82&lt;=0,"Paid",IF(G82&gt;0,"Overdue","Due")))</f>
        <v/>
      </c>
      <c r="J82" s="8"/>
    </row>
    <row r="83" customFormat="false" ht="15" hidden="false" customHeight="false" outlineLevel="0" collapsed="false">
      <c r="A83" s="8"/>
      <c r="B83" s="13"/>
      <c r="C83" s="10"/>
      <c r="D83" s="9"/>
      <c r="E83" s="9"/>
      <c r="F83" s="10"/>
      <c r="G83" s="14" t="n">
        <f aca="false">IF(C83="",0,IF(E83&gt;=D83,MAX(0,IF(F83="",0,F83-C83)),MAX(0,Properties!$B$2-C83)))</f>
        <v>0</v>
      </c>
      <c r="H83" s="15" t="n">
        <f aca="false">IF(C83="",0,MAX(0,D83-E83))</f>
        <v>0</v>
      </c>
      <c r="I83" s="3" t="str">
        <f aca="false">IF(C83="","",IF(H83&lt;=0,"Paid",IF(G83&gt;0,"Overdue","Due")))</f>
        <v/>
      </c>
      <c r="J83" s="8"/>
    </row>
    <row r="84" customFormat="false" ht="15" hidden="false" customHeight="false" outlineLevel="0" collapsed="false">
      <c r="A84" s="8"/>
      <c r="B84" s="13"/>
      <c r="C84" s="10"/>
      <c r="D84" s="9"/>
      <c r="E84" s="9"/>
      <c r="F84" s="10"/>
      <c r="G84" s="14" t="n">
        <f aca="false">IF(C84="",0,IF(E84&gt;=D84,MAX(0,IF(F84="",0,F84-C84)),MAX(0,Properties!$B$2-C84)))</f>
        <v>0</v>
      </c>
      <c r="H84" s="15" t="n">
        <f aca="false">IF(C84="",0,MAX(0,D84-E84))</f>
        <v>0</v>
      </c>
      <c r="I84" s="3" t="str">
        <f aca="false">IF(C84="","",IF(H84&lt;=0,"Paid",IF(G84&gt;0,"Overdue","Due")))</f>
        <v/>
      </c>
      <c r="J84" s="8"/>
    </row>
    <row r="85" customFormat="false" ht="15" hidden="false" customHeight="false" outlineLevel="0" collapsed="false">
      <c r="A85" s="8"/>
      <c r="B85" s="13"/>
      <c r="C85" s="10"/>
      <c r="D85" s="9"/>
      <c r="E85" s="9"/>
      <c r="F85" s="10"/>
      <c r="G85" s="14" t="n">
        <f aca="false">IF(C85="",0,IF(E85&gt;=D85,MAX(0,IF(F85="",0,F85-C85)),MAX(0,Properties!$B$2-C85)))</f>
        <v>0</v>
      </c>
      <c r="H85" s="15" t="n">
        <f aca="false">IF(C85="",0,MAX(0,D85-E85))</f>
        <v>0</v>
      </c>
      <c r="I85" s="3" t="str">
        <f aca="false">IF(C85="","",IF(H85&lt;=0,"Paid",IF(G85&gt;0,"Overdue","Due")))</f>
        <v/>
      </c>
      <c r="J85" s="8"/>
    </row>
    <row r="86" customFormat="false" ht="15" hidden="false" customHeight="false" outlineLevel="0" collapsed="false">
      <c r="A86" s="8"/>
      <c r="B86" s="13"/>
      <c r="C86" s="10"/>
      <c r="D86" s="9"/>
      <c r="E86" s="9"/>
      <c r="F86" s="10"/>
      <c r="G86" s="14" t="n">
        <f aca="false">IF(C86="",0,IF(E86&gt;=D86,MAX(0,IF(F86="",0,F86-C86)),MAX(0,Properties!$B$2-C86)))</f>
        <v>0</v>
      </c>
      <c r="H86" s="15" t="n">
        <f aca="false">IF(C86="",0,MAX(0,D86-E86))</f>
        <v>0</v>
      </c>
      <c r="I86" s="3" t="str">
        <f aca="false">IF(C86="","",IF(H86&lt;=0,"Paid",IF(G86&gt;0,"Overdue","Due")))</f>
        <v/>
      </c>
      <c r="J86" s="8"/>
    </row>
    <row r="87" customFormat="false" ht="15" hidden="false" customHeight="false" outlineLevel="0" collapsed="false">
      <c r="A87" s="8"/>
      <c r="B87" s="13"/>
      <c r="C87" s="10"/>
      <c r="D87" s="9"/>
      <c r="E87" s="9"/>
      <c r="F87" s="10"/>
      <c r="G87" s="14" t="n">
        <f aca="false">IF(C87="",0,IF(E87&gt;=D87,MAX(0,IF(F87="",0,F87-C87)),MAX(0,Properties!$B$2-C87)))</f>
        <v>0</v>
      </c>
      <c r="H87" s="15" t="n">
        <f aca="false">IF(C87="",0,MAX(0,D87-E87))</f>
        <v>0</v>
      </c>
      <c r="I87" s="3" t="str">
        <f aca="false">IF(C87="","",IF(H87&lt;=0,"Paid",IF(G87&gt;0,"Overdue","Due")))</f>
        <v/>
      </c>
      <c r="J87" s="8"/>
    </row>
    <row r="88" customFormat="false" ht="15" hidden="false" customHeight="false" outlineLevel="0" collapsed="false">
      <c r="A88" s="8"/>
      <c r="B88" s="13"/>
      <c r="C88" s="10"/>
      <c r="D88" s="9"/>
      <c r="E88" s="9"/>
      <c r="F88" s="10"/>
      <c r="G88" s="14" t="n">
        <f aca="false">IF(C88="",0,IF(E88&gt;=D88,MAX(0,IF(F88="",0,F88-C88)),MAX(0,Properties!$B$2-C88)))</f>
        <v>0</v>
      </c>
      <c r="H88" s="15" t="n">
        <f aca="false">IF(C88="",0,MAX(0,D88-E88))</f>
        <v>0</v>
      </c>
      <c r="I88" s="3" t="str">
        <f aca="false">IF(C88="","",IF(H88&lt;=0,"Paid",IF(G88&gt;0,"Overdue","Due")))</f>
        <v/>
      </c>
      <c r="J88" s="8"/>
    </row>
    <row r="89" customFormat="false" ht="15" hidden="false" customHeight="false" outlineLevel="0" collapsed="false">
      <c r="A89" s="8"/>
      <c r="B89" s="13"/>
      <c r="C89" s="10"/>
      <c r="D89" s="9"/>
      <c r="E89" s="9"/>
      <c r="F89" s="10"/>
      <c r="G89" s="14" t="n">
        <f aca="false">IF(C89="",0,IF(E89&gt;=D89,MAX(0,IF(F89="",0,F89-C89)),MAX(0,Properties!$B$2-C89)))</f>
        <v>0</v>
      </c>
      <c r="H89" s="15" t="n">
        <f aca="false">IF(C89="",0,MAX(0,D89-E89))</f>
        <v>0</v>
      </c>
      <c r="I89" s="3" t="str">
        <f aca="false">IF(C89="","",IF(H89&lt;=0,"Paid",IF(G89&gt;0,"Overdue","Due")))</f>
        <v/>
      </c>
      <c r="J89" s="8"/>
    </row>
    <row r="90" customFormat="false" ht="15" hidden="false" customHeight="false" outlineLevel="0" collapsed="false">
      <c r="A90" s="8"/>
      <c r="B90" s="13"/>
      <c r="C90" s="10"/>
      <c r="D90" s="9"/>
      <c r="E90" s="9"/>
      <c r="F90" s="10"/>
      <c r="G90" s="14" t="n">
        <f aca="false">IF(C90="",0,IF(E90&gt;=D90,MAX(0,IF(F90="",0,F90-C90)),MAX(0,Properties!$B$2-C90)))</f>
        <v>0</v>
      </c>
      <c r="H90" s="15" t="n">
        <f aca="false">IF(C90="",0,MAX(0,D90-E90))</f>
        <v>0</v>
      </c>
      <c r="I90" s="3" t="str">
        <f aca="false">IF(C90="","",IF(H90&lt;=0,"Paid",IF(G90&gt;0,"Overdue","Due")))</f>
        <v/>
      </c>
      <c r="J90" s="8"/>
    </row>
    <row r="91" customFormat="false" ht="15" hidden="false" customHeight="false" outlineLevel="0" collapsed="false">
      <c r="A91" s="8"/>
      <c r="B91" s="13"/>
      <c r="C91" s="10"/>
      <c r="D91" s="9"/>
      <c r="E91" s="9"/>
      <c r="F91" s="10"/>
      <c r="G91" s="14" t="n">
        <f aca="false">IF(C91="",0,IF(E91&gt;=D91,MAX(0,IF(F91="",0,F91-C91)),MAX(0,Properties!$B$2-C91)))</f>
        <v>0</v>
      </c>
      <c r="H91" s="15" t="n">
        <f aca="false">IF(C91="",0,MAX(0,D91-E91))</f>
        <v>0</v>
      </c>
      <c r="I91" s="3" t="str">
        <f aca="false">IF(C91="","",IF(H91&lt;=0,"Paid",IF(G91&gt;0,"Overdue","Due")))</f>
        <v/>
      </c>
      <c r="J91" s="8"/>
    </row>
    <row r="92" customFormat="false" ht="15" hidden="false" customHeight="false" outlineLevel="0" collapsed="false">
      <c r="A92" s="8"/>
      <c r="B92" s="13"/>
      <c r="C92" s="10"/>
      <c r="D92" s="9"/>
      <c r="E92" s="9"/>
      <c r="F92" s="10"/>
      <c r="G92" s="14" t="n">
        <f aca="false">IF(C92="",0,IF(E92&gt;=D92,MAX(0,IF(F92="",0,F92-C92)),MAX(0,Properties!$B$2-C92)))</f>
        <v>0</v>
      </c>
      <c r="H92" s="15" t="n">
        <f aca="false">IF(C92="",0,MAX(0,D92-E92))</f>
        <v>0</v>
      </c>
      <c r="I92" s="3" t="str">
        <f aca="false">IF(C92="","",IF(H92&lt;=0,"Paid",IF(G92&gt;0,"Overdue","Due")))</f>
        <v/>
      </c>
      <c r="J92" s="8"/>
    </row>
    <row r="93" customFormat="false" ht="15" hidden="false" customHeight="false" outlineLevel="0" collapsed="false">
      <c r="A93" s="8"/>
      <c r="B93" s="13"/>
      <c r="C93" s="10"/>
      <c r="D93" s="9"/>
      <c r="E93" s="9"/>
      <c r="F93" s="10"/>
      <c r="G93" s="14" t="n">
        <f aca="false">IF(C93="",0,IF(E93&gt;=D93,MAX(0,IF(F93="",0,F93-C93)),MAX(0,Properties!$B$2-C93)))</f>
        <v>0</v>
      </c>
      <c r="H93" s="15" t="n">
        <f aca="false">IF(C93="",0,MAX(0,D93-E93))</f>
        <v>0</v>
      </c>
      <c r="I93" s="3" t="str">
        <f aca="false">IF(C93="","",IF(H93&lt;=0,"Paid",IF(G93&gt;0,"Overdue","Due")))</f>
        <v/>
      </c>
      <c r="J93" s="8"/>
    </row>
    <row r="94" customFormat="false" ht="15" hidden="false" customHeight="false" outlineLevel="0" collapsed="false">
      <c r="A94" s="8"/>
      <c r="B94" s="13"/>
      <c r="C94" s="10"/>
      <c r="D94" s="9"/>
      <c r="E94" s="9"/>
      <c r="F94" s="10"/>
      <c r="G94" s="14" t="n">
        <f aca="false">IF(C94="",0,IF(E94&gt;=D94,MAX(0,IF(F94="",0,F94-C94)),MAX(0,Properties!$B$2-C94)))</f>
        <v>0</v>
      </c>
      <c r="H94" s="15" t="n">
        <f aca="false">IF(C94="",0,MAX(0,D94-E94))</f>
        <v>0</v>
      </c>
      <c r="I94" s="3" t="str">
        <f aca="false">IF(C94="","",IF(H94&lt;=0,"Paid",IF(G94&gt;0,"Overdue","Due")))</f>
        <v/>
      </c>
      <c r="J94" s="8"/>
    </row>
    <row r="95" customFormat="false" ht="15" hidden="false" customHeight="false" outlineLevel="0" collapsed="false">
      <c r="A95" s="8"/>
      <c r="B95" s="13"/>
      <c r="C95" s="10"/>
      <c r="D95" s="9"/>
      <c r="E95" s="9"/>
      <c r="F95" s="10"/>
      <c r="G95" s="14" t="n">
        <f aca="false">IF(C95="",0,IF(E95&gt;=D95,MAX(0,IF(F95="",0,F95-C95)),MAX(0,Properties!$B$2-C95)))</f>
        <v>0</v>
      </c>
      <c r="H95" s="15" t="n">
        <f aca="false">IF(C95="",0,MAX(0,D95-E95))</f>
        <v>0</v>
      </c>
      <c r="I95" s="3" t="str">
        <f aca="false">IF(C95="","",IF(H95&lt;=0,"Paid",IF(G95&gt;0,"Overdue","Due")))</f>
        <v/>
      </c>
      <c r="J95" s="8"/>
    </row>
    <row r="96" customFormat="false" ht="15" hidden="false" customHeight="false" outlineLevel="0" collapsed="false">
      <c r="A96" s="8"/>
      <c r="B96" s="13"/>
      <c r="C96" s="10"/>
      <c r="D96" s="9"/>
      <c r="E96" s="9"/>
      <c r="F96" s="10"/>
      <c r="G96" s="14" t="n">
        <f aca="false">IF(C96="",0,IF(E96&gt;=D96,MAX(0,IF(F96="",0,F96-C96)),MAX(0,Properties!$B$2-C96)))</f>
        <v>0</v>
      </c>
      <c r="H96" s="15" t="n">
        <f aca="false">IF(C96="",0,MAX(0,D96-E96))</f>
        <v>0</v>
      </c>
      <c r="I96" s="3" t="str">
        <f aca="false">IF(C96="","",IF(H96&lt;=0,"Paid",IF(G96&gt;0,"Overdue","Due")))</f>
        <v/>
      </c>
      <c r="J96" s="8"/>
    </row>
    <row r="97" customFormat="false" ht="15" hidden="false" customHeight="false" outlineLevel="0" collapsed="false">
      <c r="A97" s="8"/>
      <c r="B97" s="13"/>
      <c r="C97" s="10"/>
      <c r="D97" s="9"/>
      <c r="E97" s="9"/>
      <c r="F97" s="10"/>
      <c r="G97" s="14" t="n">
        <f aca="false">IF(C97="",0,IF(E97&gt;=D97,MAX(0,IF(F97="",0,F97-C97)),MAX(0,Properties!$B$2-C97)))</f>
        <v>0</v>
      </c>
      <c r="H97" s="15" t="n">
        <f aca="false">IF(C97="",0,MAX(0,D97-E97))</f>
        <v>0</v>
      </c>
      <c r="I97" s="3" t="str">
        <f aca="false">IF(C97="","",IF(H97&lt;=0,"Paid",IF(G97&gt;0,"Overdue","Due")))</f>
        <v/>
      </c>
      <c r="J97" s="8"/>
    </row>
    <row r="98" customFormat="false" ht="15" hidden="false" customHeight="false" outlineLevel="0" collapsed="false">
      <c r="A98" s="8"/>
      <c r="B98" s="13"/>
      <c r="C98" s="10"/>
      <c r="D98" s="9"/>
      <c r="E98" s="9"/>
      <c r="F98" s="10"/>
      <c r="G98" s="14" t="n">
        <f aca="false">IF(C98="",0,IF(E98&gt;=D98,MAX(0,IF(F98="",0,F98-C98)),MAX(0,Properties!$B$2-C98)))</f>
        <v>0</v>
      </c>
      <c r="H98" s="15" t="n">
        <f aca="false">IF(C98="",0,MAX(0,D98-E98))</f>
        <v>0</v>
      </c>
      <c r="I98" s="3" t="str">
        <f aca="false">IF(C98="","",IF(H98&lt;=0,"Paid",IF(G98&gt;0,"Overdue","Due")))</f>
        <v/>
      </c>
      <c r="J98" s="8"/>
    </row>
    <row r="99" customFormat="false" ht="15" hidden="false" customHeight="false" outlineLevel="0" collapsed="false">
      <c r="A99" s="8"/>
      <c r="B99" s="13"/>
      <c r="C99" s="10"/>
      <c r="D99" s="9"/>
      <c r="E99" s="9"/>
      <c r="F99" s="10"/>
      <c r="G99" s="14" t="n">
        <f aca="false">IF(C99="",0,IF(E99&gt;=D99,MAX(0,IF(F99="",0,F99-C99)),MAX(0,Properties!$B$2-C99)))</f>
        <v>0</v>
      </c>
      <c r="H99" s="15" t="n">
        <f aca="false">IF(C99="",0,MAX(0,D99-E99))</f>
        <v>0</v>
      </c>
      <c r="I99" s="3" t="str">
        <f aca="false">IF(C99="","",IF(H99&lt;=0,"Paid",IF(G99&gt;0,"Overdue","Due")))</f>
        <v/>
      </c>
      <c r="J99" s="8"/>
    </row>
    <row r="100" customFormat="false" ht="15" hidden="false" customHeight="false" outlineLevel="0" collapsed="false">
      <c r="A100" s="8"/>
      <c r="B100" s="13"/>
      <c r="C100" s="10"/>
      <c r="D100" s="9"/>
      <c r="E100" s="9"/>
      <c r="F100" s="10"/>
      <c r="G100" s="14" t="n">
        <f aca="false">IF(C100="",0,IF(E100&gt;=D100,MAX(0,IF(F100="",0,F100-C100)),MAX(0,Properties!$B$2-C100)))</f>
        <v>0</v>
      </c>
      <c r="H100" s="15" t="n">
        <f aca="false">IF(C100="",0,MAX(0,D100-E100))</f>
        <v>0</v>
      </c>
      <c r="I100" s="3" t="str">
        <f aca="false">IF(C100="","",IF(H100&lt;=0,"Paid",IF(G100&gt;0,"Overdue","Due")))</f>
        <v/>
      </c>
      <c r="J100" s="8"/>
    </row>
    <row r="101" customFormat="false" ht="15" hidden="false" customHeight="false" outlineLevel="0" collapsed="false">
      <c r="A101" s="8"/>
      <c r="B101" s="13"/>
      <c r="C101" s="10"/>
      <c r="D101" s="9"/>
      <c r="E101" s="9"/>
      <c r="F101" s="10"/>
      <c r="G101" s="14" t="n">
        <f aca="false">IF(C101="",0,IF(E101&gt;=D101,MAX(0,IF(F101="",0,F101-C101)),MAX(0,Properties!$B$2-C101)))</f>
        <v>0</v>
      </c>
      <c r="H101" s="15" t="n">
        <f aca="false">IF(C101="",0,MAX(0,D101-E101))</f>
        <v>0</v>
      </c>
      <c r="I101" s="3" t="str">
        <f aca="false">IF(C101="","",IF(H101&lt;=0,"Paid",IF(G101&gt;0,"Overdue","Due")))</f>
        <v/>
      </c>
      <c r="J101" s="8"/>
    </row>
    <row r="102" customFormat="false" ht="15" hidden="false" customHeight="false" outlineLevel="0" collapsed="false">
      <c r="A102" s="8"/>
      <c r="B102" s="13"/>
      <c r="C102" s="10"/>
      <c r="D102" s="9"/>
      <c r="E102" s="9"/>
      <c r="F102" s="10"/>
      <c r="G102" s="14" t="n">
        <f aca="false">IF(C102="",0,IF(E102&gt;=D102,MAX(0,IF(F102="",0,F102-C102)),MAX(0,Properties!$B$2-C102)))</f>
        <v>0</v>
      </c>
      <c r="H102" s="15" t="n">
        <f aca="false">IF(C102="",0,MAX(0,D102-E102))</f>
        <v>0</v>
      </c>
      <c r="I102" s="3" t="str">
        <f aca="false">IF(C102="","",IF(H102&lt;=0,"Paid",IF(G102&gt;0,"Overdue","Due")))</f>
        <v/>
      </c>
      <c r="J102" s="8"/>
    </row>
    <row r="103" customFormat="false" ht="15" hidden="false" customHeight="false" outlineLevel="0" collapsed="false">
      <c r="A103" s="8"/>
      <c r="B103" s="13"/>
      <c r="C103" s="10"/>
      <c r="D103" s="9"/>
      <c r="E103" s="9"/>
      <c r="F103" s="10"/>
      <c r="G103" s="14" t="n">
        <f aca="false">IF(C103="",0,IF(E103&gt;=D103,MAX(0,IF(F103="",0,F103-C103)),MAX(0,Properties!$B$2-C103)))</f>
        <v>0</v>
      </c>
      <c r="H103" s="15" t="n">
        <f aca="false">IF(C103="",0,MAX(0,D103-E103))</f>
        <v>0</v>
      </c>
      <c r="I103" s="3" t="str">
        <f aca="false">IF(C103="","",IF(H103&lt;=0,"Paid",IF(G103&gt;0,"Overdue","Due")))</f>
        <v/>
      </c>
      <c r="J103" s="8"/>
    </row>
    <row r="104" customFormat="false" ht="15" hidden="false" customHeight="false" outlineLevel="0" collapsed="false">
      <c r="A104" s="8"/>
      <c r="B104" s="13"/>
      <c r="C104" s="10"/>
      <c r="D104" s="9"/>
      <c r="E104" s="9"/>
      <c r="F104" s="10"/>
      <c r="G104" s="14" t="n">
        <f aca="false">IF(C104="",0,IF(E104&gt;=D104,MAX(0,IF(F104="",0,F104-C104)),MAX(0,Properties!$B$2-C104)))</f>
        <v>0</v>
      </c>
      <c r="H104" s="15" t="n">
        <f aca="false">IF(C104="",0,MAX(0,D104-E104))</f>
        <v>0</v>
      </c>
      <c r="I104" s="3" t="str">
        <f aca="false">IF(C104="","",IF(H104&lt;=0,"Paid",IF(G104&gt;0,"Overdue","Due")))</f>
        <v/>
      </c>
      <c r="J104" s="8"/>
    </row>
    <row r="105" customFormat="false" ht="15" hidden="false" customHeight="false" outlineLevel="0" collapsed="false">
      <c r="A105" s="8"/>
      <c r="B105" s="13"/>
      <c r="C105" s="10"/>
      <c r="D105" s="9"/>
      <c r="E105" s="9"/>
      <c r="F105" s="10"/>
      <c r="G105" s="14" t="n">
        <f aca="false">IF(C105="",0,IF(E105&gt;=D105,MAX(0,IF(F105="",0,F105-C105)),MAX(0,Properties!$B$2-C105)))</f>
        <v>0</v>
      </c>
      <c r="H105" s="15" t="n">
        <f aca="false">IF(C105="",0,MAX(0,D105-E105))</f>
        <v>0</v>
      </c>
      <c r="I105" s="3" t="str">
        <f aca="false">IF(C105="","",IF(H105&lt;=0,"Paid",IF(G105&gt;0,"Overdue","Due")))</f>
        <v/>
      </c>
      <c r="J105" s="8"/>
    </row>
    <row r="106" customFormat="false" ht="15" hidden="false" customHeight="false" outlineLevel="0" collapsed="false">
      <c r="A106" s="8"/>
      <c r="B106" s="13"/>
      <c r="C106" s="10"/>
      <c r="D106" s="9"/>
      <c r="E106" s="9"/>
      <c r="F106" s="10"/>
      <c r="G106" s="14" t="n">
        <f aca="false">IF(C106="",0,IF(E106&gt;=D106,MAX(0,IF(F106="",0,F106-C106)),MAX(0,Properties!$B$2-C106)))</f>
        <v>0</v>
      </c>
      <c r="H106" s="15" t="n">
        <f aca="false">IF(C106="",0,MAX(0,D106-E106))</f>
        <v>0</v>
      </c>
      <c r="I106" s="3" t="str">
        <f aca="false">IF(C106="","",IF(H106&lt;=0,"Paid",IF(G106&gt;0,"Overdue","Due")))</f>
        <v/>
      </c>
      <c r="J106" s="8"/>
    </row>
    <row r="107" customFormat="false" ht="15" hidden="false" customHeight="false" outlineLevel="0" collapsed="false">
      <c r="A107" s="8"/>
      <c r="B107" s="13"/>
      <c r="C107" s="10"/>
      <c r="D107" s="9"/>
      <c r="E107" s="9"/>
      <c r="F107" s="10"/>
      <c r="G107" s="14" t="n">
        <f aca="false">IF(C107="",0,IF(E107&gt;=D107,MAX(0,IF(F107="",0,F107-C107)),MAX(0,Properties!$B$2-C107)))</f>
        <v>0</v>
      </c>
      <c r="H107" s="15" t="n">
        <f aca="false">IF(C107="",0,MAX(0,D107-E107))</f>
        <v>0</v>
      </c>
      <c r="I107" s="3" t="str">
        <f aca="false">IF(C107="","",IF(H107&lt;=0,"Paid",IF(G107&gt;0,"Overdue","Due")))</f>
        <v/>
      </c>
      <c r="J107" s="8"/>
    </row>
    <row r="108" customFormat="false" ht="15" hidden="false" customHeight="false" outlineLevel="0" collapsed="false">
      <c r="A108" s="8"/>
      <c r="B108" s="13"/>
      <c r="C108" s="10"/>
      <c r="D108" s="9"/>
      <c r="E108" s="9"/>
      <c r="F108" s="10"/>
      <c r="G108" s="14" t="n">
        <f aca="false">IF(C108="",0,IF(E108&gt;=D108,MAX(0,IF(F108="",0,F108-C108)),MAX(0,Properties!$B$2-C108)))</f>
        <v>0</v>
      </c>
      <c r="H108" s="15" t="n">
        <f aca="false">IF(C108="",0,MAX(0,D108-E108))</f>
        <v>0</v>
      </c>
      <c r="I108" s="3" t="str">
        <f aca="false">IF(C108="","",IF(H108&lt;=0,"Paid",IF(G108&gt;0,"Overdue","Due")))</f>
        <v/>
      </c>
      <c r="J108" s="8"/>
    </row>
    <row r="109" customFormat="false" ht="15" hidden="false" customHeight="false" outlineLevel="0" collapsed="false">
      <c r="A109" s="8"/>
      <c r="B109" s="13"/>
      <c r="C109" s="10"/>
      <c r="D109" s="9"/>
      <c r="E109" s="9"/>
      <c r="F109" s="10"/>
      <c r="G109" s="14" t="n">
        <f aca="false">IF(C109="",0,IF(E109&gt;=D109,MAX(0,IF(F109="",0,F109-C109)),MAX(0,Properties!$B$2-C109)))</f>
        <v>0</v>
      </c>
      <c r="H109" s="15" t="n">
        <f aca="false">IF(C109="",0,MAX(0,D109-E109))</f>
        <v>0</v>
      </c>
      <c r="I109" s="3" t="str">
        <f aca="false">IF(C109="","",IF(H109&lt;=0,"Paid",IF(G109&gt;0,"Overdue","Due")))</f>
        <v/>
      </c>
      <c r="J109" s="8"/>
    </row>
    <row r="110" customFormat="false" ht="15" hidden="false" customHeight="false" outlineLevel="0" collapsed="false">
      <c r="A110" s="8"/>
      <c r="B110" s="13"/>
      <c r="C110" s="10"/>
      <c r="D110" s="9"/>
      <c r="E110" s="9"/>
      <c r="F110" s="10"/>
      <c r="G110" s="14" t="n">
        <f aca="false">IF(C110="",0,IF(E110&gt;=D110,MAX(0,IF(F110="",0,F110-C110)),MAX(0,Properties!$B$2-C110)))</f>
        <v>0</v>
      </c>
      <c r="H110" s="15" t="n">
        <f aca="false">IF(C110="",0,MAX(0,D110-E110))</f>
        <v>0</v>
      </c>
      <c r="I110" s="3" t="str">
        <f aca="false">IF(C110="","",IF(H110&lt;=0,"Paid",IF(G110&gt;0,"Overdue","Due")))</f>
        <v/>
      </c>
      <c r="J110" s="8"/>
    </row>
    <row r="111" customFormat="false" ht="15" hidden="false" customHeight="false" outlineLevel="0" collapsed="false">
      <c r="A111" s="8"/>
      <c r="B111" s="13"/>
      <c r="C111" s="10"/>
      <c r="D111" s="9"/>
      <c r="E111" s="9"/>
      <c r="F111" s="10"/>
      <c r="G111" s="14" t="n">
        <f aca="false">IF(C111="",0,IF(E111&gt;=D111,MAX(0,IF(F111="",0,F111-C111)),MAX(0,Properties!$B$2-C111)))</f>
        <v>0</v>
      </c>
      <c r="H111" s="15" t="n">
        <f aca="false">IF(C111="",0,MAX(0,D111-E111))</f>
        <v>0</v>
      </c>
      <c r="I111" s="3" t="str">
        <f aca="false">IF(C111="","",IF(H111&lt;=0,"Paid",IF(G111&gt;0,"Overdue","Due")))</f>
        <v/>
      </c>
      <c r="J111" s="8"/>
    </row>
    <row r="112" customFormat="false" ht="15" hidden="false" customHeight="false" outlineLevel="0" collapsed="false">
      <c r="A112" s="8"/>
      <c r="B112" s="13"/>
      <c r="C112" s="10"/>
      <c r="D112" s="9"/>
      <c r="E112" s="9"/>
      <c r="F112" s="10"/>
      <c r="G112" s="14" t="n">
        <f aca="false">IF(C112="",0,IF(E112&gt;=D112,MAX(0,IF(F112="",0,F112-C112)),MAX(0,Properties!$B$2-C112)))</f>
        <v>0</v>
      </c>
      <c r="H112" s="15" t="n">
        <f aca="false">IF(C112="",0,MAX(0,D112-E112))</f>
        <v>0</v>
      </c>
      <c r="I112" s="3" t="str">
        <f aca="false">IF(C112="","",IF(H112&lt;=0,"Paid",IF(G112&gt;0,"Overdue","Due")))</f>
        <v/>
      </c>
      <c r="J112" s="8"/>
    </row>
    <row r="113" customFormat="false" ht="15" hidden="false" customHeight="false" outlineLevel="0" collapsed="false">
      <c r="A113" s="8"/>
      <c r="B113" s="13"/>
      <c r="C113" s="10"/>
      <c r="D113" s="9"/>
      <c r="E113" s="9"/>
      <c r="F113" s="10"/>
      <c r="G113" s="14" t="n">
        <f aca="false">IF(C113="",0,IF(E113&gt;=D113,MAX(0,IF(F113="",0,F113-C113)),MAX(0,Properties!$B$2-C113)))</f>
        <v>0</v>
      </c>
      <c r="H113" s="15" t="n">
        <f aca="false">IF(C113="",0,MAX(0,D113-E113))</f>
        <v>0</v>
      </c>
      <c r="I113" s="3" t="str">
        <f aca="false">IF(C113="","",IF(H113&lt;=0,"Paid",IF(G113&gt;0,"Overdue","Due")))</f>
        <v/>
      </c>
      <c r="J113" s="8"/>
    </row>
    <row r="114" customFormat="false" ht="15" hidden="false" customHeight="false" outlineLevel="0" collapsed="false">
      <c r="A114" s="8"/>
      <c r="B114" s="13"/>
      <c r="C114" s="10"/>
      <c r="D114" s="9"/>
      <c r="E114" s="9"/>
      <c r="F114" s="10"/>
      <c r="G114" s="14" t="n">
        <f aca="false">IF(C114="",0,IF(E114&gt;=D114,MAX(0,IF(F114="",0,F114-C114)),MAX(0,Properties!$B$2-C114)))</f>
        <v>0</v>
      </c>
      <c r="H114" s="15" t="n">
        <f aca="false">IF(C114="",0,MAX(0,D114-E114))</f>
        <v>0</v>
      </c>
      <c r="I114" s="3" t="str">
        <f aca="false">IF(C114="","",IF(H114&lt;=0,"Paid",IF(G114&gt;0,"Overdue","Due")))</f>
        <v/>
      </c>
      <c r="J114" s="8"/>
    </row>
    <row r="115" customFormat="false" ht="15" hidden="false" customHeight="false" outlineLevel="0" collapsed="false">
      <c r="A115" s="8"/>
      <c r="B115" s="13"/>
      <c r="C115" s="10"/>
      <c r="D115" s="9"/>
      <c r="E115" s="9"/>
      <c r="F115" s="10"/>
      <c r="G115" s="14" t="n">
        <f aca="false">IF(C115="",0,IF(E115&gt;=D115,MAX(0,IF(F115="",0,F115-C115)),MAX(0,Properties!$B$2-C115)))</f>
        <v>0</v>
      </c>
      <c r="H115" s="15" t="n">
        <f aca="false">IF(C115="",0,MAX(0,D115-E115))</f>
        <v>0</v>
      </c>
      <c r="I115" s="3" t="str">
        <f aca="false">IF(C115="","",IF(H115&lt;=0,"Paid",IF(G115&gt;0,"Overdue","Due")))</f>
        <v/>
      </c>
      <c r="J115" s="8"/>
    </row>
    <row r="116" customFormat="false" ht="15" hidden="false" customHeight="false" outlineLevel="0" collapsed="false">
      <c r="A116" s="8"/>
      <c r="B116" s="13"/>
      <c r="C116" s="10"/>
      <c r="D116" s="9"/>
      <c r="E116" s="9"/>
      <c r="F116" s="10"/>
      <c r="G116" s="14" t="n">
        <f aca="false">IF(C116="",0,IF(E116&gt;=D116,MAX(0,IF(F116="",0,F116-C116)),MAX(0,Properties!$B$2-C116)))</f>
        <v>0</v>
      </c>
      <c r="H116" s="15" t="n">
        <f aca="false">IF(C116="",0,MAX(0,D116-E116))</f>
        <v>0</v>
      </c>
      <c r="I116" s="3" t="str">
        <f aca="false">IF(C116="","",IF(H116&lt;=0,"Paid",IF(G116&gt;0,"Overdue","Due")))</f>
        <v/>
      </c>
      <c r="J116" s="8"/>
    </row>
    <row r="117" customFormat="false" ht="15" hidden="false" customHeight="false" outlineLevel="0" collapsed="false">
      <c r="A117" s="8"/>
      <c r="B117" s="13"/>
      <c r="C117" s="10"/>
      <c r="D117" s="9"/>
      <c r="E117" s="9"/>
      <c r="F117" s="10"/>
      <c r="G117" s="14" t="n">
        <f aca="false">IF(C117="",0,IF(E117&gt;=D117,MAX(0,IF(F117="",0,F117-C117)),MAX(0,Properties!$B$2-C117)))</f>
        <v>0</v>
      </c>
      <c r="H117" s="15" t="n">
        <f aca="false">IF(C117="",0,MAX(0,D117-E117))</f>
        <v>0</v>
      </c>
      <c r="I117" s="3" t="str">
        <f aca="false">IF(C117="","",IF(H117&lt;=0,"Paid",IF(G117&gt;0,"Overdue","Due")))</f>
        <v/>
      </c>
      <c r="J117" s="8"/>
    </row>
    <row r="118" customFormat="false" ht="15" hidden="false" customHeight="false" outlineLevel="0" collapsed="false">
      <c r="A118" s="8"/>
      <c r="B118" s="13"/>
      <c r="C118" s="10"/>
      <c r="D118" s="9"/>
      <c r="E118" s="9"/>
      <c r="F118" s="10"/>
      <c r="G118" s="14" t="n">
        <f aca="false">IF(C118="",0,IF(E118&gt;=D118,MAX(0,IF(F118="",0,F118-C118)),MAX(0,Properties!$B$2-C118)))</f>
        <v>0</v>
      </c>
      <c r="H118" s="15" t="n">
        <f aca="false">IF(C118="",0,MAX(0,D118-E118))</f>
        <v>0</v>
      </c>
      <c r="I118" s="3" t="str">
        <f aca="false">IF(C118="","",IF(H118&lt;=0,"Paid",IF(G118&gt;0,"Overdue","Due")))</f>
        <v/>
      </c>
      <c r="J118" s="8"/>
    </row>
    <row r="119" customFormat="false" ht="15" hidden="false" customHeight="false" outlineLevel="0" collapsed="false">
      <c r="A119" s="8"/>
      <c r="B119" s="13"/>
      <c r="C119" s="10"/>
      <c r="D119" s="9"/>
      <c r="E119" s="9"/>
      <c r="F119" s="10"/>
      <c r="G119" s="14" t="n">
        <f aca="false">IF(C119="",0,IF(E119&gt;=D119,MAX(0,IF(F119="",0,F119-C119)),MAX(0,Properties!$B$2-C119)))</f>
        <v>0</v>
      </c>
      <c r="H119" s="15" t="n">
        <f aca="false">IF(C119="",0,MAX(0,D119-E119))</f>
        <v>0</v>
      </c>
      <c r="I119" s="3" t="str">
        <f aca="false">IF(C119="","",IF(H119&lt;=0,"Paid",IF(G119&gt;0,"Overdue","Due")))</f>
        <v/>
      </c>
      <c r="J119" s="8"/>
    </row>
    <row r="120" customFormat="false" ht="15" hidden="false" customHeight="false" outlineLevel="0" collapsed="false">
      <c r="A120" s="8"/>
      <c r="B120" s="13"/>
      <c r="C120" s="10"/>
      <c r="D120" s="9"/>
      <c r="E120" s="9"/>
      <c r="F120" s="10"/>
      <c r="G120" s="14" t="n">
        <f aca="false">IF(C120="",0,IF(E120&gt;=D120,MAX(0,IF(F120="",0,F120-C120)),MAX(0,Properties!$B$2-C120)))</f>
        <v>0</v>
      </c>
      <c r="H120" s="15" t="n">
        <f aca="false">IF(C120="",0,MAX(0,D120-E120))</f>
        <v>0</v>
      </c>
      <c r="I120" s="3" t="str">
        <f aca="false">IF(C120="","",IF(H120&lt;=0,"Paid",IF(G120&gt;0,"Overdue","Due")))</f>
        <v/>
      </c>
      <c r="J120" s="8"/>
    </row>
    <row r="121" customFormat="false" ht="15" hidden="false" customHeight="false" outlineLevel="0" collapsed="false">
      <c r="A121" s="8"/>
      <c r="B121" s="13"/>
      <c r="C121" s="10"/>
      <c r="D121" s="9"/>
      <c r="E121" s="9"/>
      <c r="F121" s="10"/>
      <c r="G121" s="14" t="n">
        <f aca="false">IF(C121="",0,IF(E121&gt;=D121,MAX(0,IF(F121="",0,F121-C121)),MAX(0,Properties!$B$2-C121)))</f>
        <v>0</v>
      </c>
      <c r="H121" s="15" t="n">
        <f aca="false">IF(C121="",0,MAX(0,D121-E121))</f>
        <v>0</v>
      </c>
      <c r="I121" s="3" t="str">
        <f aca="false">IF(C121="","",IF(H121&lt;=0,"Paid",IF(G121&gt;0,"Overdue","Due")))</f>
        <v/>
      </c>
      <c r="J121" s="8"/>
    </row>
    <row r="122" customFormat="false" ht="15" hidden="false" customHeight="false" outlineLevel="0" collapsed="false">
      <c r="A122" s="8"/>
      <c r="B122" s="13"/>
      <c r="C122" s="10"/>
      <c r="D122" s="9"/>
      <c r="E122" s="9"/>
      <c r="F122" s="10"/>
      <c r="G122" s="14" t="n">
        <f aca="false">IF(C122="",0,IF(E122&gt;=D122,MAX(0,IF(F122="",0,F122-C122)),MAX(0,Properties!$B$2-C122)))</f>
        <v>0</v>
      </c>
      <c r="H122" s="15" t="n">
        <f aca="false">IF(C122="",0,MAX(0,D122-E122))</f>
        <v>0</v>
      </c>
      <c r="I122" s="3" t="str">
        <f aca="false">IF(C122="","",IF(H122&lt;=0,"Paid",IF(G122&gt;0,"Overdue","Due")))</f>
        <v/>
      </c>
      <c r="J122" s="8"/>
    </row>
    <row r="123" customFormat="false" ht="15" hidden="false" customHeight="false" outlineLevel="0" collapsed="false">
      <c r="A123" s="8"/>
      <c r="B123" s="13"/>
      <c r="C123" s="10"/>
      <c r="D123" s="9"/>
      <c r="E123" s="9"/>
      <c r="F123" s="10"/>
      <c r="G123" s="14" t="n">
        <f aca="false">IF(C123="",0,IF(E123&gt;=D123,MAX(0,IF(F123="",0,F123-C123)),MAX(0,Properties!$B$2-C123)))</f>
        <v>0</v>
      </c>
      <c r="H123" s="15" t="n">
        <f aca="false">IF(C123="",0,MAX(0,D123-E123))</f>
        <v>0</v>
      </c>
      <c r="I123" s="3" t="str">
        <f aca="false">IF(C123="","",IF(H123&lt;=0,"Paid",IF(G123&gt;0,"Overdue","Due")))</f>
        <v/>
      </c>
      <c r="J123" s="8"/>
    </row>
    <row r="124" customFormat="false" ht="15" hidden="false" customHeight="false" outlineLevel="0" collapsed="false">
      <c r="A124" s="8"/>
      <c r="B124" s="13"/>
      <c r="C124" s="10"/>
      <c r="D124" s="9"/>
      <c r="E124" s="9"/>
      <c r="F124" s="10"/>
      <c r="G124" s="14" t="n">
        <f aca="false">IF(C124="",0,IF(E124&gt;=D124,MAX(0,IF(F124="",0,F124-C124)),MAX(0,Properties!$B$2-C124)))</f>
        <v>0</v>
      </c>
      <c r="H124" s="15" t="n">
        <f aca="false">IF(C124="",0,MAX(0,D124-E124))</f>
        <v>0</v>
      </c>
      <c r="I124" s="3" t="str">
        <f aca="false">IF(C124="","",IF(H124&lt;=0,"Paid",IF(G124&gt;0,"Overdue","Due")))</f>
        <v/>
      </c>
      <c r="J124" s="8"/>
    </row>
    <row r="125" customFormat="false" ht="15" hidden="false" customHeight="false" outlineLevel="0" collapsed="false">
      <c r="A125" s="8"/>
      <c r="B125" s="13"/>
      <c r="C125" s="10"/>
      <c r="D125" s="9"/>
      <c r="E125" s="9"/>
      <c r="F125" s="10"/>
      <c r="G125" s="14" t="n">
        <f aca="false">IF(C125="",0,IF(E125&gt;=D125,MAX(0,IF(F125="",0,F125-C125)),MAX(0,Properties!$B$2-C125)))</f>
        <v>0</v>
      </c>
      <c r="H125" s="15" t="n">
        <f aca="false">IF(C125="",0,MAX(0,D125-E125))</f>
        <v>0</v>
      </c>
      <c r="I125" s="3" t="str">
        <f aca="false">IF(C125="","",IF(H125&lt;=0,"Paid",IF(G125&gt;0,"Overdue","Due")))</f>
        <v/>
      </c>
      <c r="J125" s="8"/>
    </row>
    <row r="126" customFormat="false" ht="15" hidden="false" customHeight="false" outlineLevel="0" collapsed="false">
      <c r="A126" s="8"/>
      <c r="B126" s="13"/>
      <c r="C126" s="10"/>
      <c r="D126" s="9"/>
      <c r="E126" s="9"/>
      <c r="F126" s="10"/>
      <c r="G126" s="14" t="n">
        <f aca="false">IF(C126="",0,IF(E126&gt;=D126,MAX(0,IF(F126="",0,F126-C126)),MAX(0,Properties!$B$2-C126)))</f>
        <v>0</v>
      </c>
      <c r="H126" s="15" t="n">
        <f aca="false">IF(C126="",0,MAX(0,D126-E126))</f>
        <v>0</v>
      </c>
      <c r="I126" s="3" t="str">
        <f aca="false">IF(C126="","",IF(H126&lt;=0,"Paid",IF(G126&gt;0,"Overdue","Due")))</f>
        <v/>
      </c>
      <c r="J126" s="8"/>
    </row>
    <row r="127" customFormat="false" ht="15" hidden="false" customHeight="false" outlineLevel="0" collapsed="false">
      <c r="A127" s="8"/>
      <c r="B127" s="13"/>
      <c r="C127" s="10"/>
      <c r="D127" s="9"/>
      <c r="E127" s="9"/>
      <c r="F127" s="10"/>
      <c r="G127" s="14" t="n">
        <f aca="false">IF(C127="",0,IF(E127&gt;=D127,MAX(0,IF(F127="",0,F127-C127)),MAX(0,Properties!$B$2-C127)))</f>
        <v>0</v>
      </c>
      <c r="H127" s="15" t="n">
        <f aca="false">IF(C127="",0,MAX(0,D127-E127))</f>
        <v>0</v>
      </c>
      <c r="I127" s="3" t="str">
        <f aca="false">IF(C127="","",IF(H127&lt;=0,"Paid",IF(G127&gt;0,"Overdue","Due")))</f>
        <v/>
      </c>
      <c r="J127" s="8"/>
    </row>
    <row r="128" customFormat="false" ht="15" hidden="false" customHeight="false" outlineLevel="0" collapsed="false">
      <c r="A128" s="8"/>
      <c r="B128" s="13"/>
      <c r="C128" s="10"/>
      <c r="D128" s="9"/>
      <c r="E128" s="9"/>
      <c r="F128" s="10"/>
      <c r="G128" s="14" t="n">
        <f aca="false">IF(C128="",0,IF(E128&gt;=D128,MAX(0,IF(F128="",0,F128-C128)),MAX(0,Properties!$B$2-C128)))</f>
        <v>0</v>
      </c>
      <c r="H128" s="15" t="n">
        <f aca="false">IF(C128="",0,MAX(0,D128-E128))</f>
        <v>0</v>
      </c>
      <c r="I128" s="3" t="str">
        <f aca="false">IF(C128="","",IF(H128&lt;=0,"Paid",IF(G128&gt;0,"Overdue","Due")))</f>
        <v/>
      </c>
      <c r="J128" s="8"/>
    </row>
    <row r="129" customFormat="false" ht="15" hidden="false" customHeight="false" outlineLevel="0" collapsed="false">
      <c r="A129" s="8"/>
      <c r="B129" s="13"/>
      <c r="C129" s="10"/>
      <c r="D129" s="9"/>
      <c r="E129" s="9"/>
      <c r="F129" s="10"/>
      <c r="G129" s="14" t="n">
        <f aca="false">IF(C129="",0,IF(E129&gt;=D129,MAX(0,IF(F129="",0,F129-C129)),MAX(0,Properties!$B$2-C129)))</f>
        <v>0</v>
      </c>
      <c r="H129" s="15" t="n">
        <f aca="false">IF(C129="",0,MAX(0,D129-E129))</f>
        <v>0</v>
      </c>
      <c r="I129" s="3" t="str">
        <f aca="false">IF(C129="","",IF(H129&lt;=0,"Paid",IF(G129&gt;0,"Overdue","Due")))</f>
        <v/>
      </c>
      <c r="J129" s="8"/>
    </row>
    <row r="130" customFormat="false" ht="15" hidden="false" customHeight="false" outlineLevel="0" collapsed="false">
      <c r="A130" s="8"/>
      <c r="B130" s="13"/>
      <c r="C130" s="10"/>
      <c r="D130" s="9"/>
      <c r="E130" s="9"/>
      <c r="F130" s="10"/>
      <c r="G130" s="14" t="n">
        <f aca="false">IF(C130="",0,IF(E130&gt;=D130,MAX(0,IF(F130="",0,F130-C130)),MAX(0,Properties!$B$2-C130)))</f>
        <v>0</v>
      </c>
      <c r="H130" s="15" t="n">
        <f aca="false">IF(C130="",0,MAX(0,D130-E130))</f>
        <v>0</v>
      </c>
      <c r="I130" s="3" t="str">
        <f aca="false">IF(C130="","",IF(H130&lt;=0,"Paid",IF(G130&gt;0,"Overdue","Due")))</f>
        <v/>
      </c>
      <c r="J130" s="8"/>
    </row>
    <row r="131" customFormat="false" ht="15" hidden="false" customHeight="false" outlineLevel="0" collapsed="false">
      <c r="A131" s="8"/>
      <c r="B131" s="13"/>
      <c r="C131" s="10"/>
      <c r="D131" s="9"/>
      <c r="E131" s="9"/>
      <c r="F131" s="10"/>
      <c r="G131" s="14" t="n">
        <f aca="false">IF(C131="",0,IF(E131&gt;=D131,MAX(0,IF(F131="",0,F131-C131)),MAX(0,Properties!$B$2-C131)))</f>
        <v>0</v>
      </c>
      <c r="H131" s="15" t="n">
        <f aca="false">IF(C131="",0,MAX(0,D131-E131))</f>
        <v>0</v>
      </c>
      <c r="I131" s="3" t="str">
        <f aca="false">IF(C131="","",IF(H131&lt;=0,"Paid",IF(G131&gt;0,"Overdue","Due")))</f>
        <v/>
      </c>
      <c r="J131" s="8"/>
    </row>
    <row r="132" customFormat="false" ht="15" hidden="false" customHeight="false" outlineLevel="0" collapsed="false">
      <c r="A132" s="8"/>
      <c r="B132" s="13"/>
      <c r="C132" s="10"/>
      <c r="D132" s="9"/>
      <c r="E132" s="9"/>
      <c r="F132" s="10"/>
      <c r="G132" s="14" t="n">
        <f aca="false">IF(C132="",0,IF(E132&gt;=D132,MAX(0,IF(F132="",0,F132-C132)),MAX(0,Properties!$B$2-C132)))</f>
        <v>0</v>
      </c>
      <c r="H132" s="15" t="n">
        <f aca="false">IF(C132="",0,MAX(0,D132-E132))</f>
        <v>0</v>
      </c>
      <c r="I132" s="3" t="str">
        <f aca="false">IF(C132="","",IF(H132&lt;=0,"Paid",IF(G132&gt;0,"Overdue","Due")))</f>
        <v/>
      </c>
      <c r="J132" s="8"/>
    </row>
    <row r="133" customFormat="false" ht="15" hidden="false" customHeight="false" outlineLevel="0" collapsed="false">
      <c r="A133" s="8"/>
      <c r="B133" s="13"/>
      <c r="C133" s="10"/>
      <c r="D133" s="9"/>
      <c r="E133" s="9"/>
      <c r="F133" s="10"/>
      <c r="G133" s="14" t="n">
        <f aca="false">IF(C133="",0,IF(E133&gt;=D133,MAX(0,IF(F133="",0,F133-C133)),MAX(0,Properties!$B$2-C133)))</f>
        <v>0</v>
      </c>
      <c r="H133" s="15" t="n">
        <f aca="false">IF(C133="",0,MAX(0,D133-E133))</f>
        <v>0</v>
      </c>
      <c r="I133" s="3" t="str">
        <f aca="false">IF(C133="","",IF(H133&lt;=0,"Paid",IF(G133&gt;0,"Overdue","Due")))</f>
        <v/>
      </c>
      <c r="J133" s="8"/>
    </row>
    <row r="134" customFormat="false" ht="15" hidden="false" customHeight="false" outlineLevel="0" collapsed="false">
      <c r="A134" s="8"/>
      <c r="B134" s="13"/>
      <c r="C134" s="10"/>
      <c r="D134" s="9"/>
      <c r="E134" s="9"/>
      <c r="F134" s="10"/>
      <c r="G134" s="14" t="n">
        <f aca="false">IF(C134="",0,IF(E134&gt;=D134,MAX(0,IF(F134="",0,F134-C134)),MAX(0,Properties!$B$2-C134)))</f>
        <v>0</v>
      </c>
      <c r="H134" s="15" t="n">
        <f aca="false">IF(C134="",0,MAX(0,D134-E134))</f>
        <v>0</v>
      </c>
      <c r="I134" s="3" t="str">
        <f aca="false">IF(C134="","",IF(H134&lt;=0,"Paid",IF(G134&gt;0,"Overdue","Due")))</f>
        <v/>
      </c>
      <c r="J134" s="8"/>
    </row>
    <row r="135" customFormat="false" ht="15" hidden="false" customHeight="false" outlineLevel="0" collapsed="false">
      <c r="A135" s="8"/>
      <c r="B135" s="13"/>
      <c r="C135" s="10"/>
      <c r="D135" s="9"/>
      <c r="E135" s="9"/>
      <c r="F135" s="10"/>
      <c r="G135" s="14" t="n">
        <f aca="false">IF(C135="",0,IF(E135&gt;=D135,MAX(0,IF(F135="",0,F135-C135)),MAX(0,Properties!$B$2-C135)))</f>
        <v>0</v>
      </c>
      <c r="H135" s="15" t="n">
        <f aca="false">IF(C135="",0,MAX(0,D135-E135))</f>
        <v>0</v>
      </c>
      <c r="I135" s="3" t="str">
        <f aca="false">IF(C135="","",IF(H135&lt;=0,"Paid",IF(G135&gt;0,"Overdue","Due")))</f>
        <v/>
      </c>
      <c r="J135" s="8"/>
    </row>
    <row r="136" customFormat="false" ht="15" hidden="false" customHeight="false" outlineLevel="0" collapsed="false">
      <c r="A136" s="8"/>
      <c r="B136" s="13"/>
      <c r="C136" s="10"/>
      <c r="D136" s="9"/>
      <c r="E136" s="9"/>
      <c r="F136" s="10"/>
      <c r="G136" s="14" t="n">
        <f aca="false">IF(C136="",0,IF(E136&gt;=D136,MAX(0,IF(F136="",0,F136-C136)),MAX(0,Properties!$B$2-C136)))</f>
        <v>0</v>
      </c>
      <c r="H136" s="15" t="n">
        <f aca="false">IF(C136="",0,MAX(0,D136-E136))</f>
        <v>0</v>
      </c>
      <c r="I136" s="3" t="str">
        <f aca="false">IF(C136="","",IF(H136&lt;=0,"Paid",IF(G136&gt;0,"Overdue","Due")))</f>
        <v/>
      </c>
      <c r="J136" s="8"/>
    </row>
    <row r="137" customFormat="false" ht="15" hidden="false" customHeight="false" outlineLevel="0" collapsed="false">
      <c r="A137" s="8"/>
      <c r="B137" s="13"/>
      <c r="C137" s="10"/>
      <c r="D137" s="9"/>
      <c r="E137" s="9"/>
      <c r="F137" s="10"/>
      <c r="G137" s="14" t="n">
        <f aca="false">IF(C137="",0,IF(E137&gt;=D137,MAX(0,IF(F137="",0,F137-C137)),MAX(0,Properties!$B$2-C137)))</f>
        <v>0</v>
      </c>
      <c r="H137" s="15" t="n">
        <f aca="false">IF(C137="",0,MAX(0,D137-E137))</f>
        <v>0</v>
      </c>
      <c r="I137" s="3" t="str">
        <f aca="false">IF(C137="","",IF(H137&lt;=0,"Paid",IF(G137&gt;0,"Overdue","Due")))</f>
        <v/>
      </c>
      <c r="J137" s="8"/>
    </row>
    <row r="138" customFormat="false" ht="15" hidden="false" customHeight="false" outlineLevel="0" collapsed="false">
      <c r="A138" s="8"/>
      <c r="B138" s="13"/>
      <c r="C138" s="10"/>
      <c r="D138" s="9"/>
      <c r="E138" s="9"/>
      <c r="F138" s="10"/>
      <c r="G138" s="14" t="n">
        <f aca="false">IF(C138="",0,IF(E138&gt;=D138,MAX(0,IF(F138="",0,F138-C138)),MAX(0,Properties!$B$2-C138)))</f>
        <v>0</v>
      </c>
      <c r="H138" s="15" t="n">
        <f aca="false">IF(C138="",0,MAX(0,D138-E138))</f>
        <v>0</v>
      </c>
      <c r="I138" s="3" t="str">
        <f aca="false">IF(C138="","",IF(H138&lt;=0,"Paid",IF(G138&gt;0,"Overdue","Due")))</f>
        <v/>
      </c>
      <c r="J138" s="8"/>
    </row>
    <row r="139" customFormat="false" ht="15" hidden="false" customHeight="false" outlineLevel="0" collapsed="false">
      <c r="A139" s="8"/>
      <c r="B139" s="13"/>
      <c r="C139" s="10"/>
      <c r="D139" s="9"/>
      <c r="E139" s="9"/>
      <c r="F139" s="10"/>
      <c r="G139" s="14" t="n">
        <f aca="false">IF(C139="",0,IF(E139&gt;=D139,MAX(0,IF(F139="",0,F139-C139)),MAX(0,Properties!$B$2-C139)))</f>
        <v>0</v>
      </c>
      <c r="H139" s="15" t="n">
        <f aca="false">IF(C139="",0,MAX(0,D139-E139))</f>
        <v>0</v>
      </c>
      <c r="I139" s="3" t="str">
        <f aca="false">IF(C139="","",IF(H139&lt;=0,"Paid",IF(G139&gt;0,"Overdue","Due")))</f>
        <v/>
      </c>
      <c r="J139" s="8"/>
    </row>
    <row r="140" customFormat="false" ht="15" hidden="false" customHeight="false" outlineLevel="0" collapsed="false">
      <c r="A140" s="8"/>
      <c r="B140" s="13"/>
      <c r="C140" s="10"/>
      <c r="D140" s="9"/>
      <c r="E140" s="9"/>
      <c r="F140" s="10"/>
      <c r="G140" s="14" t="n">
        <f aca="false">IF(C140="",0,IF(E140&gt;=D140,MAX(0,IF(F140="",0,F140-C140)),MAX(0,Properties!$B$2-C140)))</f>
        <v>0</v>
      </c>
      <c r="H140" s="15" t="n">
        <f aca="false">IF(C140="",0,MAX(0,D140-E140))</f>
        <v>0</v>
      </c>
      <c r="I140" s="3" t="str">
        <f aca="false">IF(C140="","",IF(H140&lt;=0,"Paid",IF(G140&gt;0,"Overdue","Due")))</f>
        <v/>
      </c>
      <c r="J140" s="8"/>
    </row>
    <row r="141" customFormat="false" ht="15" hidden="false" customHeight="false" outlineLevel="0" collapsed="false">
      <c r="A141" s="8"/>
      <c r="B141" s="13"/>
      <c r="C141" s="10"/>
      <c r="D141" s="9"/>
      <c r="E141" s="9"/>
      <c r="F141" s="10"/>
      <c r="G141" s="14" t="n">
        <f aca="false">IF(C141="",0,IF(E141&gt;=D141,MAX(0,IF(F141="",0,F141-C141)),MAX(0,Properties!$B$2-C141)))</f>
        <v>0</v>
      </c>
      <c r="H141" s="15" t="n">
        <f aca="false">IF(C141="",0,MAX(0,D141-E141))</f>
        <v>0</v>
      </c>
      <c r="I141" s="3" t="str">
        <f aca="false">IF(C141="","",IF(H141&lt;=0,"Paid",IF(G141&gt;0,"Overdue","Due")))</f>
        <v/>
      </c>
      <c r="J141" s="8"/>
    </row>
    <row r="142" customFormat="false" ht="15" hidden="false" customHeight="false" outlineLevel="0" collapsed="false">
      <c r="A142" s="8"/>
      <c r="B142" s="13"/>
      <c r="C142" s="10"/>
      <c r="D142" s="9"/>
      <c r="E142" s="9"/>
      <c r="F142" s="10"/>
      <c r="G142" s="14" t="n">
        <f aca="false">IF(C142="",0,IF(E142&gt;=D142,MAX(0,IF(F142="",0,F142-C142)),MAX(0,Properties!$B$2-C142)))</f>
        <v>0</v>
      </c>
      <c r="H142" s="15" t="n">
        <f aca="false">IF(C142="",0,MAX(0,D142-E142))</f>
        <v>0</v>
      </c>
      <c r="I142" s="3" t="str">
        <f aca="false">IF(C142="","",IF(H142&lt;=0,"Paid",IF(G142&gt;0,"Overdue","Due")))</f>
        <v/>
      </c>
      <c r="J142" s="8"/>
    </row>
    <row r="143" customFormat="false" ht="15" hidden="false" customHeight="false" outlineLevel="0" collapsed="false">
      <c r="A143" s="8"/>
      <c r="B143" s="13"/>
      <c r="C143" s="10"/>
      <c r="D143" s="9"/>
      <c r="E143" s="9"/>
      <c r="F143" s="10"/>
      <c r="G143" s="14" t="n">
        <f aca="false">IF(C143="",0,IF(E143&gt;=D143,MAX(0,IF(F143="",0,F143-C143)),MAX(0,Properties!$B$2-C143)))</f>
        <v>0</v>
      </c>
      <c r="H143" s="15" t="n">
        <f aca="false">IF(C143="",0,MAX(0,D143-E143))</f>
        <v>0</v>
      </c>
      <c r="I143" s="3" t="str">
        <f aca="false">IF(C143="","",IF(H143&lt;=0,"Paid",IF(G143&gt;0,"Overdue","Due")))</f>
        <v/>
      </c>
      <c r="J143" s="8"/>
    </row>
    <row r="144" customFormat="false" ht="15" hidden="false" customHeight="false" outlineLevel="0" collapsed="false">
      <c r="A144" s="8"/>
      <c r="B144" s="13"/>
      <c r="C144" s="10"/>
      <c r="D144" s="9"/>
      <c r="E144" s="9"/>
      <c r="F144" s="10"/>
      <c r="G144" s="14" t="n">
        <f aca="false">IF(C144="",0,IF(E144&gt;=D144,MAX(0,IF(F144="",0,F144-C144)),MAX(0,Properties!$B$2-C144)))</f>
        <v>0</v>
      </c>
      <c r="H144" s="15" t="n">
        <f aca="false">IF(C144="",0,MAX(0,D144-E144))</f>
        <v>0</v>
      </c>
      <c r="I144" s="3" t="str">
        <f aca="false">IF(C144="","",IF(H144&lt;=0,"Paid",IF(G144&gt;0,"Overdue","Due")))</f>
        <v/>
      </c>
      <c r="J144" s="8"/>
    </row>
    <row r="145" customFormat="false" ht="15" hidden="false" customHeight="false" outlineLevel="0" collapsed="false">
      <c r="A145" s="8"/>
      <c r="B145" s="13"/>
      <c r="C145" s="10"/>
      <c r="D145" s="9"/>
      <c r="E145" s="9"/>
      <c r="F145" s="10"/>
      <c r="G145" s="14" t="n">
        <f aca="false">IF(C145="",0,IF(E145&gt;=D145,MAX(0,IF(F145="",0,F145-C145)),MAX(0,Properties!$B$2-C145)))</f>
        <v>0</v>
      </c>
      <c r="H145" s="15" t="n">
        <f aca="false">IF(C145="",0,MAX(0,D145-E145))</f>
        <v>0</v>
      </c>
      <c r="I145" s="3" t="str">
        <f aca="false">IF(C145="","",IF(H145&lt;=0,"Paid",IF(G145&gt;0,"Overdue","Due")))</f>
        <v/>
      </c>
      <c r="J145" s="8"/>
    </row>
    <row r="146" customFormat="false" ht="15" hidden="false" customHeight="false" outlineLevel="0" collapsed="false">
      <c r="A146" s="8"/>
      <c r="B146" s="13"/>
      <c r="C146" s="10"/>
      <c r="D146" s="9"/>
      <c r="E146" s="9"/>
      <c r="F146" s="10"/>
      <c r="G146" s="14" t="n">
        <f aca="false">IF(C146="",0,IF(E146&gt;=D146,MAX(0,IF(F146="",0,F146-C146)),MAX(0,Properties!$B$2-C146)))</f>
        <v>0</v>
      </c>
      <c r="H146" s="15" t="n">
        <f aca="false">IF(C146="",0,MAX(0,D146-E146))</f>
        <v>0</v>
      </c>
      <c r="I146" s="3" t="str">
        <f aca="false">IF(C146="","",IF(H146&lt;=0,"Paid",IF(G146&gt;0,"Overdue","Due")))</f>
        <v/>
      </c>
      <c r="J146" s="8"/>
    </row>
    <row r="147" customFormat="false" ht="15" hidden="false" customHeight="false" outlineLevel="0" collapsed="false">
      <c r="A147" s="8"/>
      <c r="B147" s="13"/>
      <c r="C147" s="10"/>
      <c r="D147" s="9"/>
      <c r="E147" s="9"/>
      <c r="F147" s="10"/>
      <c r="G147" s="14" t="n">
        <f aca="false">IF(C147="",0,IF(E147&gt;=D147,MAX(0,IF(F147="",0,F147-C147)),MAX(0,Properties!$B$2-C147)))</f>
        <v>0</v>
      </c>
      <c r="H147" s="15" t="n">
        <f aca="false">IF(C147="",0,MAX(0,D147-E147))</f>
        <v>0</v>
      </c>
      <c r="I147" s="3" t="str">
        <f aca="false">IF(C147="","",IF(H147&lt;=0,"Paid",IF(G147&gt;0,"Overdue","Due")))</f>
        <v/>
      </c>
      <c r="J147" s="8"/>
    </row>
    <row r="148" customFormat="false" ht="15" hidden="false" customHeight="false" outlineLevel="0" collapsed="false">
      <c r="A148" s="8"/>
      <c r="B148" s="13"/>
      <c r="C148" s="10"/>
      <c r="D148" s="9"/>
      <c r="E148" s="9"/>
      <c r="F148" s="10"/>
      <c r="G148" s="14" t="n">
        <f aca="false">IF(C148="",0,IF(E148&gt;=D148,MAX(0,IF(F148="",0,F148-C148)),MAX(0,Properties!$B$2-C148)))</f>
        <v>0</v>
      </c>
      <c r="H148" s="15" t="n">
        <f aca="false">IF(C148="",0,MAX(0,D148-E148))</f>
        <v>0</v>
      </c>
      <c r="I148" s="3" t="str">
        <f aca="false">IF(C148="","",IF(H148&lt;=0,"Paid",IF(G148&gt;0,"Overdue","Due")))</f>
        <v/>
      </c>
      <c r="J148" s="8"/>
    </row>
    <row r="149" customFormat="false" ht="15" hidden="false" customHeight="false" outlineLevel="0" collapsed="false">
      <c r="A149" s="8"/>
      <c r="B149" s="13"/>
      <c r="C149" s="10"/>
      <c r="D149" s="9"/>
      <c r="E149" s="9"/>
      <c r="F149" s="10"/>
      <c r="G149" s="14" t="n">
        <f aca="false">IF(C149="",0,IF(E149&gt;=D149,MAX(0,IF(F149="",0,F149-C149)),MAX(0,Properties!$B$2-C149)))</f>
        <v>0</v>
      </c>
      <c r="H149" s="15" t="n">
        <f aca="false">IF(C149="",0,MAX(0,D149-E149))</f>
        <v>0</v>
      </c>
      <c r="I149" s="3" t="str">
        <f aca="false">IF(C149="","",IF(H149&lt;=0,"Paid",IF(G149&gt;0,"Overdue","Due")))</f>
        <v/>
      </c>
      <c r="J149" s="8"/>
    </row>
    <row r="150" customFormat="false" ht="15" hidden="false" customHeight="false" outlineLevel="0" collapsed="false">
      <c r="A150" s="8"/>
      <c r="B150" s="13"/>
      <c r="C150" s="10"/>
      <c r="D150" s="9"/>
      <c r="E150" s="9"/>
      <c r="F150" s="10"/>
      <c r="G150" s="14" t="n">
        <f aca="false">IF(C150="",0,IF(E150&gt;=D150,MAX(0,IF(F150="",0,F150-C150)),MAX(0,Properties!$B$2-C150)))</f>
        <v>0</v>
      </c>
      <c r="H150" s="15" t="n">
        <f aca="false">IF(C150="",0,MAX(0,D150-E150))</f>
        <v>0</v>
      </c>
      <c r="I150" s="3" t="str">
        <f aca="false">IF(C150="","",IF(H150&lt;=0,"Paid",IF(G150&gt;0,"Overdue","Due")))</f>
        <v/>
      </c>
      <c r="J150" s="8"/>
    </row>
    <row r="151" customFormat="false" ht="15" hidden="false" customHeight="false" outlineLevel="0" collapsed="false">
      <c r="A151" s="8"/>
      <c r="B151" s="13"/>
      <c r="C151" s="10"/>
      <c r="D151" s="9"/>
      <c r="E151" s="9"/>
      <c r="F151" s="10"/>
      <c r="G151" s="14" t="n">
        <f aca="false">IF(C151="",0,IF(E151&gt;=D151,MAX(0,IF(F151="",0,F151-C151)),MAX(0,Properties!$B$2-C151)))</f>
        <v>0</v>
      </c>
      <c r="H151" s="15" t="n">
        <f aca="false">IF(C151="",0,MAX(0,D151-E151))</f>
        <v>0</v>
      </c>
      <c r="I151" s="3" t="str">
        <f aca="false">IF(C151="","",IF(H151&lt;=0,"Paid",IF(G151&gt;0,"Overdue","Due")))</f>
        <v/>
      </c>
      <c r="J151" s="8"/>
    </row>
    <row r="152" customFormat="false" ht="15" hidden="false" customHeight="false" outlineLevel="0" collapsed="false">
      <c r="A152" s="8"/>
      <c r="B152" s="13"/>
      <c r="C152" s="10"/>
      <c r="D152" s="9"/>
      <c r="E152" s="9"/>
      <c r="F152" s="10"/>
      <c r="G152" s="14" t="n">
        <f aca="false">IF(C152="",0,IF(E152&gt;=D152,MAX(0,IF(F152="",0,F152-C152)),MAX(0,Properties!$B$2-C152)))</f>
        <v>0</v>
      </c>
      <c r="H152" s="15" t="n">
        <f aca="false">IF(C152="",0,MAX(0,D152-E152))</f>
        <v>0</v>
      </c>
      <c r="I152" s="3" t="str">
        <f aca="false">IF(C152="","",IF(H152&lt;=0,"Paid",IF(G152&gt;0,"Overdue","Due")))</f>
        <v/>
      </c>
      <c r="J152" s="8"/>
    </row>
    <row r="153" customFormat="false" ht="15" hidden="false" customHeight="false" outlineLevel="0" collapsed="false">
      <c r="A153" s="8"/>
      <c r="B153" s="13"/>
      <c r="C153" s="10"/>
      <c r="D153" s="9"/>
      <c r="E153" s="9"/>
      <c r="F153" s="10"/>
      <c r="G153" s="14" t="n">
        <f aca="false">IF(C153="",0,IF(E153&gt;=D153,MAX(0,IF(F153="",0,F153-C153)),MAX(0,Properties!$B$2-C153)))</f>
        <v>0</v>
      </c>
      <c r="H153" s="15" t="n">
        <f aca="false">IF(C153="",0,MAX(0,D153-E153))</f>
        <v>0</v>
      </c>
      <c r="I153" s="3" t="str">
        <f aca="false">IF(C153="","",IF(H153&lt;=0,"Paid",IF(G153&gt;0,"Overdue","Due")))</f>
        <v/>
      </c>
      <c r="J153" s="8"/>
    </row>
    <row r="154" customFormat="false" ht="15" hidden="false" customHeight="false" outlineLevel="0" collapsed="false">
      <c r="A154" s="8"/>
      <c r="B154" s="13"/>
      <c r="C154" s="10"/>
      <c r="D154" s="9"/>
      <c r="E154" s="9"/>
      <c r="F154" s="10"/>
      <c r="G154" s="14" t="n">
        <f aca="false">IF(C154="",0,IF(E154&gt;=D154,MAX(0,IF(F154="",0,F154-C154)),MAX(0,Properties!$B$2-C154)))</f>
        <v>0</v>
      </c>
      <c r="H154" s="15" t="n">
        <f aca="false">IF(C154="",0,MAX(0,D154-E154))</f>
        <v>0</v>
      </c>
      <c r="I154" s="3" t="str">
        <f aca="false">IF(C154="","",IF(H154&lt;=0,"Paid",IF(G154&gt;0,"Overdue","Due")))</f>
        <v/>
      </c>
      <c r="J154" s="8"/>
    </row>
    <row r="155" customFormat="false" ht="15" hidden="false" customHeight="false" outlineLevel="0" collapsed="false">
      <c r="A155" s="8"/>
      <c r="B155" s="13"/>
      <c r="C155" s="10"/>
      <c r="D155" s="9"/>
      <c r="E155" s="9"/>
      <c r="F155" s="10"/>
      <c r="G155" s="14" t="n">
        <f aca="false">IF(C155="",0,IF(E155&gt;=D155,MAX(0,IF(F155="",0,F155-C155)),MAX(0,Properties!$B$2-C155)))</f>
        <v>0</v>
      </c>
      <c r="H155" s="15" t="n">
        <f aca="false">IF(C155="",0,MAX(0,D155-E155))</f>
        <v>0</v>
      </c>
      <c r="I155" s="3" t="str">
        <f aca="false">IF(C155="","",IF(H155&lt;=0,"Paid",IF(G155&gt;0,"Overdue","Due")))</f>
        <v/>
      </c>
      <c r="J155" s="8"/>
    </row>
    <row r="156" customFormat="false" ht="15" hidden="false" customHeight="false" outlineLevel="0" collapsed="false">
      <c r="A156" s="8"/>
      <c r="B156" s="13"/>
      <c r="C156" s="10"/>
      <c r="D156" s="9"/>
      <c r="E156" s="9"/>
      <c r="F156" s="10"/>
      <c r="G156" s="14" t="n">
        <f aca="false">IF(C156="",0,IF(E156&gt;=D156,MAX(0,IF(F156="",0,F156-C156)),MAX(0,Properties!$B$2-C156)))</f>
        <v>0</v>
      </c>
      <c r="H156" s="15" t="n">
        <f aca="false">IF(C156="",0,MAX(0,D156-E156))</f>
        <v>0</v>
      </c>
      <c r="I156" s="3" t="str">
        <f aca="false">IF(C156="","",IF(H156&lt;=0,"Paid",IF(G156&gt;0,"Overdue","Due")))</f>
        <v/>
      </c>
      <c r="J156" s="8"/>
    </row>
    <row r="157" customFormat="false" ht="15" hidden="false" customHeight="false" outlineLevel="0" collapsed="false">
      <c r="A157" s="8"/>
      <c r="B157" s="13"/>
      <c r="C157" s="10"/>
      <c r="D157" s="9"/>
      <c r="E157" s="9"/>
      <c r="F157" s="10"/>
      <c r="G157" s="14" t="n">
        <f aca="false">IF(C157="",0,IF(E157&gt;=D157,MAX(0,IF(F157="",0,F157-C157)),MAX(0,Properties!$B$2-C157)))</f>
        <v>0</v>
      </c>
      <c r="H157" s="15" t="n">
        <f aca="false">IF(C157="",0,MAX(0,D157-E157))</f>
        <v>0</v>
      </c>
      <c r="I157" s="3" t="str">
        <f aca="false">IF(C157="","",IF(H157&lt;=0,"Paid",IF(G157&gt;0,"Overdue","Due")))</f>
        <v/>
      </c>
      <c r="J157" s="8"/>
    </row>
    <row r="158" customFormat="false" ht="15" hidden="false" customHeight="false" outlineLevel="0" collapsed="false">
      <c r="A158" s="8"/>
      <c r="B158" s="13"/>
      <c r="C158" s="10"/>
      <c r="D158" s="9"/>
      <c r="E158" s="9"/>
      <c r="F158" s="10"/>
      <c r="G158" s="14" t="n">
        <f aca="false">IF(C158="",0,IF(E158&gt;=D158,MAX(0,IF(F158="",0,F158-C158)),MAX(0,Properties!$B$2-C158)))</f>
        <v>0</v>
      </c>
      <c r="H158" s="15" t="n">
        <f aca="false">IF(C158="",0,MAX(0,D158-E158))</f>
        <v>0</v>
      </c>
      <c r="I158" s="3" t="str">
        <f aca="false">IF(C158="","",IF(H158&lt;=0,"Paid",IF(G158&gt;0,"Overdue","Due")))</f>
        <v/>
      </c>
      <c r="J158" s="8"/>
    </row>
    <row r="159" customFormat="false" ht="15" hidden="false" customHeight="false" outlineLevel="0" collapsed="false">
      <c r="A159" s="8"/>
      <c r="B159" s="13"/>
      <c r="C159" s="10"/>
      <c r="D159" s="9"/>
      <c r="E159" s="9"/>
      <c r="F159" s="10"/>
      <c r="G159" s="14" t="n">
        <f aca="false">IF(C159="",0,IF(E159&gt;=D159,MAX(0,IF(F159="",0,F159-C159)),MAX(0,Properties!$B$2-C159)))</f>
        <v>0</v>
      </c>
      <c r="H159" s="15" t="n">
        <f aca="false">IF(C159="",0,MAX(0,D159-E159))</f>
        <v>0</v>
      </c>
      <c r="I159" s="3" t="str">
        <f aca="false">IF(C159="","",IF(H159&lt;=0,"Paid",IF(G159&gt;0,"Overdue","Due")))</f>
        <v/>
      </c>
      <c r="J159" s="8"/>
    </row>
    <row r="160" customFormat="false" ht="15" hidden="false" customHeight="false" outlineLevel="0" collapsed="false">
      <c r="A160" s="8"/>
      <c r="B160" s="13"/>
      <c r="C160" s="10"/>
      <c r="D160" s="9"/>
      <c r="E160" s="9"/>
      <c r="F160" s="10"/>
      <c r="G160" s="14" t="n">
        <f aca="false">IF(C160="",0,IF(E160&gt;=D160,MAX(0,IF(F160="",0,F160-C160)),MAX(0,Properties!$B$2-C160)))</f>
        <v>0</v>
      </c>
      <c r="H160" s="15" t="n">
        <f aca="false">IF(C160="",0,MAX(0,D160-E160))</f>
        <v>0</v>
      </c>
      <c r="I160" s="3" t="str">
        <f aca="false">IF(C160="","",IF(H160&lt;=0,"Paid",IF(G160&gt;0,"Overdue","Due")))</f>
        <v/>
      </c>
      <c r="J160" s="8"/>
    </row>
    <row r="161" customFormat="false" ht="15" hidden="false" customHeight="false" outlineLevel="0" collapsed="false">
      <c r="A161" s="8"/>
      <c r="B161" s="13"/>
      <c r="C161" s="10"/>
      <c r="D161" s="9"/>
      <c r="E161" s="9"/>
      <c r="F161" s="10"/>
      <c r="G161" s="14" t="n">
        <f aca="false">IF(C161="",0,IF(E161&gt;=D161,MAX(0,IF(F161="",0,F161-C161)),MAX(0,Properties!$B$2-C161)))</f>
        <v>0</v>
      </c>
      <c r="H161" s="15" t="n">
        <f aca="false">IF(C161="",0,MAX(0,D161-E161))</f>
        <v>0</v>
      </c>
      <c r="I161" s="3" t="str">
        <f aca="false">IF(C161="","",IF(H161&lt;=0,"Paid",IF(G161&gt;0,"Overdue","Due")))</f>
        <v/>
      </c>
      <c r="J161" s="8"/>
    </row>
    <row r="162" customFormat="false" ht="15" hidden="false" customHeight="false" outlineLevel="0" collapsed="false">
      <c r="A162" s="8"/>
      <c r="B162" s="13"/>
      <c r="C162" s="10"/>
      <c r="D162" s="9"/>
      <c r="E162" s="9"/>
      <c r="F162" s="10"/>
      <c r="G162" s="14" t="n">
        <f aca="false">IF(C162="",0,IF(E162&gt;=D162,MAX(0,IF(F162="",0,F162-C162)),MAX(0,Properties!$B$2-C162)))</f>
        <v>0</v>
      </c>
      <c r="H162" s="15" t="n">
        <f aca="false">IF(C162="",0,MAX(0,D162-E162))</f>
        <v>0</v>
      </c>
      <c r="I162" s="3" t="str">
        <f aca="false">IF(C162="","",IF(H162&lt;=0,"Paid",IF(G162&gt;0,"Overdue","Due")))</f>
        <v/>
      </c>
      <c r="J162" s="8"/>
    </row>
    <row r="163" customFormat="false" ht="15" hidden="false" customHeight="false" outlineLevel="0" collapsed="false">
      <c r="A163" s="8"/>
      <c r="B163" s="13"/>
      <c r="C163" s="10"/>
      <c r="D163" s="9"/>
      <c r="E163" s="9"/>
      <c r="F163" s="10"/>
      <c r="G163" s="14" t="n">
        <f aca="false">IF(C163="",0,IF(E163&gt;=D163,MAX(0,IF(F163="",0,F163-C163)),MAX(0,Properties!$B$2-C163)))</f>
        <v>0</v>
      </c>
      <c r="H163" s="15" t="n">
        <f aca="false">IF(C163="",0,MAX(0,D163-E163))</f>
        <v>0</v>
      </c>
      <c r="I163" s="3" t="str">
        <f aca="false">IF(C163="","",IF(H163&lt;=0,"Paid",IF(G163&gt;0,"Overdue","Due")))</f>
        <v/>
      </c>
      <c r="J163" s="8"/>
    </row>
    <row r="164" customFormat="false" ht="15" hidden="false" customHeight="false" outlineLevel="0" collapsed="false">
      <c r="A164" s="8"/>
      <c r="B164" s="13"/>
      <c r="C164" s="10"/>
      <c r="D164" s="9"/>
      <c r="E164" s="9"/>
      <c r="F164" s="10"/>
      <c r="G164" s="14" t="n">
        <f aca="false">IF(C164="",0,IF(E164&gt;=D164,MAX(0,IF(F164="",0,F164-C164)),MAX(0,Properties!$B$2-C164)))</f>
        <v>0</v>
      </c>
      <c r="H164" s="15" t="n">
        <f aca="false">IF(C164="",0,MAX(0,D164-E164))</f>
        <v>0</v>
      </c>
      <c r="I164" s="3" t="str">
        <f aca="false">IF(C164="","",IF(H164&lt;=0,"Paid",IF(G164&gt;0,"Overdue","Due")))</f>
        <v/>
      </c>
      <c r="J164" s="8"/>
    </row>
    <row r="165" customFormat="false" ht="15" hidden="false" customHeight="false" outlineLevel="0" collapsed="false">
      <c r="A165" s="8"/>
      <c r="B165" s="13"/>
      <c r="C165" s="10"/>
      <c r="D165" s="9"/>
      <c r="E165" s="9"/>
      <c r="F165" s="10"/>
      <c r="G165" s="14" t="n">
        <f aca="false">IF(C165="",0,IF(E165&gt;=D165,MAX(0,IF(F165="",0,F165-C165)),MAX(0,Properties!$B$2-C165)))</f>
        <v>0</v>
      </c>
      <c r="H165" s="15" t="n">
        <f aca="false">IF(C165="",0,MAX(0,D165-E165))</f>
        <v>0</v>
      </c>
      <c r="I165" s="3" t="str">
        <f aca="false">IF(C165="","",IF(H165&lt;=0,"Paid",IF(G165&gt;0,"Overdue","Due")))</f>
        <v/>
      </c>
      <c r="J165" s="8"/>
    </row>
    <row r="166" customFormat="false" ht="15" hidden="false" customHeight="false" outlineLevel="0" collapsed="false">
      <c r="A166" s="8"/>
      <c r="B166" s="13"/>
      <c r="C166" s="10"/>
      <c r="D166" s="9"/>
      <c r="E166" s="9"/>
      <c r="F166" s="10"/>
      <c r="G166" s="14" t="n">
        <f aca="false">IF(C166="",0,IF(E166&gt;=D166,MAX(0,IF(F166="",0,F166-C166)),MAX(0,Properties!$B$2-C166)))</f>
        <v>0</v>
      </c>
      <c r="H166" s="15" t="n">
        <f aca="false">IF(C166="",0,MAX(0,D166-E166))</f>
        <v>0</v>
      </c>
      <c r="I166" s="3" t="str">
        <f aca="false">IF(C166="","",IF(H166&lt;=0,"Paid",IF(G166&gt;0,"Overdue","Due")))</f>
        <v/>
      </c>
      <c r="J166" s="8"/>
    </row>
    <row r="167" customFormat="false" ht="15" hidden="false" customHeight="false" outlineLevel="0" collapsed="false">
      <c r="A167" s="8"/>
      <c r="B167" s="13"/>
      <c r="C167" s="10"/>
      <c r="D167" s="9"/>
      <c r="E167" s="9"/>
      <c r="F167" s="10"/>
      <c r="G167" s="14" t="n">
        <f aca="false">IF(C167="",0,IF(E167&gt;=D167,MAX(0,IF(F167="",0,F167-C167)),MAX(0,Properties!$B$2-C167)))</f>
        <v>0</v>
      </c>
      <c r="H167" s="15" t="n">
        <f aca="false">IF(C167="",0,MAX(0,D167-E167))</f>
        <v>0</v>
      </c>
      <c r="I167" s="3" t="str">
        <f aca="false">IF(C167="","",IF(H167&lt;=0,"Paid",IF(G167&gt;0,"Overdue","Due")))</f>
        <v/>
      </c>
      <c r="J167" s="8"/>
    </row>
    <row r="168" customFormat="false" ht="15" hidden="false" customHeight="false" outlineLevel="0" collapsed="false">
      <c r="A168" s="8"/>
      <c r="B168" s="13"/>
      <c r="C168" s="10"/>
      <c r="D168" s="9"/>
      <c r="E168" s="9"/>
      <c r="F168" s="10"/>
      <c r="G168" s="14" t="n">
        <f aca="false">IF(C168="",0,IF(E168&gt;=D168,MAX(0,IF(F168="",0,F168-C168)),MAX(0,Properties!$B$2-C168)))</f>
        <v>0</v>
      </c>
      <c r="H168" s="15" t="n">
        <f aca="false">IF(C168="",0,MAX(0,D168-E168))</f>
        <v>0</v>
      </c>
      <c r="I168" s="3" t="str">
        <f aca="false">IF(C168="","",IF(H168&lt;=0,"Paid",IF(G168&gt;0,"Overdue","Due")))</f>
        <v/>
      </c>
      <c r="J168" s="8"/>
    </row>
    <row r="169" customFormat="false" ht="15" hidden="false" customHeight="false" outlineLevel="0" collapsed="false">
      <c r="A169" s="8"/>
      <c r="B169" s="13"/>
      <c r="C169" s="10"/>
      <c r="D169" s="9"/>
      <c r="E169" s="9"/>
      <c r="F169" s="10"/>
      <c r="G169" s="14" t="n">
        <f aca="false">IF(C169="",0,IF(E169&gt;=D169,MAX(0,IF(F169="",0,F169-C169)),MAX(0,Properties!$B$2-C169)))</f>
        <v>0</v>
      </c>
      <c r="H169" s="15" t="n">
        <f aca="false">IF(C169="",0,MAX(0,D169-E169))</f>
        <v>0</v>
      </c>
      <c r="I169" s="3" t="str">
        <f aca="false">IF(C169="","",IF(H169&lt;=0,"Paid",IF(G169&gt;0,"Overdue","Due")))</f>
        <v/>
      </c>
      <c r="J169" s="8"/>
    </row>
    <row r="170" customFormat="false" ht="15" hidden="false" customHeight="false" outlineLevel="0" collapsed="false">
      <c r="A170" s="8"/>
      <c r="B170" s="13"/>
      <c r="C170" s="10"/>
      <c r="D170" s="9"/>
      <c r="E170" s="9"/>
      <c r="F170" s="10"/>
      <c r="G170" s="14" t="n">
        <f aca="false">IF(C170="",0,IF(E170&gt;=D170,MAX(0,IF(F170="",0,F170-C170)),MAX(0,Properties!$B$2-C170)))</f>
        <v>0</v>
      </c>
      <c r="H170" s="15" t="n">
        <f aca="false">IF(C170="",0,MAX(0,D170-E170))</f>
        <v>0</v>
      </c>
      <c r="I170" s="3" t="str">
        <f aca="false">IF(C170="","",IF(H170&lt;=0,"Paid",IF(G170&gt;0,"Overdue","Due")))</f>
        <v/>
      </c>
      <c r="J170" s="8"/>
    </row>
    <row r="171" customFormat="false" ht="15" hidden="false" customHeight="false" outlineLevel="0" collapsed="false">
      <c r="A171" s="8"/>
      <c r="B171" s="13"/>
      <c r="C171" s="10"/>
      <c r="D171" s="9"/>
      <c r="E171" s="9"/>
      <c r="F171" s="10"/>
      <c r="G171" s="14" t="n">
        <f aca="false">IF(C171="",0,IF(E171&gt;=D171,MAX(0,IF(F171="",0,F171-C171)),MAX(0,Properties!$B$2-C171)))</f>
        <v>0</v>
      </c>
      <c r="H171" s="15" t="n">
        <f aca="false">IF(C171="",0,MAX(0,D171-E171))</f>
        <v>0</v>
      </c>
      <c r="I171" s="3" t="str">
        <f aca="false">IF(C171="","",IF(H171&lt;=0,"Paid",IF(G171&gt;0,"Overdue","Due")))</f>
        <v/>
      </c>
      <c r="J171" s="8"/>
    </row>
    <row r="172" customFormat="false" ht="15" hidden="false" customHeight="false" outlineLevel="0" collapsed="false">
      <c r="A172" s="8"/>
      <c r="B172" s="13"/>
      <c r="C172" s="10"/>
      <c r="D172" s="9"/>
      <c r="E172" s="9"/>
      <c r="F172" s="10"/>
      <c r="G172" s="14" t="n">
        <f aca="false">IF(C172="",0,IF(E172&gt;=D172,MAX(0,IF(F172="",0,F172-C172)),MAX(0,Properties!$B$2-C172)))</f>
        <v>0</v>
      </c>
      <c r="H172" s="15" t="n">
        <f aca="false">IF(C172="",0,MAX(0,D172-E172))</f>
        <v>0</v>
      </c>
      <c r="I172" s="3" t="str">
        <f aca="false">IF(C172="","",IF(H172&lt;=0,"Paid",IF(G172&gt;0,"Overdue","Due")))</f>
        <v/>
      </c>
      <c r="J172" s="8"/>
    </row>
    <row r="173" customFormat="false" ht="15" hidden="false" customHeight="false" outlineLevel="0" collapsed="false">
      <c r="A173" s="8"/>
      <c r="B173" s="13"/>
      <c r="C173" s="10"/>
      <c r="D173" s="9"/>
      <c r="E173" s="9"/>
      <c r="F173" s="10"/>
      <c r="G173" s="14" t="n">
        <f aca="false">IF(C173="",0,IF(E173&gt;=D173,MAX(0,IF(F173="",0,F173-C173)),MAX(0,Properties!$B$2-C173)))</f>
        <v>0</v>
      </c>
      <c r="H173" s="15" t="n">
        <f aca="false">IF(C173="",0,MAX(0,D173-E173))</f>
        <v>0</v>
      </c>
      <c r="I173" s="3" t="str">
        <f aca="false">IF(C173="","",IF(H173&lt;=0,"Paid",IF(G173&gt;0,"Overdue","Due")))</f>
        <v/>
      </c>
      <c r="J173" s="8"/>
    </row>
    <row r="174" customFormat="false" ht="15" hidden="false" customHeight="false" outlineLevel="0" collapsed="false">
      <c r="A174" s="8"/>
      <c r="B174" s="13"/>
      <c r="C174" s="10"/>
      <c r="D174" s="9"/>
      <c r="E174" s="9"/>
      <c r="F174" s="10"/>
      <c r="G174" s="14" t="n">
        <f aca="false">IF(C174="",0,IF(E174&gt;=D174,MAX(0,IF(F174="",0,F174-C174)),MAX(0,Properties!$B$2-C174)))</f>
        <v>0</v>
      </c>
      <c r="H174" s="15" t="n">
        <f aca="false">IF(C174="",0,MAX(0,D174-E174))</f>
        <v>0</v>
      </c>
      <c r="I174" s="3" t="str">
        <f aca="false">IF(C174="","",IF(H174&lt;=0,"Paid",IF(G174&gt;0,"Overdue","Due")))</f>
        <v/>
      </c>
      <c r="J174" s="8"/>
    </row>
    <row r="175" customFormat="false" ht="15" hidden="false" customHeight="false" outlineLevel="0" collapsed="false">
      <c r="A175" s="8"/>
      <c r="B175" s="13"/>
      <c r="C175" s="10"/>
      <c r="D175" s="9"/>
      <c r="E175" s="9"/>
      <c r="F175" s="10"/>
      <c r="G175" s="14" t="n">
        <f aca="false">IF(C175="",0,IF(E175&gt;=D175,MAX(0,IF(F175="",0,F175-C175)),MAX(0,Properties!$B$2-C175)))</f>
        <v>0</v>
      </c>
      <c r="H175" s="15" t="n">
        <f aca="false">IF(C175="",0,MAX(0,D175-E175))</f>
        <v>0</v>
      </c>
      <c r="I175" s="3" t="str">
        <f aca="false">IF(C175="","",IF(H175&lt;=0,"Paid",IF(G175&gt;0,"Overdue","Due")))</f>
        <v/>
      </c>
      <c r="J175" s="8"/>
    </row>
    <row r="176" customFormat="false" ht="15" hidden="false" customHeight="false" outlineLevel="0" collapsed="false">
      <c r="A176" s="8"/>
      <c r="B176" s="13"/>
      <c r="C176" s="10"/>
      <c r="D176" s="9"/>
      <c r="E176" s="9"/>
      <c r="F176" s="10"/>
      <c r="G176" s="14" t="n">
        <f aca="false">IF(C176="",0,IF(E176&gt;=D176,MAX(0,IF(F176="",0,F176-C176)),MAX(0,Properties!$B$2-C176)))</f>
        <v>0</v>
      </c>
      <c r="H176" s="15" t="n">
        <f aca="false">IF(C176="",0,MAX(0,D176-E176))</f>
        <v>0</v>
      </c>
      <c r="I176" s="3" t="str">
        <f aca="false">IF(C176="","",IF(H176&lt;=0,"Paid",IF(G176&gt;0,"Overdue","Due")))</f>
        <v/>
      </c>
      <c r="J176" s="8"/>
    </row>
    <row r="177" customFormat="false" ht="15" hidden="false" customHeight="false" outlineLevel="0" collapsed="false">
      <c r="A177" s="8"/>
      <c r="B177" s="13"/>
      <c r="C177" s="10"/>
      <c r="D177" s="9"/>
      <c r="E177" s="9"/>
      <c r="F177" s="10"/>
      <c r="G177" s="14" t="n">
        <f aca="false">IF(C177="",0,IF(E177&gt;=D177,MAX(0,IF(F177="",0,F177-C177)),MAX(0,Properties!$B$2-C177)))</f>
        <v>0</v>
      </c>
      <c r="H177" s="15" t="n">
        <f aca="false">IF(C177="",0,MAX(0,D177-E177))</f>
        <v>0</v>
      </c>
      <c r="I177" s="3" t="str">
        <f aca="false">IF(C177="","",IF(H177&lt;=0,"Paid",IF(G177&gt;0,"Overdue","Due")))</f>
        <v/>
      </c>
      <c r="J177" s="8"/>
    </row>
    <row r="178" customFormat="false" ht="15" hidden="false" customHeight="false" outlineLevel="0" collapsed="false">
      <c r="A178" s="8"/>
      <c r="B178" s="13"/>
      <c r="C178" s="10"/>
      <c r="D178" s="9"/>
      <c r="E178" s="9"/>
      <c r="F178" s="10"/>
      <c r="G178" s="14" t="n">
        <f aca="false">IF(C178="",0,IF(E178&gt;=D178,MAX(0,IF(F178="",0,F178-C178)),MAX(0,Properties!$B$2-C178)))</f>
        <v>0</v>
      </c>
      <c r="H178" s="15" t="n">
        <f aca="false">IF(C178="",0,MAX(0,D178-E178))</f>
        <v>0</v>
      </c>
      <c r="I178" s="3" t="str">
        <f aca="false">IF(C178="","",IF(H178&lt;=0,"Paid",IF(G178&gt;0,"Overdue","Due")))</f>
        <v/>
      </c>
      <c r="J178" s="8"/>
    </row>
    <row r="179" customFormat="false" ht="15" hidden="false" customHeight="false" outlineLevel="0" collapsed="false">
      <c r="A179" s="8"/>
      <c r="B179" s="13"/>
      <c r="C179" s="10"/>
      <c r="D179" s="9"/>
      <c r="E179" s="9"/>
      <c r="F179" s="10"/>
      <c r="G179" s="14" t="n">
        <f aca="false">IF(C179="",0,IF(E179&gt;=D179,MAX(0,IF(F179="",0,F179-C179)),MAX(0,Properties!$B$2-C179)))</f>
        <v>0</v>
      </c>
      <c r="H179" s="15" t="n">
        <f aca="false">IF(C179="",0,MAX(0,D179-E179))</f>
        <v>0</v>
      </c>
      <c r="I179" s="3" t="str">
        <f aca="false">IF(C179="","",IF(H179&lt;=0,"Paid",IF(G179&gt;0,"Overdue","Due")))</f>
        <v/>
      </c>
      <c r="J179" s="8"/>
    </row>
    <row r="180" customFormat="false" ht="15" hidden="false" customHeight="false" outlineLevel="0" collapsed="false">
      <c r="A180" s="8"/>
      <c r="B180" s="13"/>
      <c r="C180" s="10"/>
      <c r="D180" s="9"/>
      <c r="E180" s="9"/>
      <c r="F180" s="10"/>
      <c r="G180" s="14" t="n">
        <f aca="false">IF(C180="",0,IF(E180&gt;=D180,MAX(0,IF(F180="",0,F180-C180)),MAX(0,Properties!$B$2-C180)))</f>
        <v>0</v>
      </c>
      <c r="H180" s="15" t="n">
        <f aca="false">IF(C180="",0,MAX(0,D180-E180))</f>
        <v>0</v>
      </c>
      <c r="I180" s="3" t="str">
        <f aca="false">IF(C180="","",IF(H180&lt;=0,"Paid",IF(G180&gt;0,"Overdue","Due")))</f>
        <v/>
      </c>
      <c r="J180" s="8"/>
    </row>
    <row r="181" customFormat="false" ht="15" hidden="false" customHeight="false" outlineLevel="0" collapsed="false">
      <c r="A181" s="8"/>
      <c r="B181" s="13"/>
      <c r="C181" s="10"/>
      <c r="D181" s="9"/>
      <c r="E181" s="9"/>
      <c r="F181" s="10"/>
      <c r="G181" s="14" t="n">
        <f aca="false">IF(C181="",0,IF(E181&gt;=D181,MAX(0,IF(F181="",0,F181-C181)),MAX(0,Properties!$B$2-C181)))</f>
        <v>0</v>
      </c>
      <c r="H181" s="15" t="n">
        <f aca="false">IF(C181="",0,MAX(0,D181-E181))</f>
        <v>0</v>
      </c>
      <c r="I181" s="3" t="str">
        <f aca="false">IF(C181="","",IF(H181&lt;=0,"Paid",IF(G181&gt;0,"Overdue","Due")))</f>
        <v/>
      </c>
      <c r="J181" s="8"/>
    </row>
    <row r="182" customFormat="false" ht="15" hidden="false" customHeight="false" outlineLevel="0" collapsed="false">
      <c r="A182" s="8"/>
      <c r="B182" s="13"/>
      <c r="C182" s="10"/>
      <c r="D182" s="9"/>
      <c r="E182" s="9"/>
      <c r="F182" s="10"/>
      <c r="G182" s="14" t="n">
        <f aca="false">IF(C182="",0,IF(E182&gt;=D182,MAX(0,IF(F182="",0,F182-C182)),MAX(0,Properties!$B$2-C182)))</f>
        <v>0</v>
      </c>
      <c r="H182" s="15" t="n">
        <f aca="false">IF(C182="",0,MAX(0,D182-E182))</f>
        <v>0</v>
      </c>
      <c r="I182" s="3" t="str">
        <f aca="false">IF(C182="","",IF(H182&lt;=0,"Paid",IF(G182&gt;0,"Overdue","Due")))</f>
        <v/>
      </c>
      <c r="J182" s="8"/>
    </row>
    <row r="183" customFormat="false" ht="15" hidden="false" customHeight="false" outlineLevel="0" collapsed="false">
      <c r="A183" s="8"/>
      <c r="B183" s="13"/>
      <c r="C183" s="10"/>
      <c r="D183" s="9"/>
      <c r="E183" s="9"/>
      <c r="F183" s="10"/>
      <c r="G183" s="14" t="n">
        <f aca="false">IF(C183="",0,IF(E183&gt;=D183,MAX(0,IF(F183="",0,F183-C183)),MAX(0,Properties!$B$2-C183)))</f>
        <v>0</v>
      </c>
      <c r="H183" s="15" t="n">
        <f aca="false">IF(C183="",0,MAX(0,D183-E183))</f>
        <v>0</v>
      </c>
      <c r="I183" s="3" t="str">
        <f aca="false">IF(C183="","",IF(H183&lt;=0,"Paid",IF(G183&gt;0,"Overdue","Due")))</f>
        <v/>
      </c>
      <c r="J183" s="8"/>
    </row>
    <row r="184" customFormat="false" ht="15" hidden="false" customHeight="false" outlineLevel="0" collapsed="false">
      <c r="A184" s="8"/>
      <c r="B184" s="13"/>
      <c r="C184" s="10"/>
      <c r="D184" s="9"/>
      <c r="E184" s="9"/>
      <c r="F184" s="10"/>
      <c r="G184" s="14" t="n">
        <f aca="false">IF(C184="",0,IF(E184&gt;=D184,MAX(0,IF(F184="",0,F184-C184)),MAX(0,Properties!$B$2-C184)))</f>
        <v>0</v>
      </c>
      <c r="H184" s="15" t="n">
        <f aca="false">IF(C184="",0,MAX(0,D184-E184))</f>
        <v>0</v>
      </c>
      <c r="I184" s="3" t="str">
        <f aca="false">IF(C184="","",IF(H184&lt;=0,"Paid",IF(G184&gt;0,"Overdue","Due")))</f>
        <v/>
      </c>
      <c r="J184" s="8"/>
    </row>
    <row r="185" customFormat="false" ht="15" hidden="false" customHeight="false" outlineLevel="0" collapsed="false">
      <c r="A185" s="8"/>
      <c r="B185" s="13"/>
      <c r="C185" s="10"/>
      <c r="D185" s="9"/>
      <c r="E185" s="9"/>
      <c r="F185" s="10"/>
      <c r="G185" s="14" t="n">
        <f aca="false">IF(C185="",0,IF(E185&gt;=D185,MAX(0,IF(F185="",0,F185-C185)),MAX(0,Properties!$B$2-C185)))</f>
        <v>0</v>
      </c>
      <c r="H185" s="15" t="n">
        <f aca="false">IF(C185="",0,MAX(0,D185-E185))</f>
        <v>0</v>
      </c>
      <c r="I185" s="3" t="str">
        <f aca="false">IF(C185="","",IF(H185&lt;=0,"Paid",IF(G185&gt;0,"Overdue","Due")))</f>
        <v/>
      </c>
      <c r="J185" s="8"/>
    </row>
    <row r="186" customFormat="false" ht="15" hidden="false" customHeight="false" outlineLevel="0" collapsed="false">
      <c r="A186" s="8"/>
      <c r="B186" s="13"/>
      <c r="C186" s="10"/>
      <c r="D186" s="9"/>
      <c r="E186" s="9"/>
      <c r="F186" s="10"/>
      <c r="G186" s="14" t="n">
        <f aca="false">IF(C186="",0,IF(E186&gt;=D186,MAX(0,IF(F186="",0,F186-C186)),MAX(0,Properties!$B$2-C186)))</f>
        <v>0</v>
      </c>
      <c r="H186" s="15" t="n">
        <f aca="false">IF(C186="",0,MAX(0,D186-E186))</f>
        <v>0</v>
      </c>
      <c r="I186" s="3" t="str">
        <f aca="false">IF(C186="","",IF(H186&lt;=0,"Paid",IF(G186&gt;0,"Overdue","Due")))</f>
        <v/>
      </c>
      <c r="J186" s="8"/>
    </row>
    <row r="187" customFormat="false" ht="15" hidden="false" customHeight="false" outlineLevel="0" collapsed="false">
      <c r="A187" s="8"/>
      <c r="B187" s="13"/>
      <c r="C187" s="10"/>
      <c r="D187" s="9"/>
      <c r="E187" s="9"/>
      <c r="F187" s="10"/>
      <c r="G187" s="14" t="n">
        <f aca="false">IF(C187="",0,IF(E187&gt;=D187,MAX(0,IF(F187="",0,F187-C187)),MAX(0,Properties!$B$2-C187)))</f>
        <v>0</v>
      </c>
      <c r="H187" s="15" t="n">
        <f aca="false">IF(C187="",0,MAX(0,D187-E187))</f>
        <v>0</v>
      </c>
      <c r="I187" s="3" t="str">
        <f aca="false">IF(C187="","",IF(H187&lt;=0,"Paid",IF(G187&gt;0,"Overdue","Due")))</f>
        <v/>
      </c>
      <c r="J187" s="8"/>
    </row>
    <row r="188" customFormat="false" ht="15" hidden="false" customHeight="false" outlineLevel="0" collapsed="false">
      <c r="A188" s="8"/>
      <c r="B188" s="13"/>
      <c r="C188" s="10"/>
      <c r="D188" s="9"/>
      <c r="E188" s="9"/>
      <c r="F188" s="10"/>
      <c r="G188" s="14" t="n">
        <f aca="false">IF(C188="",0,IF(E188&gt;=D188,MAX(0,IF(F188="",0,F188-C188)),MAX(0,Properties!$B$2-C188)))</f>
        <v>0</v>
      </c>
      <c r="H188" s="15" t="n">
        <f aca="false">IF(C188="",0,MAX(0,D188-E188))</f>
        <v>0</v>
      </c>
      <c r="I188" s="3" t="str">
        <f aca="false">IF(C188="","",IF(H188&lt;=0,"Paid",IF(G188&gt;0,"Overdue","Due")))</f>
        <v/>
      </c>
      <c r="J188" s="8"/>
    </row>
    <row r="189" customFormat="false" ht="15" hidden="false" customHeight="false" outlineLevel="0" collapsed="false">
      <c r="A189" s="8"/>
      <c r="B189" s="13"/>
      <c r="C189" s="10"/>
      <c r="D189" s="9"/>
      <c r="E189" s="9"/>
      <c r="F189" s="10"/>
      <c r="G189" s="14" t="n">
        <f aca="false">IF(C189="",0,IF(E189&gt;=D189,MAX(0,IF(F189="",0,F189-C189)),MAX(0,Properties!$B$2-C189)))</f>
        <v>0</v>
      </c>
      <c r="H189" s="15" t="n">
        <f aca="false">IF(C189="",0,MAX(0,D189-E189))</f>
        <v>0</v>
      </c>
      <c r="I189" s="3" t="str">
        <f aca="false">IF(C189="","",IF(H189&lt;=0,"Paid",IF(G189&gt;0,"Overdue","Due")))</f>
        <v/>
      </c>
      <c r="J189" s="8"/>
    </row>
    <row r="190" customFormat="false" ht="15" hidden="false" customHeight="false" outlineLevel="0" collapsed="false">
      <c r="A190" s="8"/>
      <c r="B190" s="13"/>
      <c r="C190" s="10"/>
      <c r="D190" s="9"/>
      <c r="E190" s="9"/>
      <c r="F190" s="10"/>
      <c r="G190" s="14" t="n">
        <f aca="false">IF(C190="",0,IF(E190&gt;=D190,MAX(0,IF(F190="",0,F190-C190)),MAX(0,Properties!$B$2-C190)))</f>
        <v>0</v>
      </c>
      <c r="H190" s="15" t="n">
        <f aca="false">IF(C190="",0,MAX(0,D190-E190))</f>
        <v>0</v>
      </c>
      <c r="I190" s="3" t="str">
        <f aca="false">IF(C190="","",IF(H190&lt;=0,"Paid",IF(G190&gt;0,"Overdue","Due")))</f>
        <v/>
      </c>
      <c r="J190" s="8"/>
    </row>
    <row r="191" customFormat="false" ht="15" hidden="false" customHeight="false" outlineLevel="0" collapsed="false">
      <c r="A191" s="8"/>
      <c r="B191" s="13"/>
      <c r="C191" s="10"/>
      <c r="D191" s="9"/>
      <c r="E191" s="9"/>
      <c r="F191" s="10"/>
      <c r="G191" s="14" t="n">
        <f aca="false">IF(C191="",0,IF(E191&gt;=D191,MAX(0,IF(F191="",0,F191-C191)),MAX(0,Properties!$B$2-C191)))</f>
        <v>0</v>
      </c>
      <c r="H191" s="15" t="n">
        <f aca="false">IF(C191="",0,MAX(0,D191-E191))</f>
        <v>0</v>
      </c>
      <c r="I191" s="3" t="str">
        <f aca="false">IF(C191="","",IF(H191&lt;=0,"Paid",IF(G191&gt;0,"Overdue","Due")))</f>
        <v/>
      </c>
      <c r="J191" s="8"/>
    </row>
    <row r="192" customFormat="false" ht="15" hidden="false" customHeight="false" outlineLevel="0" collapsed="false">
      <c r="A192" s="8"/>
      <c r="B192" s="13"/>
      <c r="C192" s="10"/>
      <c r="D192" s="9"/>
      <c r="E192" s="9"/>
      <c r="F192" s="10"/>
      <c r="G192" s="14" t="n">
        <f aca="false">IF(C192="",0,IF(E192&gt;=D192,MAX(0,IF(F192="",0,F192-C192)),MAX(0,Properties!$B$2-C192)))</f>
        <v>0</v>
      </c>
      <c r="H192" s="15" t="n">
        <f aca="false">IF(C192="",0,MAX(0,D192-E192))</f>
        <v>0</v>
      </c>
      <c r="I192" s="3" t="str">
        <f aca="false">IF(C192="","",IF(H192&lt;=0,"Paid",IF(G192&gt;0,"Overdue","Due")))</f>
        <v/>
      </c>
      <c r="J192" s="8"/>
    </row>
    <row r="193" customFormat="false" ht="15" hidden="false" customHeight="false" outlineLevel="0" collapsed="false">
      <c r="A193" s="8"/>
      <c r="B193" s="13"/>
      <c r="C193" s="10"/>
      <c r="D193" s="9"/>
      <c r="E193" s="9"/>
      <c r="F193" s="10"/>
      <c r="G193" s="14" t="n">
        <f aca="false">IF(C193="",0,IF(E193&gt;=D193,MAX(0,IF(F193="",0,F193-C193)),MAX(0,Properties!$B$2-C193)))</f>
        <v>0</v>
      </c>
      <c r="H193" s="15" t="n">
        <f aca="false">IF(C193="",0,MAX(0,D193-E193))</f>
        <v>0</v>
      </c>
      <c r="I193" s="3" t="str">
        <f aca="false">IF(C193="","",IF(H193&lt;=0,"Paid",IF(G193&gt;0,"Overdue","Due")))</f>
        <v/>
      </c>
      <c r="J193" s="8"/>
    </row>
    <row r="194" customFormat="false" ht="15" hidden="false" customHeight="false" outlineLevel="0" collapsed="false">
      <c r="A194" s="8"/>
      <c r="B194" s="13"/>
      <c r="C194" s="10"/>
      <c r="D194" s="9"/>
      <c r="E194" s="9"/>
      <c r="F194" s="10"/>
      <c r="G194" s="14" t="n">
        <f aca="false">IF(C194="",0,IF(E194&gt;=D194,MAX(0,IF(F194="",0,F194-C194)),MAX(0,Properties!$B$2-C194)))</f>
        <v>0</v>
      </c>
      <c r="H194" s="15" t="n">
        <f aca="false">IF(C194="",0,MAX(0,D194-E194))</f>
        <v>0</v>
      </c>
      <c r="I194" s="3" t="str">
        <f aca="false">IF(C194="","",IF(H194&lt;=0,"Paid",IF(G194&gt;0,"Overdue","Due")))</f>
        <v/>
      </c>
      <c r="J194" s="8"/>
    </row>
    <row r="195" customFormat="false" ht="15" hidden="false" customHeight="false" outlineLevel="0" collapsed="false">
      <c r="A195" s="8"/>
      <c r="B195" s="13"/>
      <c r="C195" s="10"/>
      <c r="D195" s="9"/>
      <c r="E195" s="9"/>
      <c r="F195" s="10"/>
      <c r="G195" s="14" t="n">
        <f aca="false">IF(C195="",0,IF(E195&gt;=D195,MAX(0,IF(F195="",0,F195-C195)),MAX(0,Properties!$B$2-C195)))</f>
        <v>0</v>
      </c>
      <c r="H195" s="15" t="n">
        <f aca="false">IF(C195="",0,MAX(0,D195-E195))</f>
        <v>0</v>
      </c>
      <c r="I195" s="3" t="str">
        <f aca="false">IF(C195="","",IF(H195&lt;=0,"Paid",IF(G195&gt;0,"Overdue","Due")))</f>
        <v/>
      </c>
      <c r="J195" s="8"/>
    </row>
    <row r="196" customFormat="false" ht="15" hidden="false" customHeight="false" outlineLevel="0" collapsed="false">
      <c r="A196" s="8"/>
      <c r="B196" s="13"/>
      <c r="C196" s="10"/>
      <c r="D196" s="9"/>
      <c r="E196" s="9"/>
      <c r="F196" s="10"/>
      <c r="G196" s="14" t="n">
        <f aca="false">IF(C196="",0,IF(E196&gt;=D196,MAX(0,IF(F196="",0,F196-C196)),MAX(0,Properties!$B$2-C196)))</f>
        <v>0</v>
      </c>
      <c r="H196" s="15" t="n">
        <f aca="false">IF(C196="",0,MAX(0,D196-E196))</f>
        <v>0</v>
      </c>
      <c r="I196" s="3" t="str">
        <f aca="false">IF(C196="","",IF(H196&lt;=0,"Paid",IF(G196&gt;0,"Overdue","Due")))</f>
        <v/>
      </c>
      <c r="J196" s="8"/>
    </row>
    <row r="197" customFormat="false" ht="15" hidden="false" customHeight="false" outlineLevel="0" collapsed="false">
      <c r="A197" s="8"/>
      <c r="B197" s="13"/>
      <c r="C197" s="10"/>
      <c r="D197" s="9"/>
      <c r="E197" s="9"/>
      <c r="F197" s="10"/>
      <c r="G197" s="14" t="n">
        <f aca="false">IF(C197="",0,IF(E197&gt;=D197,MAX(0,IF(F197="",0,F197-C197)),MAX(0,Properties!$B$2-C197)))</f>
        <v>0</v>
      </c>
      <c r="H197" s="15" t="n">
        <f aca="false">IF(C197="",0,MAX(0,D197-E197))</f>
        <v>0</v>
      </c>
      <c r="I197" s="3" t="str">
        <f aca="false">IF(C197="","",IF(H197&lt;=0,"Paid",IF(G197&gt;0,"Overdue","Due")))</f>
        <v/>
      </c>
      <c r="J197" s="8"/>
    </row>
    <row r="198" customFormat="false" ht="15" hidden="false" customHeight="false" outlineLevel="0" collapsed="false">
      <c r="A198" s="8"/>
      <c r="B198" s="13"/>
      <c r="C198" s="10"/>
      <c r="D198" s="9"/>
      <c r="E198" s="9"/>
      <c r="F198" s="10"/>
      <c r="G198" s="14" t="n">
        <f aca="false">IF(C198="",0,IF(E198&gt;=D198,MAX(0,IF(F198="",0,F198-C198)),MAX(0,Properties!$B$2-C198)))</f>
        <v>0</v>
      </c>
      <c r="H198" s="15" t="n">
        <f aca="false">IF(C198="",0,MAX(0,D198-E198))</f>
        <v>0</v>
      </c>
      <c r="I198" s="3" t="str">
        <f aca="false">IF(C198="","",IF(H198&lt;=0,"Paid",IF(G198&gt;0,"Overdue","Due")))</f>
        <v/>
      </c>
      <c r="J198" s="8"/>
    </row>
    <row r="199" customFormat="false" ht="15" hidden="false" customHeight="false" outlineLevel="0" collapsed="false">
      <c r="A199" s="8"/>
      <c r="B199" s="13"/>
      <c r="C199" s="10"/>
      <c r="D199" s="9"/>
      <c r="E199" s="9"/>
      <c r="F199" s="10"/>
      <c r="G199" s="14" t="n">
        <f aca="false">IF(C199="",0,IF(E199&gt;=D199,MAX(0,IF(F199="",0,F199-C199)),MAX(0,Properties!$B$2-C199)))</f>
        <v>0</v>
      </c>
      <c r="H199" s="15" t="n">
        <f aca="false">IF(C199="",0,MAX(0,D199-E199))</f>
        <v>0</v>
      </c>
      <c r="I199" s="3" t="str">
        <f aca="false">IF(C199="","",IF(H199&lt;=0,"Paid",IF(G199&gt;0,"Overdue","Due")))</f>
        <v/>
      </c>
      <c r="J199" s="8"/>
    </row>
    <row r="200" customFormat="false" ht="15" hidden="false" customHeight="false" outlineLevel="0" collapsed="false">
      <c r="A200" s="8"/>
      <c r="B200" s="13"/>
      <c r="C200" s="10"/>
      <c r="D200" s="9"/>
      <c r="E200" s="9"/>
      <c r="F200" s="10"/>
      <c r="G200" s="14" t="n">
        <f aca="false">IF(C200="",0,IF(E200&gt;=D200,MAX(0,IF(F200="",0,F200-C200)),MAX(0,Properties!$B$2-C200)))</f>
        <v>0</v>
      </c>
      <c r="H200" s="15" t="n">
        <f aca="false">IF(C200="",0,MAX(0,D200-E200))</f>
        <v>0</v>
      </c>
      <c r="I200" s="3" t="str">
        <f aca="false">IF(C200="","",IF(H200&lt;=0,"Paid",IF(G200&gt;0,"Overdue","Due")))</f>
        <v/>
      </c>
      <c r="J200" s="8"/>
    </row>
    <row r="201" customFormat="false" ht="15" hidden="false" customHeight="false" outlineLevel="0" collapsed="false">
      <c r="A201" s="8"/>
      <c r="B201" s="13"/>
      <c r="C201" s="10"/>
      <c r="D201" s="9"/>
      <c r="E201" s="9"/>
      <c r="F201" s="10"/>
      <c r="G201" s="14" t="n">
        <f aca="false">IF(C201="",0,IF(E201&gt;=D201,MAX(0,IF(F201="",0,F201-C201)),MAX(0,Properties!$B$2-C201)))</f>
        <v>0</v>
      </c>
      <c r="H201" s="15" t="n">
        <f aca="false">IF(C201="",0,MAX(0,D201-E201))</f>
        <v>0</v>
      </c>
      <c r="I201" s="3" t="str">
        <f aca="false">IF(C201="","",IF(H201&lt;=0,"Paid",IF(G201&gt;0,"Overdue","Due")))</f>
        <v/>
      </c>
      <c r="J201" s="8"/>
    </row>
    <row r="202" customFormat="false" ht="15" hidden="false" customHeight="false" outlineLevel="0" collapsed="false">
      <c r="A202" s="8"/>
      <c r="B202" s="13"/>
      <c r="C202" s="10"/>
      <c r="D202" s="9"/>
      <c r="E202" s="9"/>
      <c r="F202" s="10"/>
      <c r="G202" s="14" t="n">
        <f aca="false">IF(C202="",0,IF(E202&gt;=D202,MAX(0,IF(F202="",0,F202-C202)),MAX(0,Properties!$B$2-C202)))</f>
        <v>0</v>
      </c>
      <c r="H202" s="15" t="n">
        <f aca="false">IF(C202="",0,MAX(0,D202-E202))</f>
        <v>0</v>
      </c>
      <c r="I202" s="3" t="str">
        <f aca="false">IF(C202="","",IF(H202&lt;=0,"Paid",IF(G202&gt;0,"Overdue","Due")))</f>
        <v/>
      </c>
      <c r="J202" s="8"/>
    </row>
    <row r="203" customFormat="false" ht="15" hidden="false" customHeight="false" outlineLevel="0" collapsed="false">
      <c r="A203" s="8"/>
      <c r="B203" s="13"/>
      <c r="C203" s="10"/>
      <c r="D203" s="9"/>
      <c r="E203" s="9"/>
      <c r="F203" s="10"/>
      <c r="G203" s="14" t="n">
        <f aca="false">IF(C203="",0,IF(E203&gt;=D203,MAX(0,IF(F203="",0,F203-C203)),MAX(0,Properties!$B$2-C203)))</f>
        <v>0</v>
      </c>
      <c r="H203" s="15" t="n">
        <f aca="false">IF(C203="",0,MAX(0,D203-E203))</f>
        <v>0</v>
      </c>
      <c r="I203" s="3" t="str">
        <f aca="false">IF(C203="","",IF(H203&lt;=0,"Paid",IF(G203&gt;0,"Overdue","Due")))</f>
        <v/>
      </c>
      <c r="J203" s="8"/>
    </row>
    <row r="204" customFormat="false" ht="15" hidden="false" customHeight="false" outlineLevel="0" collapsed="false">
      <c r="A204" s="8"/>
      <c r="B204" s="13"/>
      <c r="C204" s="10"/>
      <c r="D204" s="9"/>
      <c r="E204" s="9"/>
      <c r="F204" s="10"/>
      <c r="G204" s="14" t="n">
        <f aca="false">IF(C204="",0,IF(E204&gt;=D204,MAX(0,IF(F204="",0,F204-C204)),MAX(0,Properties!$B$2-C204)))</f>
        <v>0</v>
      </c>
      <c r="H204" s="15" t="n">
        <f aca="false">IF(C204="",0,MAX(0,D204-E204))</f>
        <v>0</v>
      </c>
      <c r="I204" s="3" t="str">
        <f aca="false">IF(C204="","",IF(H204&lt;=0,"Paid",IF(G204&gt;0,"Overdue","Due")))</f>
        <v/>
      </c>
      <c r="J204" s="8"/>
    </row>
    <row r="205" customFormat="false" ht="15" hidden="false" customHeight="false" outlineLevel="0" collapsed="false">
      <c r="A205" s="8"/>
      <c r="B205" s="13"/>
      <c r="C205" s="10"/>
      <c r="D205" s="9"/>
      <c r="E205" s="9"/>
      <c r="F205" s="10"/>
      <c r="G205" s="14" t="n">
        <f aca="false">IF(C205="",0,IF(E205&gt;=D205,MAX(0,IF(F205="",0,F205-C205)),MAX(0,Properties!$B$2-C205)))</f>
        <v>0</v>
      </c>
      <c r="H205" s="15" t="n">
        <f aca="false">IF(C205="",0,MAX(0,D205-E205))</f>
        <v>0</v>
      </c>
      <c r="I205" s="3" t="str">
        <f aca="false">IF(C205="","",IF(H205&lt;=0,"Paid",IF(G205&gt;0,"Overdue","Due")))</f>
        <v/>
      </c>
      <c r="J205" s="8"/>
    </row>
    <row r="206" customFormat="false" ht="15" hidden="false" customHeight="false" outlineLevel="0" collapsed="false">
      <c r="A206" s="8"/>
      <c r="B206" s="13"/>
      <c r="C206" s="10"/>
      <c r="D206" s="9"/>
      <c r="E206" s="9"/>
      <c r="F206" s="10"/>
      <c r="G206" s="14" t="n">
        <f aca="false">IF(C206="",0,IF(E206&gt;=D206,MAX(0,IF(F206="",0,F206-C206)),MAX(0,Properties!$B$2-C206)))</f>
        <v>0</v>
      </c>
      <c r="H206" s="15" t="n">
        <f aca="false">IF(C206="",0,MAX(0,D206-E206))</f>
        <v>0</v>
      </c>
      <c r="I206" s="3" t="str">
        <f aca="false">IF(C206="","",IF(H206&lt;=0,"Paid",IF(G206&gt;0,"Overdue","Due")))</f>
        <v/>
      </c>
      <c r="J206" s="8"/>
    </row>
    <row r="207" customFormat="false" ht="15" hidden="false" customHeight="false" outlineLevel="0" collapsed="false">
      <c r="A207" s="8"/>
      <c r="B207" s="13"/>
      <c r="C207" s="10"/>
      <c r="D207" s="9"/>
      <c r="E207" s="9"/>
      <c r="F207" s="10"/>
      <c r="G207" s="14" t="n">
        <f aca="false">IF(C207="",0,IF(E207&gt;=D207,MAX(0,IF(F207="",0,F207-C207)),MAX(0,Properties!$B$2-C207)))</f>
        <v>0</v>
      </c>
      <c r="H207" s="15" t="n">
        <f aca="false">IF(C207="",0,MAX(0,D207-E207))</f>
        <v>0</v>
      </c>
      <c r="I207" s="3" t="str">
        <f aca="false">IF(C207="","",IF(H207&lt;=0,"Paid",IF(G207&gt;0,"Overdue","Due")))</f>
        <v/>
      </c>
      <c r="J207" s="8"/>
    </row>
    <row r="208" customFormat="false" ht="15" hidden="false" customHeight="false" outlineLevel="0" collapsed="false">
      <c r="A208" s="8"/>
      <c r="B208" s="13"/>
      <c r="C208" s="10"/>
      <c r="D208" s="9"/>
      <c r="E208" s="9"/>
      <c r="F208" s="10"/>
      <c r="G208" s="14" t="n">
        <f aca="false">IF(C208="",0,IF(E208&gt;=D208,MAX(0,IF(F208="",0,F208-C208)),MAX(0,Properties!$B$2-C208)))</f>
        <v>0</v>
      </c>
      <c r="H208" s="15" t="n">
        <f aca="false">IF(C208="",0,MAX(0,D208-E208))</f>
        <v>0</v>
      </c>
      <c r="I208" s="3" t="str">
        <f aca="false">IF(C208="","",IF(H208&lt;=0,"Paid",IF(G208&gt;0,"Overdue","Due")))</f>
        <v/>
      </c>
      <c r="J208" s="8"/>
    </row>
    <row r="209" customFormat="false" ht="15" hidden="false" customHeight="false" outlineLevel="0" collapsed="false">
      <c r="A209" s="8"/>
      <c r="B209" s="13"/>
      <c r="C209" s="10"/>
      <c r="D209" s="9"/>
      <c r="E209" s="9"/>
      <c r="F209" s="10"/>
      <c r="G209" s="14" t="n">
        <f aca="false">IF(C209="",0,IF(E209&gt;=D209,MAX(0,IF(F209="",0,F209-C209)),MAX(0,Properties!$B$2-C209)))</f>
        <v>0</v>
      </c>
      <c r="H209" s="15" t="n">
        <f aca="false">IF(C209="",0,MAX(0,D209-E209))</f>
        <v>0</v>
      </c>
      <c r="I209" s="3" t="str">
        <f aca="false">IF(C209="","",IF(H209&lt;=0,"Paid",IF(G209&gt;0,"Overdue","Due")))</f>
        <v/>
      </c>
      <c r="J209" s="8"/>
    </row>
    <row r="210" customFormat="false" ht="15" hidden="false" customHeight="false" outlineLevel="0" collapsed="false">
      <c r="A210" s="8"/>
      <c r="B210" s="13"/>
      <c r="C210" s="10"/>
      <c r="D210" s="9"/>
      <c r="E210" s="9"/>
      <c r="F210" s="10"/>
      <c r="G210" s="14" t="n">
        <f aca="false">IF(C210="",0,IF(E210&gt;=D210,MAX(0,IF(F210="",0,F210-C210)),MAX(0,Properties!$B$2-C210)))</f>
        <v>0</v>
      </c>
      <c r="H210" s="15" t="n">
        <f aca="false">IF(C210="",0,MAX(0,D210-E210))</f>
        <v>0</v>
      </c>
      <c r="I210" s="3" t="str">
        <f aca="false">IF(C210="","",IF(H210&lt;=0,"Paid",IF(G210&gt;0,"Overdue","Due")))</f>
        <v/>
      </c>
      <c r="J210" s="8"/>
    </row>
    <row r="211" customFormat="false" ht="15" hidden="false" customHeight="false" outlineLevel="0" collapsed="false">
      <c r="A211" s="8"/>
      <c r="B211" s="13"/>
      <c r="C211" s="10"/>
      <c r="D211" s="9"/>
      <c r="E211" s="9"/>
      <c r="F211" s="10"/>
      <c r="G211" s="14" t="n">
        <f aca="false">IF(C211="",0,IF(E211&gt;=D211,MAX(0,IF(F211="",0,F211-C211)),MAX(0,Properties!$B$2-C211)))</f>
        <v>0</v>
      </c>
      <c r="H211" s="15" t="n">
        <f aca="false">IF(C211="",0,MAX(0,D211-E211))</f>
        <v>0</v>
      </c>
      <c r="I211" s="3" t="str">
        <f aca="false">IF(C211="","",IF(H211&lt;=0,"Paid",IF(G211&gt;0,"Overdue","Due")))</f>
        <v/>
      </c>
      <c r="J211" s="8"/>
    </row>
    <row r="212" customFormat="false" ht="15" hidden="false" customHeight="false" outlineLevel="0" collapsed="false">
      <c r="A212" s="8"/>
      <c r="B212" s="13"/>
      <c r="C212" s="10"/>
      <c r="D212" s="9"/>
      <c r="E212" s="9"/>
      <c r="F212" s="10"/>
      <c r="G212" s="14" t="n">
        <f aca="false">IF(C212="",0,IF(E212&gt;=D212,MAX(0,IF(F212="",0,F212-C212)),MAX(0,Properties!$B$2-C212)))</f>
        <v>0</v>
      </c>
      <c r="H212" s="15" t="n">
        <f aca="false">IF(C212="",0,MAX(0,D212-E212))</f>
        <v>0</v>
      </c>
      <c r="I212" s="3" t="str">
        <f aca="false">IF(C212="","",IF(H212&lt;=0,"Paid",IF(G212&gt;0,"Overdue","Due")))</f>
        <v/>
      </c>
      <c r="J212" s="8"/>
    </row>
    <row r="213" customFormat="false" ht="15" hidden="false" customHeight="false" outlineLevel="0" collapsed="false">
      <c r="A213" s="8"/>
      <c r="B213" s="13"/>
      <c r="C213" s="10"/>
      <c r="D213" s="9"/>
      <c r="E213" s="9"/>
      <c r="F213" s="10"/>
      <c r="G213" s="14" t="n">
        <f aca="false">IF(C213="",0,IF(E213&gt;=D213,MAX(0,IF(F213="",0,F213-C213)),MAX(0,Properties!$B$2-C213)))</f>
        <v>0</v>
      </c>
      <c r="H213" s="15" t="n">
        <f aca="false">IF(C213="",0,MAX(0,D213-E213))</f>
        <v>0</v>
      </c>
      <c r="I213" s="3" t="str">
        <f aca="false">IF(C213="","",IF(H213&lt;=0,"Paid",IF(G213&gt;0,"Overdue","Due")))</f>
        <v/>
      </c>
      <c r="J213" s="8"/>
    </row>
    <row r="214" customFormat="false" ht="15" hidden="false" customHeight="false" outlineLevel="0" collapsed="false">
      <c r="A214" s="8"/>
      <c r="B214" s="13"/>
      <c r="C214" s="10"/>
      <c r="D214" s="9"/>
      <c r="E214" s="9"/>
      <c r="F214" s="10"/>
      <c r="G214" s="14" t="n">
        <f aca="false">IF(C214="",0,IF(E214&gt;=D214,MAX(0,IF(F214="",0,F214-C214)),MAX(0,Properties!$B$2-C214)))</f>
        <v>0</v>
      </c>
      <c r="H214" s="15" t="n">
        <f aca="false">IF(C214="",0,MAX(0,D214-E214))</f>
        <v>0</v>
      </c>
      <c r="I214" s="3" t="str">
        <f aca="false">IF(C214="","",IF(H214&lt;=0,"Paid",IF(G214&gt;0,"Overdue","Due")))</f>
        <v/>
      </c>
      <c r="J214" s="8"/>
    </row>
    <row r="215" customFormat="false" ht="15" hidden="false" customHeight="false" outlineLevel="0" collapsed="false">
      <c r="A215" s="8"/>
      <c r="B215" s="13"/>
      <c r="C215" s="10"/>
      <c r="D215" s="9"/>
      <c r="E215" s="9"/>
      <c r="F215" s="10"/>
      <c r="G215" s="14" t="n">
        <f aca="false">IF(C215="",0,IF(E215&gt;=D215,MAX(0,IF(F215="",0,F215-C215)),MAX(0,Properties!$B$2-C215)))</f>
        <v>0</v>
      </c>
      <c r="H215" s="15" t="n">
        <f aca="false">IF(C215="",0,MAX(0,D215-E215))</f>
        <v>0</v>
      </c>
      <c r="I215" s="3" t="str">
        <f aca="false">IF(C215="","",IF(H215&lt;=0,"Paid",IF(G215&gt;0,"Overdue","Due")))</f>
        <v/>
      </c>
      <c r="J215" s="8"/>
    </row>
    <row r="216" customFormat="false" ht="15" hidden="false" customHeight="false" outlineLevel="0" collapsed="false">
      <c r="A216" s="8"/>
      <c r="B216" s="13"/>
      <c r="C216" s="10"/>
      <c r="D216" s="9"/>
      <c r="E216" s="9"/>
      <c r="F216" s="10"/>
      <c r="G216" s="14" t="n">
        <f aca="false">IF(C216="",0,IF(E216&gt;=D216,MAX(0,IF(F216="",0,F216-C216)),MAX(0,Properties!$B$2-C216)))</f>
        <v>0</v>
      </c>
      <c r="H216" s="15" t="n">
        <f aca="false">IF(C216="",0,MAX(0,D216-E216))</f>
        <v>0</v>
      </c>
      <c r="I216" s="3" t="str">
        <f aca="false">IF(C216="","",IF(H216&lt;=0,"Paid",IF(G216&gt;0,"Overdue","Due")))</f>
        <v/>
      </c>
      <c r="J216" s="8"/>
    </row>
    <row r="217" customFormat="false" ht="15" hidden="false" customHeight="false" outlineLevel="0" collapsed="false">
      <c r="A217" s="8"/>
      <c r="B217" s="13"/>
      <c r="C217" s="10"/>
      <c r="D217" s="9"/>
      <c r="E217" s="9"/>
      <c r="F217" s="10"/>
      <c r="G217" s="14" t="n">
        <f aca="false">IF(C217="",0,IF(E217&gt;=D217,MAX(0,IF(F217="",0,F217-C217)),MAX(0,Properties!$B$2-C217)))</f>
        <v>0</v>
      </c>
      <c r="H217" s="15" t="n">
        <f aca="false">IF(C217="",0,MAX(0,D217-E217))</f>
        <v>0</v>
      </c>
      <c r="I217" s="3" t="str">
        <f aca="false">IF(C217="","",IF(H217&lt;=0,"Paid",IF(G217&gt;0,"Overdue","Due")))</f>
        <v/>
      </c>
      <c r="J217" s="8"/>
    </row>
    <row r="218" customFormat="false" ht="15" hidden="false" customHeight="false" outlineLevel="0" collapsed="false">
      <c r="A218" s="8"/>
      <c r="B218" s="13"/>
      <c r="C218" s="10"/>
      <c r="D218" s="9"/>
      <c r="E218" s="9"/>
      <c r="F218" s="10"/>
      <c r="G218" s="14" t="n">
        <f aca="false">IF(C218="",0,IF(E218&gt;=D218,MAX(0,IF(F218="",0,F218-C218)),MAX(0,Properties!$B$2-C218)))</f>
        <v>0</v>
      </c>
      <c r="H218" s="15" t="n">
        <f aca="false">IF(C218="",0,MAX(0,D218-E218))</f>
        <v>0</v>
      </c>
      <c r="I218" s="3" t="str">
        <f aca="false">IF(C218="","",IF(H218&lt;=0,"Paid",IF(G218&gt;0,"Overdue","Due")))</f>
        <v/>
      </c>
      <c r="J218" s="8"/>
    </row>
    <row r="219" customFormat="false" ht="15" hidden="false" customHeight="false" outlineLevel="0" collapsed="false">
      <c r="A219" s="8"/>
      <c r="B219" s="13"/>
      <c r="C219" s="10"/>
      <c r="D219" s="9"/>
      <c r="E219" s="9"/>
      <c r="F219" s="10"/>
      <c r="G219" s="14" t="n">
        <f aca="false">IF(C219="",0,IF(E219&gt;=D219,MAX(0,IF(F219="",0,F219-C219)),MAX(0,Properties!$B$2-C219)))</f>
        <v>0</v>
      </c>
      <c r="H219" s="15" t="n">
        <f aca="false">IF(C219="",0,MAX(0,D219-E219))</f>
        <v>0</v>
      </c>
      <c r="I219" s="3" t="str">
        <f aca="false">IF(C219="","",IF(H219&lt;=0,"Paid",IF(G219&gt;0,"Overdue","Due")))</f>
        <v/>
      </c>
      <c r="J219" s="8"/>
    </row>
    <row r="220" customFormat="false" ht="15" hidden="false" customHeight="false" outlineLevel="0" collapsed="false">
      <c r="A220" s="8"/>
      <c r="B220" s="13"/>
      <c r="C220" s="10"/>
      <c r="D220" s="9"/>
      <c r="E220" s="9"/>
      <c r="F220" s="10"/>
      <c r="G220" s="14" t="n">
        <f aca="false">IF(C220="",0,IF(E220&gt;=D220,MAX(0,IF(F220="",0,F220-C220)),MAX(0,Properties!$B$2-C220)))</f>
        <v>0</v>
      </c>
      <c r="H220" s="15" t="n">
        <f aca="false">IF(C220="",0,MAX(0,D220-E220))</f>
        <v>0</v>
      </c>
      <c r="I220" s="3" t="str">
        <f aca="false">IF(C220="","",IF(H220&lt;=0,"Paid",IF(G220&gt;0,"Overdue","Due")))</f>
        <v/>
      </c>
      <c r="J220" s="8"/>
    </row>
    <row r="221" customFormat="false" ht="15" hidden="false" customHeight="false" outlineLevel="0" collapsed="false">
      <c r="A221" s="8"/>
      <c r="B221" s="13"/>
      <c r="C221" s="10"/>
      <c r="D221" s="9"/>
      <c r="E221" s="9"/>
      <c r="F221" s="10"/>
      <c r="G221" s="14" t="n">
        <f aca="false">IF(C221="",0,IF(E221&gt;=D221,MAX(0,IF(F221="",0,F221-C221)),MAX(0,Properties!$B$2-C221)))</f>
        <v>0</v>
      </c>
      <c r="H221" s="15" t="n">
        <f aca="false">IF(C221="",0,MAX(0,D221-E221))</f>
        <v>0</v>
      </c>
      <c r="I221" s="3" t="str">
        <f aca="false">IF(C221="","",IF(H221&lt;=0,"Paid",IF(G221&gt;0,"Overdue","Due")))</f>
        <v/>
      </c>
      <c r="J221" s="8"/>
    </row>
    <row r="222" customFormat="false" ht="15" hidden="false" customHeight="false" outlineLevel="0" collapsed="false">
      <c r="A222" s="8"/>
      <c r="B222" s="13"/>
      <c r="C222" s="10"/>
      <c r="D222" s="9"/>
      <c r="E222" s="9"/>
      <c r="F222" s="10"/>
      <c r="G222" s="14" t="n">
        <f aca="false">IF(C222="",0,IF(E222&gt;=D222,MAX(0,IF(F222="",0,F222-C222)),MAX(0,Properties!$B$2-C222)))</f>
        <v>0</v>
      </c>
      <c r="H222" s="15" t="n">
        <f aca="false">IF(C222="",0,MAX(0,D222-E222))</f>
        <v>0</v>
      </c>
      <c r="I222" s="3" t="str">
        <f aca="false">IF(C222="","",IF(H222&lt;=0,"Paid",IF(G222&gt;0,"Overdue","Due")))</f>
        <v/>
      </c>
      <c r="J222" s="8"/>
    </row>
    <row r="223" customFormat="false" ht="15" hidden="false" customHeight="false" outlineLevel="0" collapsed="false">
      <c r="A223" s="8"/>
      <c r="B223" s="13"/>
      <c r="C223" s="10"/>
      <c r="D223" s="9"/>
      <c r="E223" s="9"/>
      <c r="F223" s="10"/>
      <c r="G223" s="14" t="n">
        <f aca="false">IF(C223="",0,IF(E223&gt;=D223,MAX(0,IF(F223="",0,F223-C223)),MAX(0,Properties!$B$2-C223)))</f>
        <v>0</v>
      </c>
      <c r="H223" s="15" t="n">
        <f aca="false">IF(C223="",0,MAX(0,D223-E223))</f>
        <v>0</v>
      </c>
      <c r="I223" s="3" t="str">
        <f aca="false">IF(C223="","",IF(H223&lt;=0,"Paid",IF(G223&gt;0,"Overdue","Due")))</f>
        <v/>
      </c>
      <c r="J223" s="8"/>
    </row>
    <row r="224" customFormat="false" ht="15" hidden="false" customHeight="false" outlineLevel="0" collapsed="false">
      <c r="A224" s="8"/>
      <c r="B224" s="13"/>
      <c r="C224" s="10"/>
      <c r="D224" s="9"/>
      <c r="E224" s="9"/>
      <c r="F224" s="10"/>
      <c r="G224" s="14" t="n">
        <f aca="false">IF(C224="",0,IF(E224&gt;=D224,MAX(0,IF(F224="",0,F224-C224)),MAX(0,Properties!$B$2-C224)))</f>
        <v>0</v>
      </c>
      <c r="H224" s="15" t="n">
        <f aca="false">IF(C224="",0,MAX(0,D224-E224))</f>
        <v>0</v>
      </c>
      <c r="I224" s="3" t="str">
        <f aca="false">IF(C224="","",IF(H224&lt;=0,"Paid",IF(G224&gt;0,"Overdue","Due")))</f>
        <v/>
      </c>
      <c r="J224" s="8"/>
    </row>
    <row r="225" customFormat="false" ht="15" hidden="false" customHeight="false" outlineLevel="0" collapsed="false">
      <c r="A225" s="8"/>
      <c r="B225" s="13"/>
      <c r="C225" s="10"/>
      <c r="D225" s="9"/>
      <c r="E225" s="9"/>
      <c r="F225" s="10"/>
      <c r="G225" s="14" t="n">
        <f aca="false">IF(C225="",0,IF(E225&gt;=D225,MAX(0,IF(F225="",0,F225-C225)),MAX(0,Properties!$B$2-C225)))</f>
        <v>0</v>
      </c>
      <c r="H225" s="15" t="n">
        <f aca="false">IF(C225="",0,MAX(0,D225-E225))</f>
        <v>0</v>
      </c>
      <c r="I225" s="3" t="str">
        <f aca="false">IF(C225="","",IF(H225&lt;=0,"Paid",IF(G225&gt;0,"Overdue","Due")))</f>
        <v/>
      </c>
      <c r="J225" s="8"/>
    </row>
    <row r="226" customFormat="false" ht="15" hidden="false" customHeight="false" outlineLevel="0" collapsed="false">
      <c r="A226" s="8"/>
      <c r="B226" s="13"/>
      <c r="C226" s="10"/>
      <c r="D226" s="9"/>
      <c r="E226" s="9"/>
      <c r="F226" s="10"/>
      <c r="G226" s="14" t="n">
        <f aca="false">IF(C226="",0,IF(E226&gt;=D226,MAX(0,IF(F226="",0,F226-C226)),MAX(0,Properties!$B$2-C226)))</f>
        <v>0</v>
      </c>
      <c r="H226" s="15" t="n">
        <f aca="false">IF(C226="",0,MAX(0,D226-E226))</f>
        <v>0</v>
      </c>
      <c r="I226" s="3" t="str">
        <f aca="false">IF(C226="","",IF(H226&lt;=0,"Paid",IF(G226&gt;0,"Overdue","Due")))</f>
        <v/>
      </c>
      <c r="J226" s="8"/>
    </row>
    <row r="227" customFormat="false" ht="15" hidden="false" customHeight="false" outlineLevel="0" collapsed="false">
      <c r="A227" s="8"/>
      <c r="B227" s="13"/>
      <c r="C227" s="10"/>
      <c r="D227" s="9"/>
      <c r="E227" s="9"/>
      <c r="F227" s="10"/>
      <c r="G227" s="14" t="n">
        <f aca="false">IF(C227="",0,IF(E227&gt;=D227,MAX(0,IF(F227="",0,F227-C227)),MAX(0,Properties!$B$2-C227)))</f>
        <v>0</v>
      </c>
      <c r="H227" s="15" t="n">
        <f aca="false">IF(C227="",0,MAX(0,D227-E227))</f>
        <v>0</v>
      </c>
      <c r="I227" s="3" t="str">
        <f aca="false">IF(C227="","",IF(H227&lt;=0,"Paid",IF(G227&gt;0,"Overdue","Due")))</f>
        <v/>
      </c>
      <c r="J227" s="8"/>
    </row>
    <row r="228" customFormat="false" ht="15" hidden="false" customHeight="false" outlineLevel="0" collapsed="false">
      <c r="A228" s="8"/>
      <c r="B228" s="13"/>
      <c r="C228" s="10"/>
      <c r="D228" s="9"/>
      <c r="E228" s="9"/>
      <c r="F228" s="10"/>
      <c r="G228" s="14" t="n">
        <f aca="false">IF(C228="",0,IF(E228&gt;=D228,MAX(0,IF(F228="",0,F228-C228)),MAX(0,Properties!$B$2-C228)))</f>
        <v>0</v>
      </c>
      <c r="H228" s="15" t="n">
        <f aca="false">IF(C228="",0,MAX(0,D228-E228))</f>
        <v>0</v>
      </c>
      <c r="I228" s="3" t="str">
        <f aca="false">IF(C228="","",IF(H228&lt;=0,"Paid",IF(G228&gt;0,"Overdue","Due")))</f>
        <v/>
      </c>
      <c r="J228" s="8"/>
    </row>
    <row r="229" customFormat="false" ht="15" hidden="false" customHeight="false" outlineLevel="0" collapsed="false">
      <c r="A229" s="8"/>
      <c r="B229" s="13"/>
      <c r="C229" s="10"/>
      <c r="D229" s="9"/>
      <c r="E229" s="9"/>
      <c r="F229" s="10"/>
      <c r="G229" s="14" t="n">
        <f aca="false">IF(C229="",0,IF(E229&gt;=D229,MAX(0,IF(F229="",0,F229-C229)),MAX(0,Properties!$B$2-C229)))</f>
        <v>0</v>
      </c>
      <c r="H229" s="15" t="n">
        <f aca="false">IF(C229="",0,MAX(0,D229-E229))</f>
        <v>0</v>
      </c>
      <c r="I229" s="3" t="str">
        <f aca="false">IF(C229="","",IF(H229&lt;=0,"Paid",IF(G229&gt;0,"Overdue","Due")))</f>
        <v/>
      </c>
      <c r="J229" s="8"/>
    </row>
    <row r="230" customFormat="false" ht="15" hidden="false" customHeight="false" outlineLevel="0" collapsed="false">
      <c r="A230" s="8"/>
      <c r="B230" s="13"/>
      <c r="C230" s="10"/>
      <c r="D230" s="9"/>
      <c r="E230" s="9"/>
      <c r="F230" s="10"/>
      <c r="G230" s="14" t="n">
        <f aca="false">IF(C230="",0,IF(E230&gt;=D230,MAX(0,IF(F230="",0,F230-C230)),MAX(0,Properties!$B$2-C230)))</f>
        <v>0</v>
      </c>
      <c r="H230" s="15" t="n">
        <f aca="false">IF(C230="",0,MAX(0,D230-E230))</f>
        <v>0</v>
      </c>
      <c r="I230" s="3" t="str">
        <f aca="false">IF(C230="","",IF(H230&lt;=0,"Paid",IF(G230&gt;0,"Overdue","Due")))</f>
        <v/>
      </c>
      <c r="J230" s="8"/>
    </row>
    <row r="231" customFormat="false" ht="15" hidden="false" customHeight="false" outlineLevel="0" collapsed="false">
      <c r="A231" s="8"/>
      <c r="B231" s="13"/>
      <c r="C231" s="10"/>
      <c r="D231" s="9"/>
      <c r="E231" s="9"/>
      <c r="F231" s="10"/>
      <c r="G231" s="14" t="n">
        <f aca="false">IF(C231="",0,IF(E231&gt;=D231,MAX(0,IF(F231="",0,F231-C231)),MAX(0,Properties!$B$2-C231)))</f>
        <v>0</v>
      </c>
      <c r="H231" s="15" t="n">
        <f aca="false">IF(C231="",0,MAX(0,D231-E231))</f>
        <v>0</v>
      </c>
      <c r="I231" s="3" t="str">
        <f aca="false">IF(C231="","",IF(H231&lt;=0,"Paid",IF(G231&gt;0,"Overdue","Due")))</f>
        <v/>
      </c>
      <c r="J231" s="8"/>
    </row>
    <row r="232" customFormat="false" ht="15" hidden="false" customHeight="false" outlineLevel="0" collapsed="false">
      <c r="A232" s="8"/>
      <c r="B232" s="13"/>
      <c r="C232" s="10"/>
      <c r="D232" s="9"/>
      <c r="E232" s="9"/>
      <c r="F232" s="10"/>
      <c r="G232" s="14" t="n">
        <f aca="false">IF(C232="",0,IF(E232&gt;=D232,MAX(0,IF(F232="",0,F232-C232)),MAX(0,Properties!$B$2-C232)))</f>
        <v>0</v>
      </c>
      <c r="H232" s="15" t="n">
        <f aca="false">IF(C232="",0,MAX(0,D232-E232))</f>
        <v>0</v>
      </c>
      <c r="I232" s="3" t="str">
        <f aca="false">IF(C232="","",IF(H232&lt;=0,"Paid",IF(G232&gt;0,"Overdue","Due")))</f>
        <v/>
      </c>
      <c r="J232" s="8"/>
    </row>
    <row r="233" customFormat="false" ht="15" hidden="false" customHeight="false" outlineLevel="0" collapsed="false">
      <c r="A233" s="8"/>
      <c r="B233" s="13"/>
      <c r="C233" s="10"/>
      <c r="D233" s="9"/>
      <c r="E233" s="9"/>
      <c r="F233" s="10"/>
      <c r="G233" s="14" t="n">
        <f aca="false">IF(C233="",0,IF(E233&gt;=D233,MAX(0,IF(F233="",0,F233-C233)),MAX(0,Properties!$B$2-C233)))</f>
        <v>0</v>
      </c>
      <c r="H233" s="15" t="n">
        <f aca="false">IF(C233="",0,MAX(0,D233-E233))</f>
        <v>0</v>
      </c>
      <c r="I233" s="3" t="str">
        <f aca="false">IF(C233="","",IF(H233&lt;=0,"Paid",IF(G233&gt;0,"Overdue","Due")))</f>
        <v/>
      </c>
      <c r="J233" s="8"/>
    </row>
    <row r="234" customFormat="false" ht="15" hidden="false" customHeight="false" outlineLevel="0" collapsed="false">
      <c r="A234" s="8"/>
      <c r="B234" s="13"/>
      <c r="C234" s="10"/>
      <c r="D234" s="9"/>
      <c r="E234" s="9"/>
      <c r="F234" s="10"/>
      <c r="G234" s="14" t="n">
        <f aca="false">IF(C234="",0,IF(E234&gt;=D234,MAX(0,IF(F234="",0,F234-C234)),MAX(0,Properties!$B$2-C234)))</f>
        <v>0</v>
      </c>
      <c r="H234" s="15" t="n">
        <f aca="false">IF(C234="",0,MAX(0,D234-E234))</f>
        <v>0</v>
      </c>
      <c r="I234" s="3" t="str">
        <f aca="false">IF(C234="","",IF(H234&lt;=0,"Paid",IF(G234&gt;0,"Overdue","Due")))</f>
        <v/>
      </c>
      <c r="J234" s="8"/>
    </row>
    <row r="235" customFormat="false" ht="15" hidden="false" customHeight="false" outlineLevel="0" collapsed="false">
      <c r="A235" s="8"/>
      <c r="B235" s="13"/>
      <c r="C235" s="10"/>
      <c r="D235" s="9"/>
      <c r="E235" s="9"/>
      <c r="F235" s="10"/>
      <c r="G235" s="14" t="n">
        <f aca="false">IF(C235="",0,IF(E235&gt;=D235,MAX(0,IF(F235="",0,F235-C235)),MAX(0,Properties!$B$2-C235)))</f>
        <v>0</v>
      </c>
      <c r="H235" s="15" t="n">
        <f aca="false">IF(C235="",0,MAX(0,D235-E235))</f>
        <v>0</v>
      </c>
      <c r="I235" s="3" t="str">
        <f aca="false">IF(C235="","",IF(H235&lt;=0,"Paid",IF(G235&gt;0,"Overdue","Due")))</f>
        <v/>
      </c>
      <c r="J235" s="8"/>
    </row>
    <row r="236" customFormat="false" ht="15" hidden="false" customHeight="false" outlineLevel="0" collapsed="false">
      <c r="A236" s="8"/>
      <c r="B236" s="13"/>
      <c r="C236" s="10"/>
      <c r="D236" s="9"/>
      <c r="E236" s="9"/>
      <c r="F236" s="10"/>
      <c r="G236" s="14" t="n">
        <f aca="false">IF(C236="",0,IF(E236&gt;=D236,MAX(0,IF(F236="",0,F236-C236)),MAX(0,Properties!$B$2-C236)))</f>
        <v>0</v>
      </c>
      <c r="H236" s="15" t="n">
        <f aca="false">IF(C236="",0,MAX(0,D236-E236))</f>
        <v>0</v>
      </c>
      <c r="I236" s="3" t="str">
        <f aca="false">IF(C236="","",IF(H236&lt;=0,"Paid",IF(G236&gt;0,"Overdue","Due")))</f>
        <v/>
      </c>
      <c r="J236" s="8"/>
    </row>
    <row r="237" customFormat="false" ht="15" hidden="false" customHeight="false" outlineLevel="0" collapsed="false">
      <c r="A237" s="8"/>
      <c r="B237" s="13"/>
      <c r="C237" s="10"/>
      <c r="D237" s="9"/>
      <c r="E237" s="9"/>
      <c r="F237" s="10"/>
      <c r="G237" s="14" t="n">
        <f aca="false">IF(C237="",0,IF(E237&gt;=D237,MAX(0,IF(F237="",0,F237-C237)),MAX(0,Properties!$B$2-C237)))</f>
        <v>0</v>
      </c>
      <c r="H237" s="15" t="n">
        <f aca="false">IF(C237="",0,MAX(0,D237-E237))</f>
        <v>0</v>
      </c>
      <c r="I237" s="3" t="str">
        <f aca="false">IF(C237="","",IF(H237&lt;=0,"Paid",IF(G237&gt;0,"Overdue","Due")))</f>
        <v/>
      </c>
      <c r="J237" s="8"/>
    </row>
    <row r="238" customFormat="false" ht="15" hidden="false" customHeight="false" outlineLevel="0" collapsed="false">
      <c r="A238" s="8"/>
      <c r="B238" s="13"/>
      <c r="C238" s="10"/>
      <c r="D238" s="9"/>
      <c r="E238" s="9"/>
      <c r="F238" s="10"/>
      <c r="G238" s="14" t="n">
        <f aca="false">IF(C238="",0,IF(E238&gt;=D238,MAX(0,IF(F238="",0,F238-C238)),MAX(0,Properties!$B$2-C238)))</f>
        <v>0</v>
      </c>
      <c r="H238" s="15" t="n">
        <f aca="false">IF(C238="",0,MAX(0,D238-E238))</f>
        <v>0</v>
      </c>
      <c r="I238" s="3" t="str">
        <f aca="false">IF(C238="","",IF(H238&lt;=0,"Paid",IF(G238&gt;0,"Overdue","Due")))</f>
        <v/>
      </c>
      <c r="J238" s="8"/>
    </row>
    <row r="239" customFormat="false" ht="15" hidden="false" customHeight="false" outlineLevel="0" collapsed="false">
      <c r="A239" s="8"/>
      <c r="B239" s="13"/>
      <c r="C239" s="10"/>
      <c r="D239" s="9"/>
      <c r="E239" s="9"/>
      <c r="F239" s="10"/>
      <c r="G239" s="14" t="n">
        <f aca="false">IF(C239="",0,IF(E239&gt;=D239,MAX(0,IF(F239="",0,F239-C239)),MAX(0,Properties!$B$2-C239)))</f>
        <v>0</v>
      </c>
      <c r="H239" s="15" t="n">
        <f aca="false">IF(C239="",0,MAX(0,D239-E239))</f>
        <v>0</v>
      </c>
      <c r="I239" s="3" t="str">
        <f aca="false">IF(C239="","",IF(H239&lt;=0,"Paid",IF(G239&gt;0,"Overdue","Due")))</f>
        <v/>
      </c>
      <c r="J239" s="8"/>
    </row>
    <row r="240" customFormat="false" ht="15" hidden="false" customHeight="false" outlineLevel="0" collapsed="false">
      <c r="A240" s="8"/>
      <c r="B240" s="13"/>
      <c r="C240" s="10"/>
      <c r="D240" s="9"/>
      <c r="E240" s="9"/>
      <c r="F240" s="10"/>
      <c r="G240" s="14" t="n">
        <f aca="false">IF(C240="",0,IF(E240&gt;=D240,MAX(0,IF(F240="",0,F240-C240)),MAX(0,Properties!$B$2-C240)))</f>
        <v>0</v>
      </c>
      <c r="H240" s="15" t="n">
        <f aca="false">IF(C240="",0,MAX(0,D240-E240))</f>
        <v>0</v>
      </c>
      <c r="I240" s="3" t="str">
        <f aca="false">IF(C240="","",IF(H240&lt;=0,"Paid",IF(G240&gt;0,"Overdue","Due")))</f>
        <v/>
      </c>
      <c r="J240" s="8"/>
    </row>
    <row r="241" customFormat="false" ht="15" hidden="false" customHeight="false" outlineLevel="0" collapsed="false">
      <c r="A241" s="8"/>
      <c r="B241" s="13"/>
      <c r="C241" s="10"/>
      <c r="D241" s="9"/>
      <c r="E241" s="9"/>
      <c r="F241" s="10"/>
      <c r="G241" s="14" t="n">
        <f aca="false">IF(C241="",0,IF(E241&gt;=D241,MAX(0,IF(F241="",0,F241-C241)),MAX(0,Properties!$B$2-C241)))</f>
        <v>0</v>
      </c>
      <c r="H241" s="15" t="n">
        <f aca="false">IF(C241="",0,MAX(0,D241-E241))</f>
        <v>0</v>
      </c>
      <c r="I241" s="3" t="str">
        <f aca="false">IF(C241="","",IF(H241&lt;=0,"Paid",IF(G241&gt;0,"Overdue","Due")))</f>
        <v/>
      </c>
      <c r="J241" s="8"/>
    </row>
    <row r="242" customFormat="false" ht="15" hidden="false" customHeight="false" outlineLevel="0" collapsed="false">
      <c r="A242" s="8"/>
      <c r="B242" s="13"/>
      <c r="C242" s="10"/>
      <c r="D242" s="9"/>
      <c r="E242" s="9"/>
      <c r="F242" s="10"/>
      <c r="G242" s="14" t="n">
        <f aca="false">IF(C242="",0,IF(E242&gt;=D242,MAX(0,IF(F242="",0,F242-C242)),MAX(0,Properties!$B$2-C242)))</f>
        <v>0</v>
      </c>
      <c r="H242" s="15" t="n">
        <f aca="false">IF(C242="",0,MAX(0,D242-E242))</f>
        <v>0</v>
      </c>
      <c r="I242" s="3" t="str">
        <f aca="false">IF(C242="","",IF(H242&lt;=0,"Paid",IF(G242&gt;0,"Overdue","Due")))</f>
        <v/>
      </c>
      <c r="J242" s="8"/>
    </row>
    <row r="243" customFormat="false" ht="15" hidden="false" customHeight="false" outlineLevel="0" collapsed="false">
      <c r="A243" s="8"/>
      <c r="B243" s="13"/>
      <c r="C243" s="10"/>
      <c r="D243" s="9"/>
      <c r="E243" s="9"/>
      <c r="F243" s="10"/>
      <c r="G243" s="14" t="n">
        <f aca="false">IF(C243="",0,IF(E243&gt;=D243,MAX(0,IF(F243="",0,F243-C243)),MAX(0,Properties!$B$2-C243)))</f>
        <v>0</v>
      </c>
      <c r="H243" s="15" t="n">
        <f aca="false">IF(C243="",0,MAX(0,D243-E243))</f>
        <v>0</v>
      </c>
      <c r="I243" s="3" t="str">
        <f aca="false">IF(C243="","",IF(H243&lt;=0,"Paid",IF(G243&gt;0,"Overdue","Due")))</f>
        <v/>
      </c>
      <c r="J243" s="8"/>
    </row>
    <row r="244" customFormat="false" ht="15" hidden="false" customHeight="false" outlineLevel="0" collapsed="false">
      <c r="A244" s="8"/>
      <c r="B244" s="13"/>
      <c r="C244" s="10"/>
      <c r="D244" s="9"/>
      <c r="E244" s="9"/>
      <c r="F244" s="10"/>
      <c r="G244" s="14" t="n">
        <f aca="false">IF(C244="",0,IF(E244&gt;=D244,MAX(0,IF(F244="",0,F244-C244)),MAX(0,Properties!$B$2-C244)))</f>
        <v>0</v>
      </c>
      <c r="H244" s="15" t="n">
        <f aca="false">IF(C244="",0,MAX(0,D244-E244))</f>
        <v>0</v>
      </c>
      <c r="I244" s="3" t="str">
        <f aca="false">IF(C244="","",IF(H244&lt;=0,"Paid",IF(G244&gt;0,"Overdue","Due")))</f>
        <v/>
      </c>
      <c r="J244" s="8"/>
    </row>
    <row r="245" customFormat="false" ht="15" hidden="false" customHeight="false" outlineLevel="0" collapsed="false">
      <c r="A245" s="8"/>
      <c r="B245" s="13"/>
      <c r="C245" s="10"/>
      <c r="D245" s="9"/>
      <c r="E245" s="9"/>
      <c r="F245" s="10"/>
      <c r="G245" s="14" t="n">
        <f aca="false">IF(C245="",0,IF(E245&gt;=D245,MAX(0,IF(F245="",0,F245-C245)),MAX(0,Properties!$B$2-C245)))</f>
        <v>0</v>
      </c>
      <c r="H245" s="15" t="n">
        <f aca="false">IF(C245="",0,MAX(0,D245-E245))</f>
        <v>0</v>
      </c>
      <c r="I245" s="3" t="str">
        <f aca="false">IF(C245="","",IF(H245&lt;=0,"Paid",IF(G245&gt;0,"Overdue","Due")))</f>
        <v/>
      </c>
      <c r="J245" s="8"/>
    </row>
    <row r="246" customFormat="false" ht="15" hidden="false" customHeight="false" outlineLevel="0" collapsed="false">
      <c r="A246" s="8"/>
      <c r="B246" s="13"/>
      <c r="C246" s="10"/>
      <c r="D246" s="9"/>
      <c r="E246" s="9"/>
      <c r="F246" s="10"/>
      <c r="G246" s="14" t="n">
        <f aca="false">IF(C246="",0,IF(E246&gt;=D246,MAX(0,IF(F246="",0,F246-C246)),MAX(0,Properties!$B$2-C246)))</f>
        <v>0</v>
      </c>
      <c r="H246" s="15" t="n">
        <f aca="false">IF(C246="",0,MAX(0,D246-E246))</f>
        <v>0</v>
      </c>
      <c r="I246" s="3" t="str">
        <f aca="false">IF(C246="","",IF(H246&lt;=0,"Paid",IF(G246&gt;0,"Overdue","Due")))</f>
        <v/>
      </c>
      <c r="J246" s="8"/>
    </row>
    <row r="247" customFormat="false" ht="15" hidden="false" customHeight="false" outlineLevel="0" collapsed="false">
      <c r="A247" s="8"/>
      <c r="B247" s="13"/>
      <c r="C247" s="10"/>
      <c r="D247" s="9"/>
      <c r="E247" s="9"/>
      <c r="F247" s="10"/>
      <c r="G247" s="14" t="n">
        <f aca="false">IF(C247="",0,IF(E247&gt;=D247,MAX(0,IF(F247="",0,F247-C247)),MAX(0,Properties!$B$2-C247)))</f>
        <v>0</v>
      </c>
      <c r="H247" s="15" t="n">
        <f aca="false">IF(C247="",0,MAX(0,D247-E247))</f>
        <v>0</v>
      </c>
      <c r="I247" s="3" t="str">
        <f aca="false">IF(C247="","",IF(H247&lt;=0,"Paid",IF(G247&gt;0,"Overdue","Due")))</f>
        <v/>
      </c>
      <c r="J247" s="8"/>
    </row>
    <row r="248" customFormat="false" ht="15" hidden="false" customHeight="false" outlineLevel="0" collapsed="false">
      <c r="A248" s="8"/>
      <c r="B248" s="13"/>
      <c r="C248" s="10"/>
      <c r="D248" s="9"/>
      <c r="E248" s="9"/>
      <c r="F248" s="10"/>
      <c r="G248" s="14" t="n">
        <f aca="false">IF(C248="",0,IF(E248&gt;=D248,MAX(0,IF(F248="",0,F248-C248)),MAX(0,Properties!$B$2-C248)))</f>
        <v>0</v>
      </c>
      <c r="H248" s="15" t="n">
        <f aca="false">IF(C248="",0,MAX(0,D248-E248))</f>
        <v>0</v>
      </c>
      <c r="I248" s="3" t="str">
        <f aca="false">IF(C248="","",IF(H248&lt;=0,"Paid",IF(G248&gt;0,"Overdue","Due")))</f>
        <v/>
      </c>
      <c r="J248" s="8"/>
    </row>
    <row r="249" customFormat="false" ht="15" hidden="false" customHeight="false" outlineLevel="0" collapsed="false">
      <c r="A249" s="8"/>
      <c r="B249" s="13"/>
      <c r="C249" s="10"/>
      <c r="D249" s="9"/>
      <c r="E249" s="9"/>
      <c r="F249" s="10"/>
      <c r="G249" s="14" t="n">
        <f aca="false">IF(C249="",0,IF(E249&gt;=D249,MAX(0,IF(F249="",0,F249-C249)),MAX(0,Properties!$B$2-C249)))</f>
        <v>0</v>
      </c>
      <c r="H249" s="15" t="n">
        <f aca="false">IF(C249="",0,MAX(0,D249-E249))</f>
        <v>0</v>
      </c>
      <c r="I249" s="3" t="str">
        <f aca="false">IF(C249="","",IF(H249&lt;=0,"Paid",IF(G249&gt;0,"Overdue","Due")))</f>
        <v/>
      </c>
      <c r="J249" s="8"/>
    </row>
    <row r="250" customFormat="false" ht="15" hidden="false" customHeight="false" outlineLevel="0" collapsed="false">
      <c r="A250" s="8"/>
      <c r="B250" s="13"/>
      <c r="C250" s="10"/>
      <c r="D250" s="9"/>
      <c r="E250" s="9"/>
      <c r="F250" s="10"/>
      <c r="G250" s="14" t="n">
        <f aca="false">IF(C250="",0,IF(E250&gt;=D250,MAX(0,IF(F250="",0,F250-C250)),MAX(0,Properties!$B$2-C250)))</f>
        <v>0</v>
      </c>
      <c r="H250" s="15" t="n">
        <f aca="false">IF(C250="",0,MAX(0,D250-E250))</f>
        <v>0</v>
      </c>
      <c r="I250" s="3" t="str">
        <f aca="false">IF(C250="","",IF(H250&lt;=0,"Paid",IF(G250&gt;0,"Overdue","Due")))</f>
        <v/>
      </c>
      <c r="J250" s="8"/>
    </row>
    <row r="251" customFormat="false" ht="15" hidden="false" customHeight="false" outlineLevel="0" collapsed="false">
      <c r="A251" s="8"/>
      <c r="B251" s="13"/>
      <c r="C251" s="10"/>
      <c r="D251" s="9"/>
      <c r="E251" s="9"/>
      <c r="F251" s="10"/>
      <c r="G251" s="14" t="n">
        <f aca="false">IF(C251="",0,IF(E251&gt;=D251,MAX(0,IF(F251="",0,F251-C251)),MAX(0,Properties!$B$2-C251)))</f>
        <v>0</v>
      </c>
      <c r="H251" s="15" t="n">
        <f aca="false">IF(C251="",0,MAX(0,D251-E251))</f>
        <v>0</v>
      </c>
      <c r="I251" s="3" t="str">
        <f aca="false">IF(C251="","",IF(H251&lt;=0,"Paid",IF(G251&gt;0,"Overdue","Due")))</f>
        <v/>
      </c>
      <c r="J251" s="8"/>
    </row>
    <row r="252" customFormat="false" ht="15" hidden="false" customHeight="false" outlineLevel="0" collapsed="false">
      <c r="A252" s="8"/>
      <c r="B252" s="13"/>
      <c r="C252" s="10"/>
      <c r="D252" s="9"/>
      <c r="E252" s="9"/>
      <c r="F252" s="10"/>
      <c r="G252" s="14" t="n">
        <f aca="false">IF(C252="",0,IF(E252&gt;=D252,MAX(0,IF(F252="",0,F252-C252)),MAX(0,Properties!$B$2-C252)))</f>
        <v>0</v>
      </c>
      <c r="H252" s="15" t="n">
        <f aca="false">IF(C252="",0,MAX(0,D252-E252))</f>
        <v>0</v>
      </c>
      <c r="I252" s="3" t="str">
        <f aca="false">IF(C252="","",IF(H252&lt;=0,"Paid",IF(G252&gt;0,"Overdue","Due")))</f>
        <v/>
      </c>
      <c r="J252" s="8"/>
    </row>
    <row r="253" customFormat="false" ht="15" hidden="false" customHeight="false" outlineLevel="0" collapsed="false">
      <c r="A253" s="8"/>
      <c r="B253" s="13"/>
      <c r="C253" s="10"/>
      <c r="D253" s="9"/>
      <c r="E253" s="9"/>
      <c r="F253" s="10"/>
      <c r="G253" s="14" t="n">
        <f aca="false">IF(C253="",0,IF(E253&gt;=D253,MAX(0,IF(F253="",0,F253-C253)),MAX(0,Properties!$B$2-C253)))</f>
        <v>0</v>
      </c>
      <c r="H253" s="15" t="n">
        <f aca="false">IF(C253="",0,MAX(0,D253-E253))</f>
        <v>0</v>
      </c>
      <c r="I253" s="3" t="str">
        <f aca="false">IF(C253="","",IF(H253&lt;=0,"Paid",IF(G253&gt;0,"Overdue","Due")))</f>
        <v/>
      </c>
      <c r="J253" s="8"/>
    </row>
    <row r="254" customFormat="false" ht="15" hidden="false" customHeight="false" outlineLevel="0" collapsed="false">
      <c r="A254" s="8"/>
      <c r="B254" s="13"/>
      <c r="C254" s="10"/>
      <c r="D254" s="9"/>
      <c r="E254" s="9"/>
      <c r="F254" s="10"/>
      <c r="G254" s="14" t="n">
        <f aca="false">IF(C254="",0,IF(E254&gt;=D254,MAX(0,IF(F254="",0,F254-C254)),MAX(0,Properties!$B$2-C254)))</f>
        <v>0</v>
      </c>
      <c r="H254" s="15" t="n">
        <f aca="false">IF(C254="",0,MAX(0,D254-E254))</f>
        <v>0</v>
      </c>
      <c r="I254" s="3" t="str">
        <f aca="false">IF(C254="","",IF(H254&lt;=0,"Paid",IF(G254&gt;0,"Overdue","Due")))</f>
        <v/>
      </c>
      <c r="J254" s="8"/>
    </row>
    <row r="255" customFormat="false" ht="15" hidden="false" customHeight="false" outlineLevel="0" collapsed="false">
      <c r="A255" s="8"/>
      <c r="B255" s="13"/>
      <c r="C255" s="10"/>
      <c r="D255" s="9"/>
      <c r="E255" s="9"/>
      <c r="F255" s="10"/>
      <c r="G255" s="14" t="n">
        <f aca="false">IF(C255="",0,IF(E255&gt;=D255,MAX(0,IF(F255="",0,F255-C255)),MAX(0,Properties!$B$2-C255)))</f>
        <v>0</v>
      </c>
      <c r="H255" s="15" t="n">
        <f aca="false">IF(C255="",0,MAX(0,D255-E255))</f>
        <v>0</v>
      </c>
      <c r="I255" s="3" t="str">
        <f aca="false">IF(C255="","",IF(H255&lt;=0,"Paid",IF(G255&gt;0,"Overdue","Due")))</f>
        <v/>
      </c>
      <c r="J255" s="8"/>
    </row>
    <row r="256" customFormat="false" ht="15" hidden="false" customHeight="false" outlineLevel="0" collapsed="false">
      <c r="A256" s="8"/>
      <c r="B256" s="13"/>
      <c r="C256" s="10"/>
      <c r="D256" s="9"/>
      <c r="E256" s="9"/>
      <c r="F256" s="10"/>
      <c r="G256" s="14" t="n">
        <f aca="false">IF(C256="",0,IF(E256&gt;=D256,MAX(0,IF(F256="",0,F256-C256)),MAX(0,Properties!$B$2-C256)))</f>
        <v>0</v>
      </c>
      <c r="H256" s="15" t="n">
        <f aca="false">IF(C256="",0,MAX(0,D256-E256))</f>
        <v>0</v>
      </c>
      <c r="I256" s="3" t="str">
        <f aca="false">IF(C256="","",IF(H256&lt;=0,"Paid",IF(G256&gt;0,"Overdue","Due")))</f>
        <v/>
      </c>
      <c r="J256" s="8"/>
    </row>
    <row r="257" customFormat="false" ht="15" hidden="false" customHeight="false" outlineLevel="0" collapsed="false">
      <c r="A257" s="8"/>
      <c r="B257" s="13"/>
      <c r="C257" s="10"/>
      <c r="D257" s="9"/>
      <c r="E257" s="9"/>
      <c r="F257" s="10"/>
      <c r="G257" s="14" t="n">
        <f aca="false">IF(C257="",0,IF(E257&gt;=D257,MAX(0,IF(F257="",0,F257-C257)),MAX(0,Properties!$B$2-C257)))</f>
        <v>0</v>
      </c>
      <c r="H257" s="15" t="n">
        <f aca="false">IF(C257="",0,MAX(0,D257-E257))</f>
        <v>0</v>
      </c>
      <c r="I257" s="3" t="str">
        <f aca="false">IF(C257="","",IF(H257&lt;=0,"Paid",IF(G257&gt;0,"Overdue","Due")))</f>
        <v/>
      </c>
      <c r="J257" s="8"/>
    </row>
    <row r="258" customFormat="false" ht="15" hidden="false" customHeight="false" outlineLevel="0" collapsed="false">
      <c r="A258" s="8"/>
      <c r="B258" s="13"/>
      <c r="C258" s="10"/>
      <c r="D258" s="9"/>
      <c r="E258" s="9"/>
      <c r="F258" s="10"/>
      <c r="G258" s="14" t="n">
        <f aca="false">IF(C258="",0,IF(E258&gt;=D258,MAX(0,IF(F258="",0,F258-C258)),MAX(0,Properties!$B$2-C258)))</f>
        <v>0</v>
      </c>
      <c r="H258" s="15" t="n">
        <f aca="false">IF(C258="",0,MAX(0,D258-E258))</f>
        <v>0</v>
      </c>
      <c r="I258" s="3" t="str">
        <f aca="false">IF(C258="","",IF(H258&lt;=0,"Paid",IF(G258&gt;0,"Overdue","Due")))</f>
        <v/>
      </c>
      <c r="J258" s="8"/>
    </row>
    <row r="259" customFormat="false" ht="15" hidden="false" customHeight="false" outlineLevel="0" collapsed="false">
      <c r="A259" s="8"/>
      <c r="B259" s="13"/>
      <c r="C259" s="10"/>
      <c r="D259" s="9"/>
      <c r="E259" s="9"/>
      <c r="F259" s="10"/>
      <c r="G259" s="14" t="n">
        <f aca="false">IF(C259="",0,IF(E259&gt;=D259,MAX(0,IF(F259="",0,F259-C259)),MAX(0,Properties!$B$2-C259)))</f>
        <v>0</v>
      </c>
      <c r="H259" s="15" t="n">
        <f aca="false">IF(C259="",0,MAX(0,D259-E259))</f>
        <v>0</v>
      </c>
      <c r="I259" s="3" t="str">
        <f aca="false">IF(C259="","",IF(H259&lt;=0,"Paid",IF(G259&gt;0,"Overdue","Due")))</f>
        <v/>
      </c>
      <c r="J259" s="8"/>
    </row>
    <row r="260" customFormat="false" ht="15" hidden="false" customHeight="false" outlineLevel="0" collapsed="false">
      <c r="A260" s="8"/>
      <c r="B260" s="13"/>
      <c r="C260" s="10"/>
      <c r="D260" s="9"/>
      <c r="E260" s="9"/>
      <c r="F260" s="10"/>
      <c r="G260" s="14" t="n">
        <f aca="false">IF(C260="",0,IF(E260&gt;=D260,MAX(0,IF(F260="",0,F260-C260)),MAX(0,Properties!$B$2-C260)))</f>
        <v>0</v>
      </c>
      <c r="H260" s="15" t="n">
        <f aca="false">IF(C260="",0,MAX(0,D260-E260))</f>
        <v>0</v>
      </c>
      <c r="I260" s="3" t="str">
        <f aca="false">IF(C260="","",IF(H260&lt;=0,"Paid",IF(G260&gt;0,"Overdue","Due")))</f>
        <v/>
      </c>
      <c r="J260" s="8"/>
    </row>
    <row r="261" customFormat="false" ht="15" hidden="false" customHeight="false" outlineLevel="0" collapsed="false">
      <c r="A261" s="8"/>
      <c r="B261" s="13"/>
      <c r="C261" s="10"/>
      <c r="D261" s="9"/>
      <c r="E261" s="9"/>
      <c r="F261" s="10"/>
      <c r="G261" s="14" t="n">
        <f aca="false">IF(C261="",0,IF(E261&gt;=D261,MAX(0,IF(F261="",0,F261-C261)),MAX(0,Properties!$B$2-C261)))</f>
        <v>0</v>
      </c>
      <c r="H261" s="15" t="n">
        <f aca="false">IF(C261="",0,MAX(0,D261-E261))</f>
        <v>0</v>
      </c>
      <c r="I261" s="3" t="str">
        <f aca="false">IF(C261="","",IF(H261&lt;=0,"Paid",IF(G261&gt;0,"Overdue","Due")))</f>
        <v/>
      </c>
      <c r="J261" s="8"/>
    </row>
    <row r="262" customFormat="false" ht="15" hidden="false" customHeight="false" outlineLevel="0" collapsed="false">
      <c r="A262" s="8"/>
      <c r="B262" s="13"/>
      <c r="C262" s="10"/>
      <c r="D262" s="9"/>
      <c r="E262" s="9"/>
      <c r="F262" s="10"/>
      <c r="G262" s="14" t="n">
        <f aca="false">IF(C262="",0,IF(E262&gt;=D262,MAX(0,IF(F262="",0,F262-C262)),MAX(0,Properties!$B$2-C262)))</f>
        <v>0</v>
      </c>
      <c r="H262" s="15" t="n">
        <f aca="false">IF(C262="",0,MAX(0,D262-E262))</f>
        <v>0</v>
      </c>
      <c r="I262" s="3" t="str">
        <f aca="false">IF(C262="","",IF(H262&lt;=0,"Paid",IF(G262&gt;0,"Overdue","Due")))</f>
        <v/>
      </c>
      <c r="J262" s="8"/>
    </row>
    <row r="263" customFormat="false" ht="15" hidden="false" customHeight="false" outlineLevel="0" collapsed="false">
      <c r="A263" s="8"/>
      <c r="B263" s="13"/>
      <c r="C263" s="10"/>
      <c r="D263" s="9"/>
      <c r="E263" s="9"/>
      <c r="F263" s="10"/>
      <c r="G263" s="14" t="n">
        <f aca="false">IF(C263="",0,IF(E263&gt;=D263,MAX(0,IF(F263="",0,F263-C263)),MAX(0,Properties!$B$2-C263)))</f>
        <v>0</v>
      </c>
      <c r="H263" s="15" t="n">
        <f aca="false">IF(C263="",0,MAX(0,D263-E263))</f>
        <v>0</v>
      </c>
      <c r="I263" s="3" t="str">
        <f aca="false">IF(C263="","",IF(H263&lt;=0,"Paid",IF(G263&gt;0,"Overdue","Due")))</f>
        <v/>
      </c>
      <c r="J263" s="8"/>
    </row>
    <row r="264" customFormat="false" ht="15" hidden="false" customHeight="false" outlineLevel="0" collapsed="false">
      <c r="A264" s="8"/>
      <c r="B264" s="13"/>
      <c r="C264" s="10"/>
      <c r="D264" s="9"/>
      <c r="E264" s="9"/>
      <c r="F264" s="10"/>
      <c r="G264" s="14" t="n">
        <f aca="false">IF(C264="",0,IF(E264&gt;=D264,MAX(0,IF(F264="",0,F264-C264)),MAX(0,Properties!$B$2-C264)))</f>
        <v>0</v>
      </c>
      <c r="H264" s="15" t="n">
        <f aca="false">IF(C264="",0,MAX(0,D264-E264))</f>
        <v>0</v>
      </c>
      <c r="I264" s="3" t="str">
        <f aca="false">IF(C264="","",IF(H264&lt;=0,"Paid",IF(G264&gt;0,"Overdue","Due")))</f>
        <v/>
      </c>
      <c r="J264" s="8"/>
    </row>
    <row r="265" customFormat="false" ht="15" hidden="false" customHeight="false" outlineLevel="0" collapsed="false">
      <c r="A265" s="8"/>
      <c r="B265" s="13"/>
      <c r="C265" s="10"/>
      <c r="D265" s="9"/>
      <c r="E265" s="9"/>
      <c r="F265" s="10"/>
      <c r="G265" s="14" t="n">
        <f aca="false">IF(C265="",0,IF(E265&gt;=D265,MAX(0,IF(F265="",0,F265-C265)),MAX(0,Properties!$B$2-C265)))</f>
        <v>0</v>
      </c>
      <c r="H265" s="15" t="n">
        <f aca="false">IF(C265="",0,MAX(0,D265-E265))</f>
        <v>0</v>
      </c>
      <c r="I265" s="3" t="str">
        <f aca="false">IF(C265="","",IF(H265&lt;=0,"Paid",IF(G265&gt;0,"Overdue","Due")))</f>
        <v/>
      </c>
      <c r="J265" s="8"/>
    </row>
    <row r="266" customFormat="false" ht="15" hidden="false" customHeight="false" outlineLevel="0" collapsed="false">
      <c r="A266" s="8"/>
      <c r="B266" s="13"/>
      <c r="C266" s="10"/>
      <c r="D266" s="9"/>
      <c r="E266" s="9"/>
      <c r="F266" s="10"/>
      <c r="G266" s="14" t="n">
        <f aca="false">IF(C266="",0,IF(E266&gt;=D266,MAX(0,IF(F266="",0,F266-C266)),MAX(0,Properties!$B$2-C266)))</f>
        <v>0</v>
      </c>
      <c r="H266" s="15" t="n">
        <f aca="false">IF(C266="",0,MAX(0,D266-E266))</f>
        <v>0</v>
      </c>
      <c r="I266" s="3" t="str">
        <f aca="false">IF(C266="","",IF(H266&lt;=0,"Paid",IF(G266&gt;0,"Overdue","Due")))</f>
        <v/>
      </c>
      <c r="J266" s="8"/>
    </row>
    <row r="267" customFormat="false" ht="15" hidden="false" customHeight="false" outlineLevel="0" collapsed="false">
      <c r="A267" s="8"/>
      <c r="B267" s="13"/>
      <c r="C267" s="10"/>
      <c r="D267" s="9"/>
      <c r="E267" s="9"/>
      <c r="F267" s="10"/>
      <c r="G267" s="14" t="n">
        <f aca="false">IF(C267="",0,IF(E267&gt;=D267,MAX(0,IF(F267="",0,F267-C267)),MAX(0,Properties!$B$2-C267)))</f>
        <v>0</v>
      </c>
      <c r="H267" s="15" t="n">
        <f aca="false">IF(C267="",0,MAX(0,D267-E267))</f>
        <v>0</v>
      </c>
      <c r="I267" s="3" t="str">
        <f aca="false">IF(C267="","",IF(H267&lt;=0,"Paid",IF(G267&gt;0,"Overdue","Due")))</f>
        <v/>
      </c>
      <c r="J267" s="8"/>
    </row>
    <row r="268" customFormat="false" ht="15" hidden="false" customHeight="false" outlineLevel="0" collapsed="false">
      <c r="A268" s="8"/>
      <c r="B268" s="13"/>
      <c r="C268" s="10"/>
      <c r="D268" s="9"/>
      <c r="E268" s="9"/>
      <c r="F268" s="10"/>
      <c r="G268" s="14" t="n">
        <f aca="false">IF(C268="",0,IF(E268&gt;=D268,MAX(0,IF(F268="",0,F268-C268)),MAX(0,Properties!$B$2-C268)))</f>
        <v>0</v>
      </c>
      <c r="H268" s="15" t="n">
        <f aca="false">IF(C268="",0,MAX(0,D268-E268))</f>
        <v>0</v>
      </c>
      <c r="I268" s="3" t="str">
        <f aca="false">IF(C268="","",IF(H268&lt;=0,"Paid",IF(G268&gt;0,"Overdue","Due")))</f>
        <v/>
      </c>
      <c r="J268" s="8"/>
    </row>
    <row r="269" customFormat="false" ht="15" hidden="false" customHeight="false" outlineLevel="0" collapsed="false">
      <c r="A269" s="8"/>
      <c r="B269" s="13"/>
      <c r="C269" s="10"/>
      <c r="D269" s="9"/>
      <c r="E269" s="9"/>
      <c r="F269" s="10"/>
      <c r="G269" s="14" t="n">
        <f aca="false">IF(C269="",0,IF(E269&gt;=D269,MAX(0,IF(F269="",0,F269-C269)),MAX(0,Properties!$B$2-C269)))</f>
        <v>0</v>
      </c>
      <c r="H269" s="15" t="n">
        <f aca="false">IF(C269="",0,MAX(0,D269-E269))</f>
        <v>0</v>
      </c>
      <c r="I269" s="3" t="str">
        <f aca="false">IF(C269="","",IF(H269&lt;=0,"Paid",IF(G269&gt;0,"Overdue","Due")))</f>
        <v/>
      </c>
      <c r="J269" s="8"/>
    </row>
    <row r="270" customFormat="false" ht="15" hidden="false" customHeight="false" outlineLevel="0" collapsed="false">
      <c r="A270" s="8"/>
      <c r="B270" s="13"/>
      <c r="C270" s="10"/>
      <c r="D270" s="9"/>
      <c r="E270" s="9"/>
      <c r="F270" s="10"/>
      <c r="G270" s="14" t="n">
        <f aca="false">IF(C270="",0,IF(E270&gt;=D270,MAX(0,IF(F270="",0,F270-C270)),MAX(0,Properties!$B$2-C270)))</f>
        <v>0</v>
      </c>
      <c r="H270" s="15" t="n">
        <f aca="false">IF(C270="",0,MAX(0,D270-E270))</f>
        <v>0</v>
      </c>
      <c r="I270" s="3" t="str">
        <f aca="false">IF(C270="","",IF(H270&lt;=0,"Paid",IF(G270&gt;0,"Overdue","Due")))</f>
        <v/>
      </c>
      <c r="J270" s="8"/>
    </row>
    <row r="271" customFormat="false" ht="15" hidden="false" customHeight="false" outlineLevel="0" collapsed="false">
      <c r="A271" s="8"/>
      <c r="B271" s="13"/>
      <c r="C271" s="10"/>
      <c r="D271" s="9"/>
      <c r="E271" s="9"/>
      <c r="F271" s="10"/>
      <c r="G271" s="14" t="n">
        <f aca="false">IF(C271="",0,IF(E271&gt;=D271,MAX(0,IF(F271="",0,F271-C271)),MAX(0,Properties!$B$2-C271)))</f>
        <v>0</v>
      </c>
      <c r="H271" s="15" t="n">
        <f aca="false">IF(C271="",0,MAX(0,D271-E271))</f>
        <v>0</v>
      </c>
      <c r="I271" s="3" t="str">
        <f aca="false">IF(C271="","",IF(H271&lt;=0,"Paid",IF(G271&gt;0,"Overdue","Due")))</f>
        <v/>
      </c>
      <c r="J271" s="8"/>
    </row>
    <row r="272" customFormat="false" ht="15" hidden="false" customHeight="false" outlineLevel="0" collapsed="false">
      <c r="A272" s="8"/>
      <c r="B272" s="13"/>
      <c r="C272" s="10"/>
      <c r="D272" s="9"/>
      <c r="E272" s="9"/>
      <c r="F272" s="10"/>
      <c r="G272" s="14" t="n">
        <f aca="false">IF(C272="",0,IF(E272&gt;=D272,MAX(0,IF(F272="",0,F272-C272)),MAX(0,Properties!$B$2-C272)))</f>
        <v>0</v>
      </c>
      <c r="H272" s="15" t="n">
        <f aca="false">IF(C272="",0,MAX(0,D272-E272))</f>
        <v>0</v>
      </c>
      <c r="I272" s="3" t="str">
        <f aca="false">IF(C272="","",IF(H272&lt;=0,"Paid",IF(G272&gt;0,"Overdue","Due")))</f>
        <v/>
      </c>
      <c r="J272" s="8"/>
    </row>
    <row r="273" customFormat="false" ht="15" hidden="false" customHeight="false" outlineLevel="0" collapsed="false">
      <c r="A273" s="8"/>
      <c r="B273" s="13"/>
      <c r="C273" s="10"/>
      <c r="D273" s="9"/>
      <c r="E273" s="9"/>
      <c r="F273" s="10"/>
      <c r="G273" s="14" t="n">
        <f aca="false">IF(C273="",0,IF(E273&gt;=D273,MAX(0,IF(F273="",0,F273-C273)),MAX(0,Properties!$B$2-C273)))</f>
        <v>0</v>
      </c>
      <c r="H273" s="15" t="n">
        <f aca="false">IF(C273="",0,MAX(0,D273-E273))</f>
        <v>0</v>
      </c>
      <c r="I273" s="3" t="str">
        <f aca="false">IF(C273="","",IF(H273&lt;=0,"Paid",IF(G273&gt;0,"Overdue","Due")))</f>
        <v/>
      </c>
      <c r="J273" s="8"/>
    </row>
    <row r="274" customFormat="false" ht="15" hidden="false" customHeight="false" outlineLevel="0" collapsed="false">
      <c r="A274" s="8"/>
      <c r="B274" s="13"/>
      <c r="C274" s="10"/>
      <c r="D274" s="9"/>
      <c r="E274" s="9"/>
      <c r="F274" s="10"/>
      <c r="G274" s="14" t="n">
        <f aca="false">IF(C274="",0,IF(E274&gt;=D274,MAX(0,IF(F274="",0,F274-C274)),MAX(0,Properties!$B$2-C274)))</f>
        <v>0</v>
      </c>
      <c r="H274" s="15" t="n">
        <f aca="false">IF(C274="",0,MAX(0,D274-E274))</f>
        <v>0</v>
      </c>
      <c r="I274" s="3" t="str">
        <f aca="false">IF(C274="","",IF(H274&lt;=0,"Paid",IF(G274&gt;0,"Overdue","Due")))</f>
        <v/>
      </c>
      <c r="J274" s="8"/>
    </row>
    <row r="275" customFormat="false" ht="15" hidden="false" customHeight="false" outlineLevel="0" collapsed="false">
      <c r="A275" s="8"/>
      <c r="B275" s="13"/>
      <c r="C275" s="10"/>
      <c r="D275" s="9"/>
      <c r="E275" s="9"/>
      <c r="F275" s="10"/>
      <c r="G275" s="14" t="n">
        <f aca="false">IF(C275="",0,IF(E275&gt;=D275,MAX(0,IF(F275="",0,F275-C275)),MAX(0,Properties!$B$2-C275)))</f>
        <v>0</v>
      </c>
      <c r="H275" s="15" t="n">
        <f aca="false">IF(C275="",0,MAX(0,D275-E275))</f>
        <v>0</v>
      </c>
      <c r="I275" s="3" t="str">
        <f aca="false">IF(C275="","",IF(H275&lt;=0,"Paid",IF(G275&gt;0,"Overdue","Due")))</f>
        <v/>
      </c>
      <c r="J275" s="8"/>
    </row>
    <row r="276" customFormat="false" ht="15" hidden="false" customHeight="false" outlineLevel="0" collapsed="false">
      <c r="A276" s="8"/>
      <c r="B276" s="13"/>
      <c r="C276" s="10"/>
      <c r="D276" s="9"/>
      <c r="E276" s="9"/>
      <c r="F276" s="10"/>
      <c r="G276" s="14" t="n">
        <f aca="false">IF(C276="",0,IF(E276&gt;=D276,MAX(0,IF(F276="",0,F276-C276)),MAX(0,Properties!$B$2-C276)))</f>
        <v>0</v>
      </c>
      <c r="H276" s="15" t="n">
        <f aca="false">IF(C276="",0,MAX(0,D276-E276))</f>
        <v>0</v>
      </c>
      <c r="I276" s="3" t="str">
        <f aca="false">IF(C276="","",IF(H276&lt;=0,"Paid",IF(G276&gt;0,"Overdue","Due")))</f>
        <v/>
      </c>
      <c r="J276" s="8"/>
    </row>
    <row r="277" customFormat="false" ht="15" hidden="false" customHeight="false" outlineLevel="0" collapsed="false">
      <c r="A277" s="8"/>
      <c r="B277" s="13"/>
      <c r="C277" s="10"/>
      <c r="D277" s="9"/>
      <c r="E277" s="9"/>
      <c r="F277" s="10"/>
      <c r="G277" s="14" t="n">
        <f aca="false">IF(C277="",0,IF(E277&gt;=D277,MAX(0,IF(F277="",0,F277-C277)),MAX(0,Properties!$B$2-C277)))</f>
        <v>0</v>
      </c>
      <c r="H277" s="15" t="n">
        <f aca="false">IF(C277="",0,MAX(0,D277-E277))</f>
        <v>0</v>
      </c>
      <c r="I277" s="3" t="str">
        <f aca="false">IF(C277="","",IF(H277&lt;=0,"Paid",IF(G277&gt;0,"Overdue","Due")))</f>
        <v/>
      </c>
      <c r="J277" s="8"/>
    </row>
    <row r="278" customFormat="false" ht="15" hidden="false" customHeight="false" outlineLevel="0" collapsed="false">
      <c r="A278" s="8"/>
      <c r="B278" s="13"/>
      <c r="C278" s="10"/>
      <c r="D278" s="9"/>
      <c r="E278" s="9"/>
      <c r="F278" s="10"/>
      <c r="G278" s="14" t="n">
        <f aca="false">IF(C278="",0,IF(E278&gt;=D278,MAX(0,IF(F278="",0,F278-C278)),MAX(0,Properties!$B$2-C278)))</f>
        <v>0</v>
      </c>
      <c r="H278" s="15" t="n">
        <f aca="false">IF(C278="",0,MAX(0,D278-E278))</f>
        <v>0</v>
      </c>
      <c r="I278" s="3" t="str">
        <f aca="false">IF(C278="","",IF(H278&lt;=0,"Paid",IF(G278&gt;0,"Overdue","Due")))</f>
        <v/>
      </c>
      <c r="J278" s="8"/>
    </row>
    <row r="279" customFormat="false" ht="15" hidden="false" customHeight="false" outlineLevel="0" collapsed="false">
      <c r="A279" s="8"/>
      <c r="B279" s="13"/>
      <c r="C279" s="10"/>
      <c r="D279" s="9"/>
      <c r="E279" s="9"/>
      <c r="F279" s="10"/>
      <c r="G279" s="14" t="n">
        <f aca="false">IF(C279="",0,IF(E279&gt;=D279,MAX(0,IF(F279="",0,F279-C279)),MAX(0,Properties!$B$2-C279)))</f>
        <v>0</v>
      </c>
      <c r="H279" s="15" t="n">
        <f aca="false">IF(C279="",0,MAX(0,D279-E279))</f>
        <v>0</v>
      </c>
      <c r="I279" s="3" t="str">
        <f aca="false">IF(C279="","",IF(H279&lt;=0,"Paid",IF(G279&gt;0,"Overdue","Due")))</f>
        <v/>
      </c>
      <c r="J279" s="8"/>
    </row>
    <row r="280" customFormat="false" ht="15" hidden="false" customHeight="false" outlineLevel="0" collapsed="false">
      <c r="A280" s="8"/>
      <c r="B280" s="13"/>
      <c r="C280" s="10"/>
      <c r="D280" s="9"/>
      <c r="E280" s="9"/>
      <c r="F280" s="10"/>
      <c r="G280" s="14" t="n">
        <f aca="false">IF(C280="",0,IF(E280&gt;=D280,MAX(0,IF(F280="",0,F280-C280)),MAX(0,Properties!$B$2-C280)))</f>
        <v>0</v>
      </c>
      <c r="H280" s="15" t="n">
        <f aca="false">IF(C280="",0,MAX(0,D280-E280))</f>
        <v>0</v>
      </c>
      <c r="I280" s="3" t="str">
        <f aca="false">IF(C280="","",IF(H280&lt;=0,"Paid",IF(G280&gt;0,"Overdue","Due")))</f>
        <v/>
      </c>
      <c r="J280" s="8"/>
    </row>
    <row r="281" customFormat="false" ht="15" hidden="false" customHeight="false" outlineLevel="0" collapsed="false">
      <c r="A281" s="8"/>
      <c r="B281" s="13"/>
      <c r="C281" s="10"/>
      <c r="D281" s="9"/>
      <c r="E281" s="9"/>
      <c r="F281" s="10"/>
      <c r="G281" s="14" t="n">
        <f aca="false">IF(C281="",0,IF(E281&gt;=D281,MAX(0,IF(F281="",0,F281-C281)),MAX(0,Properties!$B$2-C281)))</f>
        <v>0</v>
      </c>
      <c r="H281" s="15" t="n">
        <f aca="false">IF(C281="",0,MAX(0,D281-E281))</f>
        <v>0</v>
      </c>
      <c r="I281" s="3" t="str">
        <f aca="false">IF(C281="","",IF(H281&lt;=0,"Paid",IF(G281&gt;0,"Overdue","Due")))</f>
        <v/>
      </c>
      <c r="J281" s="8"/>
    </row>
    <row r="282" customFormat="false" ht="15" hidden="false" customHeight="false" outlineLevel="0" collapsed="false">
      <c r="A282" s="8"/>
      <c r="B282" s="13"/>
      <c r="C282" s="10"/>
      <c r="D282" s="9"/>
      <c r="E282" s="9"/>
      <c r="F282" s="10"/>
      <c r="G282" s="14" t="n">
        <f aca="false">IF(C282="",0,IF(E282&gt;=D282,MAX(0,IF(F282="",0,F282-C282)),MAX(0,Properties!$B$2-C282)))</f>
        <v>0</v>
      </c>
      <c r="H282" s="15" t="n">
        <f aca="false">IF(C282="",0,MAX(0,D282-E282))</f>
        <v>0</v>
      </c>
      <c r="I282" s="3" t="str">
        <f aca="false">IF(C282="","",IF(H282&lt;=0,"Paid",IF(G282&gt;0,"Overdue","Due")))</f>
        <v/>
      </c>
      <c r="J282" s="8"/>
    </row>
    <row r="283" customFormat="false" ht="15" hidden="false" customHeight="false" outlineLevel="0" collapsed="false">
      <c r="A283" s="8"/>
      <c r="B283" s="13"/>
      <c r="C283" s="10"/>
      <c r="D283" s="9"/>
      <c r="E283" s="9"/>
      <c r="F283" s="10"/>
      <c r="G283" s="14" t="n">
        <f aca="false">IF(C283="",0,IF(E283&gt;=D283,MAX(0,IF(F283="",0,F283-C283)),MAX(0,Properties!$B$2-C283)))</f>
        <v>0</v>
      </c>
      <c r="H283" s="15" t="n">
        <f aca="false">IF(C283="",0,MAX(0,D283-E283))</f>
        <v>0</v>
      </c>
      <c r="I283" s="3" t="str">
        <f aca="false">IF(C283="","",IF(H283&lt;=0,"Paid",IF(G283&gt;0,"Overdue","Due")))</f>
        <v/>
      </c>
      <c r="J283" s="8"/>
    </row>
    <row r="284" customFormat="false" ht="15" hidden="false" customHeight="false" outlineLevel="0" collapsed="false">
      <c r="A284" s="8"/>
      <c r="B284" s="13"/>
      <c r="C284" s="10"/>
      <c r="D284" s="9"/>
      <c r="E284" s="9"/>
      <c r="F284" s="10"/>
      <c r="G284" s="14" t="n">
        <f aca="false">IF(C284="",0,IF(E284&gt;=D284,MAX(0,IF(F284="",0,F284-C284)),MAX(0,Properties!$B$2-C284)))</f>
        <v>0</v>
      </c>
      <c r="H284" s="15" t="n">
        <f aca="false">IF(C284="",0,MAX(0,D284-E284))</f>
        <v>0</v>
      </c>
      <c r="I284" s="3" t="str">
        <f aca="false">IF(C284="","",IF(H284&lt;=0,"Paid",IF(G284&gt;0,"Overdue","Due")))</f>
        <v/>
      </c>
      <c r="J284" s="8"/>
    </row>
    <row r="285" customFormat="false" ht="15" hidden="false" customHeight="false" outlineLevel="0" collapsed="false">
      <c r="A285" s="8"/>
      <c r="B285" s="13"/>
      <c r="C285" s="10"/>
      <c r="D285" s="9"/>
      <c r="E285" s="9"/>
      <c r="F285" s="10"/>
      <c r="G285" s="14" t="n">
        <f aca="false">IF(C285="",0,IF(E285&gt;=D285,MAX(0,IF(F285="",0,F285-C285)),MAX(0,Properties!$B$2-C285)))</f>
        <v>0</v>
      </c>
      <c r="H285" s="15" t="n">
        <f aca="false">IF(C285="",0,MAX(0,D285-E285))</f>
        <v>0</v>
      </c>
      <c r="I285" s="3" t="str">
        <f aca="false">IF(C285="","",IF(H285&lt;=0,"Paid",IF(G285&gt;0,"Overdue","Due")))</f>
        <v/>
      </c>
      <c r="J285" s="8"/>
    </row>
    <row r="286" customFormat="false" ht="15" hidden="false" customHeight="false" outlineLevel="0" collapsed="false">
      <c r="A286" s="8"/>
      <c r="B286" s="13"/>
      <c r="C286" s="10"/>
      <c r="D286" s="9"/>
      <c r="E286" s="9"/>
      <c r="F286" s="10"/>
      <c r="G286" s="14" t="n">
        <f aca="false">IF(C286="",0,IF(E286&gt;=D286,MAX(0,IF(F286="",0,F286-C286)),MAX(0,Properties!$B$2-C286)))</f>
        <v>0</v>
      </c>
      <c r="H286" s="15" t="n">
        <f aca="false">IF(C286="",0,MAX(0,D286-E286))</f>
        <v>0</v>
      </c>
      <c r="I286" s="3" t="str">
        <f aca="false">IF(C286="","",IF(H286&lt;=0,"Paid",IF(G286&gt;0,"Overdue","Due")))</f>
        <v/>
      </c>
      <c r="J286" s="8"/>
    </row>
    <row r="287" customFormat="false" ht="15" hidden="false" customHeight="false" outlineLevel="0" collapsed="false">
      <c r="A287" s="8"/>
      <c r="B287" s="13"/>
      <c r="C287" s="10"/>
      <c r="D287" s="9"/>
      <c r="E287" s="9"/>
      <c r="F287" s="10"/>
      <c r="G287" s="14" t="n">
        <f aca="false">IF(C287="",0,IF(E287&gt;=D287,MAX(0,IF(F287="",0,F287-C287)),MAX(0,Properties!$B$2-C287)))</f>
        <v>0</v>
      </c>
      <c r="H287" s="15" t="n">
        <f aca="false">IF(C287="",0,MAX(0,D287-E287))</f>
        <v>0</v>
      </c>
      <c r="I287" s="3" t="str">
        <f aca="false">IF(C287="","",IF(H287&lt;=0,"Paid",IF(G287&gt;0,"Overdue","Due")))</f>
        <v/>
      </c>
      <c r="J287" s="8"/>
    </row>
    <row r="288" customFormat="false" ht="15" hidden="false" customHeight="false" outlineLevel="0" collapsed="false">
      <c r="A288" s="8"/>
      <c r="B288" s="13"/>
      <c r="C288" s="10"/>
      <c r="D288" s="9"/>
      <c r="E288" s="9"/>
      <c r="F288" s="10"/>
      <c r="G288" s="14" t="n">
        <f aca="false">IF(C288="",0,IF(E288&gt;=D288,MAX(0,IF(F288="",0,F288-C288)),MAX(0,Properties!$B$2-C288)))</f>
        <v>0</v>
      </c>
      <c r="H288" s="15" t="n">
        <f aca="false">IF(C288="",0,MAX(0,D288-E288))</f>
        <v>0</v>
      </c>
      <c r="I288" s="3" t="str">
        <f aca="false">IF(C288="","",IF(H288&lt;=0,"Paid",IF(G288&gt;0,"Overdue","Due")))</f>
        <v/>
      </c>
      <c r="J288" s="8"/>
    </row>
    <row r="289" customFormat="false" ht="15" hidden="false" customHeight="false" outlineLevel="0" collapsed="false">
      <c r="A289" s="8"/>
      <c r="B289" s="13"/>
      <c r="C289" s="10"/>
      <c r="D289" s="9"/>
      <c r="E289" s="9"/>
      <c r="F289" s="10"/>
      <c r="G289" s="14" t="n">
        <f aca="false">IF(C289="",0,IF(E289&gt;=D289,MAX(0,IF(F289="",0,F289-C289)),MAX(0,Properties!$B$2-C289)))</f>
        <v>0</v>
      </c>
      <c r="H289" s="15" t="n">
        <f aca="false">IF(C289="",0,MAX(0,D289-E289))</f>
        <v>0</v>
      </c>
      <c r="I289" s="3" t="str">
        <f aca="false">IF(C289="","",IF(H289&lt;=0,"Paid",IF(G289&gt;0,"Overdue","Due")))</f>
        <v/>
      </c>
      <c r="J289" s="8"/>
    </row>
    <row r="290" customFormat="false" ht="15" hidden="false" customHeight="false" outlineLevel="0" collapsed="false">
      <c r="A290" s="8"/>
      <c r="B290" s="13"/>
      <c r="C290" s="10"/>
      <c r="D290" s="9"/>
      <c r="E290" s="9"/>
      <c r="F290" s="10"/>
      <c r="G290" s="14" t="n">
        <f aca="false">IF(C290="",0,IF(E290&gt;=D290,MAX(0,IF(F290="",0,F290-C290)),MAX(0,Properties!$B$2-C290)))</f>
        <v>0</v>
      </c>
      <c r="H290" s="15" t="n">
        <f aca="false">IF(C290="",0,MAX(0,D290-E290))</f>
        <v>0</v>
      </c>
      <c r="I290" s="3" t="str">
        <f aca="false">IF(C290="","",IF(H290&lt;=0,"Paid",IF(G290&gt;0,"Overdue","Due")))</f>
        <v/>
      </c>
      <c r="J290" s="8"/>
    </row>
    <row r="291" customFormat="false" ht="15" hidden="false" customHeight="false" outlineLevel="0" collapsed="false">
      <c r="A291" s="8"/>
      <c r="B291" s="13"/>
      <c r="C291" s="10"/>
      <c r="D291" s="9"/>
      <c r="E291" s="9"/>
      <c r="F291" s="10"/>
      <c r="G291" s="14" t="n">
        <f aca="false">IF(C291="",0,IF(E291&gt;=D291,MAX(0,IF(F291="",0,F291-C291)),MAX(0,Properties!$B$2-C291)))</f>
        <v>0</v>
      </c>
      <c r="H291" s="15" t="n">
        <f aca="false">IF(C291="",0,MAX(0,D291-E291))</f>
        <v>0</v>
      </c>
      <c r="I291" s="3" t="str">
        <f aca="false">IF(C291="","",IF(H291&lt;=0,"Paid",IF(G291&gt;0,"Overdue","Due")))</f>
        <v/>
      </c>
      <c r="J291" s="8"/>
    </row>
    <row r="292" customFormat="false" ht="15" hidden="false" customHeight="false" outlineLevel="0" collapsed="false">
      <c r="A292" s="8"/>
      <c r="B292" s="13"/>
      <c r="C292" s="10"/>
      <c r="D292" s="9"/>
      <c r="E292" s="9"/>
      <c r="F292" s="10"/>
      <c r="G292" s="14" t="n">
        <f aca="false">IF(C292="",0,IF(E292&gt;=D292,MAX(0,IF(F292="",0,F292-C292)),MAX(0,Properties!$B$2-C292)))</f>
        <v>0</v>
      </c>
      <c r="H292" s="15" t="n">
        <f aca="false">IF(C292="",0,MAX(0,D292-E292))</f>
        <v>0</v>
      </c>
      <c r="I292" s="3" t="str">
        <f aca="false">IF(C292="","",IF(H292&lt;=0,"Paid",IF(G292&gt;0,"Overdue","Due")))</f>
        <v/>
      </c>
      <c r="J292" s="8"/>
    </row>
    <row r="293" customFormat="false" ht="15" hidden="false" customHeight="false" outlineLevel="0" collapsed="false">
      <c r="A293" s="8"/>
      <c r="B293" s="13"/>
      <c r="C293" s="10"/>
      <c r="D293" s="9"/>
      <c r="E293" s="9"/>
      <c r="F293" s="10"/>
      <c r="G293" s="14" t="n">
        <f aca="false">IF(C293="",0,IF(E293&gt;=D293,MAX(0,IF(F293="",0,F293-C293)),MAX(0,Properties!$B$2-C293)))</f>
        <v>0</v>
      </c>
      <c r="H293" s="15" t="n">
        <f aca="false">IF(C293="",0,MAX(0,D293-E293))</f>
        <v>0</v>
      </c>
      <c r="I293" s="3" t="str">
        <f aca="false">IF(C293="","",IF(H293&lt;=0,"Paid",IF(G293&gt;0,"Overdue","Due")))</f>
        <v/>
      </c>
      <c r="J293" s="8"/>
    </row>
    <row r="294" customFormat="false" ht="15" hidden="false" customHeight="false" outlineLevel="0" collapsed="false">
      <c r="A294" s="8"/>
      <c r="B294" s="13"/>
      <c r="C294" s="10"/>
      <c r="D294" s="9"/>
      <c r="E294" s="9"/>
      <c r="F294" s="10"/>
      <c r="G294" s="14" t="n">
        <f aca="false">IF(C294="",0,IF(E294&gt;=D294,MAX(0,IF(F294="",0,F294-C294)),MAX(0,Properties!$B$2-C294)))</f>
        <v>0</v>
      </c>
      <c r="H294" s="15" t="n">
        <f aca="false">IF(C294="",0,MAX(0,D294-E294))</f>
        <v>0</v>
      </c>
      <c r="I294" s="3" t="str">
        <f aca="false">IF(C294="","",IF(H294&lt;=0,"Paid",IF(G294&gt;0,"Overdue","Due")))</f>
        <v/>
      </c>
      <c r="J294" s="8"/>
    </row>
    <row r="295" customFormat="false" ht="15" hidden="false" customHeight="false" outlineLevel="0" collapsed="false">
      <c r="A295" s="8"/>
      <c r="B295" s="13"/>
      <c r="C295" s="10"/>
      <c r="D295" s="9"/>
      <c r="E295" s="9"/>
      <c r="F295" s="10"/>
      <c r="G295" s="14" t="n">
        <f aca="false">IF(C295="",0,IF(E295&gt;=D295,MAX(0,IF(F295="",0,F295-C295)),MAX(0,Properties!$B$2-C295)))</f>
        <v>0</v>
      </c>
      <c r="H295" s="15" t="n">
        <f aca="false">IF(C295="",0,MAX(0,D295-E295))</f>
        <v>0</v>
      </c>
      <c r="I295" s="3" t="str">
        <f aca="false">IF(C295="","",IF(H295&lt;=0,"Paid",IF(G295&gt;0,"Overdue","Due")))</f>
        <v/>
      </c>
      <c r="J295" s="8"/>
    </row>
    <row r="296" customFormat="false" ht="15" hidden="false" customHeight="false" outlineLevel="0" collapsed="false">
      <c r="A296" s="8"/>
      <c r="B296" s="13"/>
      <c r="C296" s="10"/>
      <c r="D296" s="9"/>
      <c r="E296" s="9"/>
      <c r="F296" s="10"/>
      <c r="G296" s="14" t="n">
        <f aca="false">IF(C296="",0,IF(E296&gt;=D296,MAX(0,IF(F296="",0,F296-C296)),MAX(0,Properties!$B$2-C296)))</f>
        <v>0</v>
      </c>
      <c r="H296" s="15" t="n">
        <f aca="false">IF(C296="",0,MAX(0,D296-E296))</f>
        <v>0</v>
      </c>
      <c r="I296" s="3" t="str">
        <f aca="false">IF(C296="","",IF(H296&lt;=0,"Paid",IF(G296&gt;0,"Overdue","Due")))</f>
        <v/>
      </c>
      <c r="J296" s="8"/>
    </row>
    <row r="297" customFormat="false" ht="15" hidden="false" customHeight="false" outlineLevel="0" collapsed="false">
      <c r="A297" s="8"/>
      <c r="B297" s="13"/>
      <c r="C297" s="10"/>
      <c r="D297" s="9"/>
      <c r="E297" s="9"/>
      <c r="F297" s="10"/>
      <c r="G297" s="14" t="n">
        <f aca="false">IF(C297="",0,IF(E297&gt;=D297,MAX(0,IF(F297="",0,F297-C297)),MAX(0,Properties!$B$2-C297)))</f>
        <v>0</v>
      </c>
      <c r="H297" s="15" t="n">
        <f aca="false">IF(C297="",0,MAX(0,D297-E297))</f>
        <v>0</v>
      </c>
      <c r="I297" s="3" t="str">
        <f aca="false">IF(C297="","",IF(H297&lt;=0,"Paid",IF(G297&gt;0,"Overdue","Due")))</f>
        <v/>
      </c>
      <c r="J297" s="8"/>
    </row>
    <row r="298" customFormat="false" ht="15" hidden="false" customHeight="false" outlineLevel="0" collapsed="false">
      <c r="A298" s="8"/>
      <c r="B298" s="13"/>
      <c r="C298" s="10"/>
      <c r="D298" s="9"/>
      <c r="E298" s="9"/>
      <c r="F298" s="10"/>
      <c r="G298" s="14" t="n">
        <f aca="false">IF(C298="",0,IF(E298&gt;=D298,MAX(0,IF(F298="",0,F298-C298)),MAX(0,Properties!$B$2-C298)))</f>
        <v>0</v>
      </c>
      <c r="H298" s="15" t="n">
        <f aca="false">IF(C298="",0,MAX(0,D298-E298))</f>
        <v>0</v>
      </c>
      <c r="I298" s="3" t="str">
        <f aca="false">IF(C298="","",IF(H298&lt;=0,"Paid",IF(G298&gt;0,"Overdue","Due")))</f>
        <v/>
      </c>
      <c r="J298" s="8"/>
    </row>
    <row r="299" customFormat="false" ht="15" hidden="false" customHeight="false" outlineLevel="0" collapsed="false">
      <c r="A299" s="8"/>
      <c r="B299" s="13"/>
      <c r="C299" s="10"/>
      <c r="D299" s="9"/>
      <c r="E299" s="9"/>
      <c r="F299" s="10"/>
      <c r="G299" s="14" t="n">
        <f aca="false">IF(C299="",0,IF(E299&gt;=D299,MAX(0,IF(F299="",0,F299-C299)),MAX(0,Properties!$B$2-C299)))</f>
        <v>0</v>
      </c>
      <c r="H299" s="15" t="n">
        <f aca="false">IF(C299="",0,MAX(0,D299-E299))</f>
        <v>0</v>
      </c>
      <c r="I299" s="3" t="str">
        <f aca="false">IF(C299="","",IF(H299&lt;=0,"Paid",IF(G299&gt;0,"Overdue","Due")))</f>
        <v/>
      </c>
      <c r="J299" s="8"/>
    </row>
    <row r="300" customFormat="false" ht="15" hidden="false" customHeight="false" outlineLevel="0" collapsed="false">
      <c r="A300" s="8"/>
      <c r="B300" s="13"/>
      <c r="C300" s="10"/>
      <c r="D300" s="9"/>
      <c r="E300" s="9"/>
      <c r="F300" s="10"/>
      <c r="G300" s="14" t="n">
        <f aca="false">IF(C300="",0,IF(E300&gt;=D300,MAX(0,IF(F300="",0,F300-C300)),MAX(0,Properties!$B$2-C300)))</f>
        <v>0</v>
      </c>
      <c r="H300" s="15" t="n">
        <f aca="false">IF(C300="",0,MAX(0,D300-E300))</f>
        <v>0</v>
      </c>
      <c r="I300" s="3" t="str">
        <f aca="false">IF(C300="","",IF(H300&lt;=0,"Paid",IF(G300&gt;0,"Overdue","Due")))</f>
        <v/>
      </c>
      <c r="J300" s="8"/>
    </row>
    <row r="301" customFormat="false" ht="15" hidden="false" customHeight="false" outlineLevel="0" collapsed="false">
      <c r="A301" s="8"/>
      <c r="B301" s="13"/>
      <c r="C301" s="10"/>
      <c r="D301" s="9"/>
      <c r="E301" s="9"/>
      <c r="F301" s="10"/>
      <c r="G301" s="14" t="n">
        <f aca="false">IF(C301="",0,IF(E301&gt;=D301,MAX(0,IF(F301="",0,F301-C301)),MAX(0,Properties!$B$2-C301)))</f>
        <v>0</v>
      </c>
      <c r="H301" s="15" t="n">
        <f aca="false">IF(C301="",0,MAX(0,D301-E301))</f>
        <v>0</v>
      </c>
      <c r="I301" s="3" t="str">
        <f aca="false">IF(C301="","",IF(H301&lt;=0,"Paid",IF(G301&gt;0,"Overdue","Due")))</f>
        <v/>
      </c>
      <c r="J301" s="8"/>
    </row>
    <row r="302" customFormat="false" ht="15" hidden="false" customHeight="false" outlineLevel="0" collapsed="false">
      <c r="A302" s="8"/>
      <c r="B302" s="13"/>
      <c r="C302" s="10"/>
      <c r="D302" s="9"/>
      <c r="E302" s="9"/>
      <c r="F302" s="10"/>
      <c r="G302" s="14" t="n">
        <f aca="false">IF(C302="",0,IF(E302&gt;=D302,MAX(0,IF(F302="",0,F302-C302)),MAX(0,Properties!$B$2-C302)))</f>
        <v>0</v>
      </c>
      <c r="H302" s="15" t="n">
        <f aca="false">IF(C302="",0,MAX(0,D302-E302))</f>
        <v>0</v>
      </c>
      <c r="I302" s="3" t="str">
        <f aca="false">IF(C302="","",IF(H302&lt;=0,"Paid",IF(G302&gt;0,"Overdue","Due")))</f>
        <v/>
      </c>
      <c r="J302" s="8"/>
    </row>
    <row r="303" customFormat="false" ht="15" hidden="false" customHeight="false" outlineLevel="0" collapsed="false">
      <c r="A303" s="8"/>
      <c r="B303" s="13"/>
      <c r="C303" s="10"/>
      <c r="D303" s="9"/>
      <c r="E303" s="9"/>
      <c r="F303" s="10"/>
      <c r="G303" s="14" t="n">
        <f aca="false">IF(C303="",0,IF(E303&gt;=D303,MAX(0,IF(F303="",0,F303-C303)),MAX(0,Properties!$B$2-C303)))</f>
        <v>0</v>
      </c>
      <c r="H303" s="15" t="n">
        <f aca="false">IF(C303="",0,MAX(0,D303-E303))</f>
        <v>0</v>
      </c>
      <c r="I303" s="3" t="str">
        <f aca="false">IF(C303="","",IF(H303&lt;=0,"Paid",IF(G303&gt;0,"Overdue","Due")))</f>
        <v/>
      </c>
      <c r="J303" s="8"/>
    </row>
    <row r="304" customFormat="false" ht="15" hidden="false" customHeight="false" outlineLevel="0" collapsed="false">
      <c r="A304" s="8"/>
      <c r="B304" s="13"/>
      <c r="C304" s="10"/>
      <c r="D304" s="9"/>
      <c r="E304" s="9"/>
      <c r="F304" s="10"/>
      <c r="G304" s="14" t="n">
        <f aca="false">IF(C304="",0,IF(E304&gt;=D304,MAX(0,IF(F304="",0,F304-C304)),MAX(0,Properties!$B$2-C304)))</f>
        <v>0</v>
      </c>
      <c r="H304" s="15" t="n">
        <f aca="false">IF(C304="",0,MAX(0,D304-E304))</f>
        <v>0</v>
      </c>
      <c r="I304" s="3" t="str">
        <f aca="false">IF(C304="","",IF(H304&lt;=0,"Paid",IF(G304&gt;0,"Overdue","Due")))</f>
        <v/>
      </c>
      <c r="J304" s="8"/>
    </row>
  </sheetData>
  <dataValidations count="1">
    <dataValidation allowBlank="true" errorStyle="stop" operator="between" showDropDown="false" showErrorMessage="false" showInputMessage="false" sqref="A5:A304" type="list">
      <formula1>Properties!$A$5:$A$14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4" t="s">
        <v>43</v>
      </c>
      <c r="B2" s="11" t="n">
        <f aca="false">SUM(E5:E304)</f>
        <v>95</v>
      </c>
    </row>
    <row r="4" customFormat="false" ht="26.85" hidden="false" customHeight="false" outlineLevel="0" collapsed="false">
      <c r="A4" s="6" t="s">
        <v>44</v>
      </c>
      <c r="B4" s="6" t="s">
        <v>32</v>
      </c>
      <c r="C4" s="6" t="s">
        <v>45</v>
      </c>
      <c r="D4" s="6" t="s">
        <v>46</v>
      </c>
      <c r="E4" s="6" t="s">
        <v>47</v>
      </c>
      <c r="F4" s="6" t="s">
        <v>48</v>
      </c>
    </row>
    <row r="5" customFormat="false" ht="15" hidden="false" customHeight="false" outlineLevel="0" collapsed="false">
      <c r="A5" s="10" t="n">
        <v>46284</v>
      </c>
      <c r="B5" s="8" t="s">
        <v>26</v>
      </c>
      <c r="C5" s="8" t="s">
        <v>49</v>
      </c>
      <c r="D5" s="8" t="s">
        <v>50</v>
      </c>
      <c r="E5" s="9" t="n">
        <v>95</v>
      </c>
      <c r="F5" s="14" t="n">
        <f aca="false">IF(A5="","",YEAR(A5))</f>
        <v>2026</v>
      </c>
    </row>
    <row r="6" customFormat="false" ht="15" hidden="false" customHeight="false" outlineLevel="0" collapsed="false">
      <c r="A6" s="10"/>
      <c r="B6" s="8"/>
      <c r="C6" s="8"/>
      <c r="D6" s="8"/>
      <c r="E6" s="9"/>
      <c r="F6" s="14" t="str">
        <f aca="false">IF(A6="","",YEAR(A6))</f>
        <v/>
      </c>
    </row>
    <row r="7" customFormat="false" ht="15" hidden="false" customHeight="false" outlineLevel="0" collapsed="false">
      <c r="A7" s="10"/>
      <c r="B7" s="8"/>
      <c r="C7" s="8"/>
      <c r="D7" s="8"/>
      <c r="E7" s="9"/>
      <c r="F7" s="14" t="str">
        <f aca="false">IF(A7="","",YEAR(A7))</f>
        <v/>
      </c>
    </row>
    <row r="8" customFormat="false" ht="15" hidden="false" customHeight="false" outlineLevel="0" collapsed="false">
      <c r="A8" s="10"/>
      <c r="B8" s="8"/>
      <c r="C8" s="8"/>
      <c r="D8" s="8"/>
      <c r="E8" s="9"/>
      <c r="F8" s="14" t="str">
        <f aca="false">IF(A8="","",YEAR(A8))</f>
        <v/>
      </c>
    </row>
    <row r="9" customFormat="false" ht="15" hidden="false" customHeight="false" outlineLevel="0" collapsed="false">
      <c r="A9" s="10"/>
      <c r="B9" s="8"/>
      <c r="C9" s="8"/>
      <c r="D9" s="8"/>
      <c r="E9" s="9"/>
      <c r="F9" s="14" t="str">
        <f aca="false">IF(A9="","",YEAR(A9))</f>
        <v/>
      </c>
    </row>
    <row r="10" customFormat="false" ht="15" hidden="false" customHeight="false" outlineLevel="0" collapsed="false">
      <c r="A10" s="10"/>
      <c r="B10" s="8"/>
      <c r="C10" s="8"/>
      <c r="D10" s="8"/>
      <c r="E10" s="9"/>
      <c r="F10" s="14" t="str">
        <f aca="false">IF(A10="","",YEAR(A10))</f>
        <v/>
      </c>
    </row>
    <row r="11" customFormat="false" ht="15" hidden="false" customHeight="false" outlineLevel="0" collapsed="false">
      <c r="A11" s="10"/>
      <c r="B11" s="8"/>
      <c r="C11" s="8"/>
      <c r="D11" s="8"/>
      <c r="E11" s="9"/>
      <c r="F11" s="14" t="str">
        <f aca="false">IF(A11="","",YEAR(A11))</f>
        <v/>
      </c>
    </row>
    <row r="12" customFormat="false" ht="15" hidden="false" customHeight="false" outlineLevel="0" collapsed="false">
      <c r="A12" s="10"/>
      <c r="B12" s="8"/>
      <c r="C12" s="8"/>
      <c r="D12" s="8"/>
      <c r="E12" s="9"/>
      <c r="F12" s="14" t="str">
        <f aca="false">IF(A12="","",YEAR(A12))</f>
        <v/>
      </c>
    </row>
    <row r="13" customFormat="false" ht="15" hidden="false" customHeight="false" outlineLevel="0" collapsed="false">
      <c r="A13" s="10"/>
      <c r="B13" s="8"/>
      <c r="C13" s="8"/>
      <c r="D13" s="8"/>
      <c r="E13" s="9"/>
      <c r="F13" s="14" t="str">
        <f aca="false">IF(A13="","",YEAR(A13))</f>
        <v/>
      </c>
    </row>
    <row r="14" customFormat="false" ht="15" hidden="false" customHeight="false" outlineLevel="0" collapsed="false">
      <c r="A14" s="10"/>
      <c r="B14" s="8"/>
      <c r="C14" s="8"/>
      <c r="D14" s="8"/>
      <c r="E14" s="9"/>
      <c r="F14" s="14" t="str">
        <f aca="false">IF(A14="","",YEAR(A14))</f>
        <v/>
      </c>
    </row>
    <row r="15" customFormat="false" ht="15" hidden="false" customHeight="false" outlineLevel="0" collapsed="false">
      <c r="A15" s="10"/>
      <c r="B15" s="8"/>
      <c r="C15" s="8"/>
      <c r="D15" s="8"/>
      <c r="E15" s="9"/>
      <c r="F15" s="14" t="str">
        <f aca="false">IF(A15="","",YEAR(A15))</f>
        <v/>
      </c>
    </row>
    <row r="16" customFormat="false" ht="15" hidden="false" customHeight="false" outlineLevel="0" collapsed="false">
      <c r="A16" s="10"/>
      <c r="B16" s="8"/>
      <c r="C16" s="8"/>
      <c r="D16" s="8"/>
      <c r="E16" s="9"/>
      <c r="F16" s="14" t="str">
        <f aca="false">IF(A16="","",YEAR(A16))</f>
        <v/>
      </c>
    </row>
    <row r="17" customFormat="false" ht="15" hidden="false" customHeight="false" outlineLevel="0" collapsed="false">
      <c r="A17" s="10"/>
      <c r="B17" s="8"/>
      <c r="C17" s="8"/>
      <c r="D17" s="8"/>
      <c r="E17" s="9"/>
      <c r="F17" s="14" t="str">
        <f aca="false">IF(A17="","",YEAR(A17))</f>
        <v/>
      </c>
    </row>
    <row r="18" customFormat="false" ht="15" hidden="false" customHeight="false" outlineLevel="0" collapsed="false">
      <c r="A18" s="10"/>
      <c r="B18" s="8"/>
      <c r="C18" s="8"/>
      <c r="D18" s="8"/>
      <c r="E18" s="9"/>
      <c r="F18" s="14" t="str">
        <f aca="false">IF(A18="","",YEAR(A18))</f>
        <v/>
      </c>
    </row>
    <row r="19" customFormat="false" ht="15" hidden="false" customHeight="false" outlineLevel="0" collapsed="false">
      <c r="A19" s="10"/>
      <c r="B19" s="8"/>
      <c r="C19" s="8"/>
      <c r="D19" s="8"/>
      <c r="E19" s="9"/>
      <c r="F19" s="14" t="str">
        <f aca="false">IF(A19="","",YEAR(A19))</f>
        <v/>
      </c>
    </row>
    <row r="20" customFormat="false" ht="15" hidden="false" customHeight="false" outlineLevel="0" collapsed="false">
      <c r="A20" s="10"/>
      <c r="B20" s="8"/>
      <c r="C20" s="8"/>
      <c r="D20" s="8"/>
      <c r="E20" s="9"/>
      <c r="F20" s="14" t="str">
        <f aca="false">IF(A20="","",YEAR(A20))</f>
        <v/>
      </c>
    </row>
    <row r="21" customFormat="false" ht="15" hidden="false" customHeight="false" outlineLevel="0" collapsed="false">
      <c r="A21" s="10"/>
      <c r="B21" s="8"/>
      <c r="C21" s="8"/>
      <c r="D21" s="8"/>
      <c r="E21" s="9"/>
      <c r="F21" s="14" t="str">
        <f aca="false">IF(A21="","",YEAR(A21))</f>
        <v/>
      </c>
    </row>
    <row r="22" customFormat="false" ht="15" hidden="false" customHeight="false" outlineLevel="0" collapsed="false">
      <c r="A22" s="10"/>
      <c r="B22" s="8"/>
      <c r="C22" s="8"/>
      <c r="D22" s="8"/>
      <c r="E22" s="9"/>
      <c r="F22" s="14" t="str">
        <f aca="false">IF(A22="","",YEAR(A22))</f>
        <v/>
      </c>
    </row>
    <row r="23" customFormat="false" ht="15" hidden="false" customHeight="false" outlineLevel="0" collapsed="false">
      <c r="A23" s="10"/>
      <c r="B23" s="8"/>
      <c r="C23" s="8"/>
      <c r="D23" s="8"/>
      <c r="E23" s="9"/>
      <c r="F23" s="14" t="str">
        <f aca="false">IF(A23="","",YEAR(A23))</f>
        <v/>
      </c>
    </row>
    <row r="24" customFormat="false" ht="15" hidden="false" customHeight="false" outlineLevel="0" collapsed="false">
      <c r="A24" s="10"/>
      <c r="B24" s="8"/>
      <c r="C24" s="8"/>
      <c r="D24" s="8"/>
      <c r="E24" s="9"/>
      <c r="F24" s="14" t="str">
        <f aca="false">IF(A24="","",YEAR(A24))</f>
        <v/>
      </c>
    </row>
    <row r="25" customFormat="false" ht="15" hidden="false" customHeight="false" outlineLevel="0" collapsed="false">
      <c r="A25" s="10"/>
      <c r="B25" s="8"/>
      <c r="C25" s="8"/>
      <c r="D25" s="8"/>
      <c r="E25" s="9"/>
      <c r="F25" s="14" t="str">
        <f aca="false">IF(A25="","",YEAR(A25))</f>
        <v/>
      </c>
    </row>
    <row r="26" customFormat="false" ht="15" hidden="false" customHeight="false" outlineLevel="0" collapsed="false">
      <c r="A26" s="10"/>
      <c r="B26" s="8"/>
      <c r="C26" s="8"/>
      <c r="D26" s="8"/>
      <c r="E26" s="9"/>
      <c r="F26" s="14" t="str">
        <f aca="false">IF(A26="","",YEAR(A26))</f>
        <v/>
      </c>
    </row>
    <row r="27" customFormat="false" ht="15" hidden="false" customHeight="false" outlineLevel="0" collapsed="false">
      <c r="A27" s="10"/>
      <c r="B27" s="8"/>
      <c r="C27" s="8"/>
      <c r="D27" s="8"/>
      <c r="E27" s="9"/>
      <c r="F27" s="14" t="str">
        <f aca="false">IF(A27="","",YEAR(A27))</f>
        <v/>
      </c>
    </row>
    <row r="28" customFormat="false" ht="15" hidden="false" customHeight="false" outlineLevel="0" collapsed="false">
      <c r="A28" s="10"/>
      <c r="B28" s="8"/>
      <c r="C28" s="8"/>
      <c r="D28" s="8"/>
      <c r="E28" s="9"/>
      <c r="F28" s="14" t="str">
        <f aca="false">IF(A28="","",YEAR(A28))</f>
        <v/>
      </c>
    </row>
    <row r="29" customFormat="false" ht="15" hidden="false" customHeight="false" outlineLevel="0" collapsed="false">
      <c r="A29" s="10"/>
      <c r="B29" s="8"/>
      <c r="C29" s="8"/>
      <c r="D29" s="8"/>
      <c r="E29" s="9"/>
      <c r="F29" s="14" t="str">
        <f aca="false">IF(A29="","",YEAR(A29))</f>
        <v/>
      </c>
    </row>
    <row r="30" customFormat="false" ht="15" hidden="false" customHeight="false" outlineLevel="0" collapsed="false">
      <c r="A30" s="10"/>
      <c r="B30" s="8"/>
      <c r="C30" s="8"/>
      <c r="D30" s="8"/>
      <c r="E30" s="9"/>
      <c r="F30" s="14" t="str">
        <f aca="false">IF(A30="","",YEAR(A30))</f>
        <v/>
      </c>
    </row>
    <row r="31" customFormat="false" ht="15" hidden="false" customHeight="false" outlineLevel="0" collapsed="false">
      <c r="A31" s="10"/>
      <c r="B31" s="8"/>
      <c r="C31" s="8"/>
      <c r="D31" s="8"/>
      <c r="E31" s="9"/>
      <c r="F31" s="14" t="str">
        <f aca="false">IF(A31="","",YEAR(A31))</f>
        <v/>
      </c>
    </row>
    <row r="32" customFormat="false" ht="15" hidden="false" customHeight="false" outlineLevel="0" collapsed="false">
      <c r="A32" s="10"/>
      <c r="B32" s="8"/>
      <c r="C32" s="8"/>
      <c r="D32" s="8"/>
      <c r="E32" s="9"/>
      <c r="F32" s="14" t="str">
        <f aca="false">IF(A32="","",YEAR(A32))</f>
        <v/>
      </c>
    </row>
    <row r="33" customFormat="false" ht="15" hidden="false" customHeight="false" outlineLevel="0" collapsed="false">
      <c r="A33" s="10"/>
      <c r="B33" s="8"/>
      <c r="C33" s="8"/>
      <c r="D33" s="8"/>
      <c r="E33" s="9"/>
      <c r="F33" s="14" t="str">
        <f aca="false">IF(A33="","",YEAR(A33))</f>
        <v/>
      </c>
    </row>
    <row r="34" customFormat="false" ht="15" hidden="false" customHeight="false" outlineLevel="0" collapsed="false">
      <c r="A34" s="10"/>
      <c r="B34" s="8"/>
      <c r="C34" s="8"/>
      <c r="D34" s="8"/>
      <c r="E34" s="9"/>
      <c r="F34" s="14" t="str">
        <f aca="false">IF(A34="","",YEAR(A34))</f>
        <v/>
      </c>
    </row>
    <row r="35" customFormat="false" ht="15" hidden="false" customHeight="false" outlineLevel="0" collapsed="false">
      <c r="A35" s="10"/>
      <c r="B35" s="8"/>
      <c r="C35" s="8"/>
      <c r="D35" s="8"/>
      <c r="E35" s="9"/>
      <c r="F35" s="14" t="str">
        <f aca="false">IF(A35="","",YEAR(A35))</f>
        <v/>
      </c>
    </row>
    <row r="36" customFormat="false" ht="15" hidden="false" customHeight="false" outlineLevel="0" collapsed="false">
      <c r="A36" s="10"/>
      <c r="B36" s="8"/>
      <c r="C36" s="8"/>
      <c r="D36" s="8"/>
      <c r="E36" s="9"/>
      <c r="F36" s="14" t="str">
        <f aca="false">IF(A36="","",YEAR(A36))</f>
        <v/>
      </c>
    </row>
    <row r="37" customFormat="false" ht="15" hidden="false" customHeight="false" outlineLevel="0" collapsed="false">
      <c r="A37" s="10"/>
      <c r="B37" s="8"/>
      <c r="C37" s="8"/>
      <c r="D37" s="8"/>
      <c r="E37" s="9"/>
      <c r="F37" s="14" t="str">
        <f aca="false">IF(A37="","",YEAR(A37))</f>
        <v/>
      </c>
    </row>
    <row r="38" customFormat="false" ht="15" hidden="false" customHeight="false" outlineLevel="0" collapsed="false">
      <c r="A38" s="10"/>
      <c r="B38" s="8"/>
      <c r="C38" s="8"/>
      <c r="D38" s="8"/>
      <c r="E38" s="9"/>
      <c r="F38" s="14" t="str">
        <f aca="false">IF(A38="","",YEAR(A38))</f>
        <v/>
      </c>
    </row>
    <row r="39" customFormat="false" ht="15" hidden="false" customHeight="false" outlineLevel="0" collapsed="false">
      <c r="A39" s="10"/>
      <c r="B39" s="8"/>
      <c r="C39" s="8"/>
      <c r="D39" s="8"/>
      <c r="E39" s="9"/>
      <c r="F39" s="14" t="str">
        <f aca="false">IF(A39="","",YEAR(A39))</f>
        <v/>
      </c>
    </row>
    <row r="40" customFormat="false" ht="15" hidden="false" customHeight="false" outlineLevel="0" collapsed="false">
      <c r="A40" s="10"/>
      <c r="B40" s="8"/>
      <c r="C40" s="8"/>
      <c r="D40" s="8"/>
      <c r="E40" s="9"/>
      <c r="F40" s="14" t="str">
        <f aca="false">IF(A40="","",YEAR(A40))</f>
        <v/>
      </c>
    </row>
    <row r="41" customFormat="false" ht="15" hidden="false" customHeight="false" outlineLevel="0" collapsed="false">
      <c r="A41" s="10"/>
      <c r="B41" s="8"/>
      <c r="C41" s="8"/>
      <c r="D41" s="8"/>
      <c r="E41" s="9"/>
      <c r="F41" s="14" t="str">
        <f aca="false">IF(A41="","",YEAR(A41))</f>
        <v/>
      </c>
    </row>
    <row r="42" customFormat="false" ht="15" hidden="false" customHeight="false" outlineLevel="0" collapsed="false">
      <c r="A42" s="10"/>
      <c r="B42" s="8"/>
      <c r="C42" s="8"/>
      <c r="D42" s="8"/>
      <c r="E42" s="9"/>
      <c r="F42" s="14" t="str">
        <f aca="false">IF(A42="","",YEAR(A42))</f>
        <v/>
      </c>
    </row>
    <row r="43" customFormat="false" ht="15" hidden="false" customHeight="false" outlineLevel="0" collapsed="false">
      <c r="A43" s="10"/>
      <c r="B43" s="8"/>
      <c r="C43" s="8"/>
      <c r="D43" s="8"/>
      <c r="E43" s="9"/>
      <c r="F43" s="14" t="str">
        <f aca="false">IF(A43="","",YEAR(A43))</f>
        <v/>
      </c>
    </row>
    <row r="44" customFormat="false" ht="15" hidden="false" customHeight="false" outlineLevel="0" collapsed="false">
      <c r="A44" s="10"/>
      <c r="B44" s="8"/>
      <c r="C44" s="8"/>
      <c r="D44" s="8"/>
      <c r="E44" s="9"/>
      <c r="F44" s="14" t="str">
        <f aca="false">IF(A44="","",YEAR(A44))</f>
        <v/>
      </c>
    </row>
    <row r="45" customFormat="false" ht="15" hidden="false" customHeight="false" outlineLevel="0" collapsed="false">
      <c r="A45" s="10"/>
      <c r="B45" s="8"/>
      <c r="C45" s="8"/>
      <c r="D45" s="8"/>
      <c r="E45" s="9"/>
      <c r="F45" s="14" t="str">
        <f aca="false">IF(A45="","",YEAR(A45))</f>
        <v/>
      </c>
    </row>
    <row r="46" customFormat="false" ht="15" hidden="false" customHeight="false" outlineLevel="0" collapsed="false">
      <c r="A46" s="10"/>
      <c r="B46" s="8"/>
      <c r="C46" s="8"/>
      <c r="D46" s="8"/>
      <c r="E46" s="9"/>
      <c r="F46" s="14" t="str">
        <f aca="false">IF(A46="","",YEAR(A46))</f>
        <v/>
      </c>
    </row>
    <row r="47" customFormat="false" ht="15" hidden="false" customHeight="false" outlineLevel="0" collapsed="false">
      <c r="A47" s="10"/>
      <c r="B47" s="8"/>
      <c r="C47" s="8"/>
      <c r="D47" s="8"/>
      <c r="E47" s="9"/>
      <c r="F47" s="14" t="str">
        <f aca="false">IF(A47="","",YEAR(A47))</f>
        <v/>
      </c>
    </row>
    <row r="48" customFormat="false" ht="15" hidden="false" customHeight="false" outlineLevel="0" collapsed="false">
      <c r="A48" s="10"/>
      <c r="B48" s="8"/>
      <c r="C48" s="8"/>
      <c r="D48" s="8"/>
      <c r="E48" s="9"/>
      <c r="F48" s="14" t="str">
        <f aca="false">IF(A48="","",YEAR(A48))</f>
        <v/>
      </c>
    </row>
    <row r="49" customFormat="false" ht="15" hidden="false" customHeight="false" outlineLevel="0" collapsed="false">
      <c r="A49" s="10"/>
      <c r="B49" s="8"/>
      <c r="C49" s="8"/>
      <c r="D49" s="8"/>
      <c r="E49" s="9"/>
      <c r="F49" s="14" t="str">
        <f aca="false">IF(A49="","",YEAR(A49))</f>
        <v/>
      </c>
    </row>
    <row r="50" customFormat="false" ht="15" hidden="false" customHeight="false" outlineLevel="0" collapsed="false">
      <c r="A50" s="10"/>
      <c r="B50" s="8"/>
      <c r="C50" s="8"/>
      <c r="D50" s="8"/>
      <c r="E50" s="9"/>
      <c r="F50" s="14" t="str">
        <f aca="false">IF(A50="","",YEAR(A50))</f>
        <v/>
      </c>
    </row>
    <row r="51" customFormat="false" ht="15" hidden="false" customHeight="false" outlineLevel="0" collapsed="false">
      <c r="A51" s="10"/>
      <c r="B51" s="8"/>
      <c r="C51" s="8"/>
      <c r="D51" s="8"/>
      <c r="E51" s="9"/>
      <c r="F51" s="14" t="str">
        <f aca="false">IF(A51="","",YEAR(A51))</f>
        <v/>
      </c>
    </row>
    <row r="52" customFormat="false" ht="15" hidden="false" customHeight="false" outlineLevel="0" collapsed="false">
      <c r="A52" s="10"/>
      <c r="B52" s="8"/>
      <c r="C52" s="8"/>
      <c r="D52" s="8"/>
      <c r="E52" s="9"/>
      <c r="F52" s="14" t="str">
        <f aca="false">IF(A52="","",YEAR(A52))</f>
        <v/>
      </c>
    </row>
    <row r="53" customFormat="false" ht="15" hidden="false" customHeight="false" outlineLevel="0" collapsed="false">
      <c r="A53" s="10"/>
      <c r="B53" s="8"/>
      <c r="C53" s="8"/>
      <c r="D53" s="8"/>
      <c r="E53" s="9"/>
      <c r="F53" s="14" t="str">
        <f aca="false">IF(A53="","",YEAR(A53))</f>
        <v/>
      </c>
    </row>
    <row r="54" customFormat="false" ht="15" hidden="false" customHeight="false" outlineLevel="0" collapsed="false">
      <c r="A54" s="10"/>
      <c r="B54" s="8"/>
      <c r="C54" s="8"/>
      <c r="D54" s="8"/>
      <c r="E54" s="9"/>
      <c r="F54" s="14" t="str">
        <f aca="false">IF(A54="","",YEAR(A54))</f>
        <v/>
      </c>
    </row>
    <row r="55" customFormat="false" ht="15" hidden="false" customHeight="false" outlineLevel="0" collapsed="false">
      <c r="A55" s="10"/>
      <c r="B55" s="8"/>
      <c r="C55" s="8"/>
      <c r="D55" s="8"/>
      <c r="E55" s="9"/>
      <c r="F55" s="14" t="str">
        <f aca="false">IF(A55="","",YEAR(A55))</f>
        <v/>
      </c>
    </row>
    <row r="56" customFormat="false" ht="15" hidden="false" customHeight="false" outlineLevel="0" collapsed="false">
      <c r="A56" s="10"/>
      <c r="B56" s="8"/>
      <c r="C56" s="8"/>
      <c r="D56" s="8"/>
      <c r="E56" s="9"/>
      <c r="F56" s="14" t="str">
        <f aca="false">IF(A56="","",YEAR(A56))</f>
        <v/>
      </c>
    </row>
    <row r="57" customFormat="false" ht="15" hidden="false" customHeight="false" outlineLevel="0" collapsed="false">
      <c r="A57" s="10"/>
      <c r="B57" s="8"/>
      <c r="C57" s="8"/>
      <c r="D57" s="8"/>
      <c r="E57" s="9"/>
      <c r="F57" s="14" t="str">
        <f aca="false">IF(A57="","",YEAR(A57))</f>
        <v/>
      </c>
    </row>
    <row r="58" customFormat="false" ht="15" hidden="false" customHeight="false" outlineLevel="0" collapsed="false">
      <c r="A58" s="10"/>
      <c r="B58" s="8"/>
      <c r="C58" s="8"/>
      <c r="D58" s="8"/>
      <c r="E58" s="9"/>
      <c r="F58" s="14" t="str">
        <f aca="false">IF(A58="","",YEAR(A58))</f>
        <v/>
      </c>
    </row>
    <row r="59" customFormat="false" ht="15" hidden="false" customHeight="false" outlineLevel="0" collapsed="false">
      <c r="A59" s="10"/>
      <c r="B59" s="8"/>
      <c r="C59" s="8"/>
      <c r="D59" s="8"/>
      <c r="E59" s="9"/>
      <c r="F59" s="14" t="str">
        <f aca="false">IF(A59="","",YEAR(A59))</f>
        <v/>
      </c>
    </row>
    <row r="60" customFormat="false" ht="15" hidden="false" customHeight="false" outlineLevel="0" collapsed="false">
      <c r="A60" s="10"/>
      <c r="B60" s="8"/>
      <c r="C60" s="8"/>
      <c r="D60" s="8"/>
      <c r="E60" s="9"/>
      <c r="F60" s="14" t="str">
        <f aca="false">IF(A60="","",YEAR(A60))</f>
        <v/>
      </c>
    </row>
    <row r="61" customFormat="false" ht="15" hidden="false" customHeight="false" outlineLevel="0" collapsed="false">
      <c r="A61" s="10"/>
      <c r="B61" s="8"/>
      <c r="C61" s="8"/>
      <c r="D61" s="8"/>
      <c r="E61" s="9"/>
      <c r="F61" s="14" t="str">
        <f aca="false">IF(A61="","",YEAR(A61))</f>
        <v/>
      </c>
    </row>
    <row r="62" customFormat="false" ht="15" hidden="false" customHeight="false" outlineLevel="0" collapsed="false">
      <c r="A62" s="10"/>
      <c r="B62" s="8"/>
      <c r="C62" s="8"/>
      <c r="D62" s="8"/>
      <c r="E62" s="9"/>
      <c r="F62" s="14" t="str">
        <f aca="false">IF(A62="","",YEAR(A62))</f>
        <v/>
      </c>
    </row>
    <row r="63" customFormat="false" ht="15" hidden="false" customHeight="false" outlineLevel="0" collapsed="false">
      <c r="A63" s="10"/>
      <c r="B63" s="8"/>
      <c r="C63" s="8"/>
      <c r="D63" s="8"/>
      <c r="E63" s="9"/>
      <c r="F63" s="14" t="str">
        <f aca="false">IF(A63="","",YEAR(A63))</f>
        <v/>
      </c>
    </row>
    <row r="64" customFormat="false" ht="15" hidden="false" customHeight="false" outlineLevel="0" collapsed="false">
      <c r="A64" s="10"/>
      <c r="B64" s="8"/>
      <c r="C64" s="8"/>
      <c r="D64" s="8"/>
      <c r="E64" s="9"/>
      <c r="F64" s="14" t="str">
        <f aca="false">IF(A64="","",YEAR(A64))</f>
        <v/>
      </c>
    </row>
    <row r="65" customFormat="false" ht="15" hidden="false" customHeight="false" outlineLevel="0" collapsed="false">
      <c r="A65" s="10"/>
      <c r="B65" s="8"/>
      <c r="C65" s="8"/>
      <c r="D65" s="8"/>
      <c r="E65" s="9"/>
      <c r="F65" s="14" t="str">
        <f aca="false">IF(A65="","",YEAR(A65))</f>
        <v/>
      </c>
    </row>
    <row r="66" customFormat="false" ht="15" hidden="false" customHeight="false" outlineLevel="0" collapsed="false">
      <c r="A66" s="10"/>
      <c r="B66" s="8"/>
      <c r="C66" s="8"/>
      <c r="D66" s="8"/>
      <c r="E66" s="9"/>
      <c r="F66" s="14" t="str">
        <f aca="false">IF(A66="","",YEAR(A66))</f>
        <v/>
      </c>
    </row>
    <row r="67" customFormat="false" ht="15" hidden="false" customHeight="false" outlineLevel="0" collapsed="false">
      <c r="A67" s="10"/>
      <c r="B67" s="8"/>
      <c r="C67" s="8"/>
      <c r="D67" s="8"/>
      <c r="E67" s="9"/>
      <c r="F67" s="14" t="str">
        <f aca="false">IF(A67="","",YEAR(A67))</f>
        <v/>
      </c>
    </row>
    <row r="68" customFormat="false" ht="15" hidden="false" customHeight="false" outlineLevel="0" collapsed="false">
      <c r="A68" s="10"/>
      <c r="B68" s="8"/>
      <c r="C68" s="8"/>
      <c r="D68" s="8"/>
      <c r="E68" s="9"/>
      <c r="F68" s="14" t="str">
        <f aca="false">IF(A68="","",YEAR(A68))</f>
        <v/>
      </c>
    </row>
    <row r="69" customFormat="false" ht="15" hidden="false" customHeight="false" outlineLevel="0" collapsed="false">
      <c r="A69" s="10"/>
      <c r="B69" s="8"/>
      <c r="C69" s="8"/>
      <c r="D69" s="8"/>
      <c r="E69" s="9"/>
      <c r="F69" s="14" t="str">
        <f aca="false">IF(A69="","",YEAR(A69))</f>
        <v/>
      </c>
    </row>
    <row r="70" customFormat="false" ht="15" hidden="false" customHeight="false" outlineLevel="0" collapsed="false">
      <c r="A70" s="10"/>
      <c r="B70" s="8"/>
      <c r="C70" s="8"/>
      <c r="D70" s="8"/>
      <c r="E70" s="9"/>
      <c r="F70" s="14" t="str">
        <f aca="false">IF(A70="","",YEAR(A70))</f>
        <v/>
      </c>
    </row>
    <row r="71" customFormat="false" ht="15" hidden="false" customHeight="false" outlineLevel="0" collapsed="false">
      <c r="A71" s="10"/>
      <c r="B71" s="8"/>
      <c r="C71" s="8"/>
      <c r="D71" s="8"/>
      <c r="E71" s="9"/>
      <c r="F71" s="14" t="str">
        <f aca="false">IF(A71="","",YEAR(A71))</f>
        <v/>
      </c>
    </row>
    <row r="72" customFormat="false" ht="15" hidden="false" customHeight="false" outlineLevel="0" collapsed="false">
      <c r="A72" s="10"/>
      <c r="B72" s="8"/>
      <c r="C72" s="8"/>
      <c r="D72" s="8"/>
      <c r="E72" s="9"/>
      <c r="F72" s="14" t="str">
        <f aca="false">IF(A72="","",YEAR(A72))</f>
        <v/>
      </c>
    </row>
    <row r="73" customFormat="false" ht="15" hidden="false" customHeight="false" outlineLevel="0" collapsed="false">
      <c r="A73" s="10"/>
      <c r="B73" s="8"/>
      <c r="C73" s="8"/>
      <c r="D73" s="8"/>
      <c r="E73" s="9"/>
      <c r="F73" s="14" t="str">
        <f aca="false">IF(A73="","",YEAR(A73))</f>
        <v/>
      </c>
    </row>
    <row r="74" customFormat="false" ht="15" hidden="false" customHeight="false" outlineLevel="0" collapsed="false">
      <c r="A74" s="10"/>
      <c r="B74" s="8"/>
      <c r="C74" s="8"/>
      <c r="D74" s="8"/>
      <c r="E74" s="9"/>
      <c r="F74" s="14" t="str">
        <f aca="false">IF(A74="","",YEAR(A74))</f>
        <v/>
      </c>
    </row>
    <row r="75" customFormat="false" ht="15" hidden="false" customHeight="false" outlineLevel="0" collapsed="false">
      <c r="A75" s="10"/>
      <c r="B75" s="8"/>
      <c r="C75" s="8"/>
      <c r="D75" s="8"/>
      <c r="E75" s="9"/>
      <c r="F75" s="14" t="str">
        <f aca="false">IF(A75="","",YEAR(A75))</f>
        <v/>
      </c>
    </row>
    <row r="76" customFormat="false" ht="15" hidden="false" customHeight="false" outlineLevel="0" collapsed="false">
      <c r="A76" s="10"/>
      <c r="B76" s="8"/>
      <c r="C76" s="8"/>
      <c r="D76" s="8"/>
      <c r="E76" s="9"/>
      <c r="F76" s="14" t="str">
        <f aca="false">IF(A76="","",YEAR(A76))</f>
        <v/>
      </c>
    </row>
    <row r="77" customFormat="false" ht="15" hidden="false" customHeight="false" outlineLevel="0" collapsed="false">
      <c r="A77" s="10"/>
      <c r="B77" s="8"/>
      <c r="C77" s="8"/>
      <c r="D77" s="8"/>
      <c r="E77" s="9"/>
      <c r="F77" s="14" t="str">
        <f aca="false">IF(A77="","",YEAR(A77))</f>
        <v/>
      </c>
    </row>
    <row r="78" customFormat="false" ht="15" hidden="false" customHeight="false" outlineLevel="0" collapsed="false">
      <c r="A78" s="10"/>
      <c r="B78" s="8"/>
      <c r="C78" s="8"/>
      <c r="D78" s="8"/>
      <c r="E78" s="9"/>
      <c r="F78" s="14" t="str">
        <f aca="false">IF(A78="","",YEAR(A78))</f>
        <v/>
      </c>
    </row>
    <row r="79" customFormat="false" ht="15" hidden="false" customHeight="false" outlineLevel="0" collapsed="false">
      <c r="A79" s="10"/>
      <c r="B79" s="8"/>
      <c r="C79" s="8"/>
      <c r="D79" s="8"/>
      <c r="E79" s="9"/>
      <c r="F79" s="14" t="str">
        <f aca="false">IF(A79="","",YEAR(A79))</f>
        <v/>
      </c>
    </row>
    <row r="80" customFormat="false" ht="15" hidden="false" customHeight="false" outlineLevel="0" collapsed="false">
      <c r="A80" s="10"/>
      <c r="B80" s="8"/>
      <c r="C80" s="8"/>
      <c r="D80" s="8"/>
      <c r="E80" s="9"/>
      <c r="F80" s="14" t="str">
        <f aca="false">IF(A80="","",YEAR(A80))</f>
        <v/>
      </c>
    </row>
    <row r="81" customFormat="false" ht="15" hidden="false" customHeight="false" outlineLevel="0" collapsed="false">
      <c r="A81" s="10"/>
      <c r="B81" s="8"/>
      <c r="C81" s="8"/>
      <c r="D81" s="8"/>
      <c r="E81" s="9"/>
      <c r="F81" s="14" t="str">
        <f aca="false">IF(A81="","",YEAR(A81))</f>
        <v/>
      </c>
    </row>
    <row r="82" customFormat="false" ht="15" hidden="false" customHeight="false" outlineLevel="0" collapsed="false">
      <c r="A82" s="10"/>
      <c r="B82" s="8"/>
      <c r="C82" s="8"/>
      <c r="D82" s="8"/>
      <c r="E82" s="9"/>
      <c r="F82" s="14" t="str">
        <f aca="false">IF(A82="","",YEAR(A82))</f>
        <v/>
      </c>
    </row>
    <row r="83" customFormat="false" ht="15" hidden="false" customHeight="false" outlineLevel="0" collapsed="false">
      <c r="A83" s="10"/>
      <c r="B83" s="8"/>
      <c r="C83" s="8"/>
      <c r="D83" s="8"/>
      <c r="E83" s="9"/>
      <c r="F83" s="14" t="str">
        <f aca="false">IF(A83="","",YEAR(A83))</f>
        <v/>
      </c>
    </row>
    <row r="84" customFormat="false" ht="15" hidden="false" customHeight="false" outlineLevel="0" collapsed="false">
      <c r="A84" s="10"/>
      <c r="B84" s="8"/>
      <c r="C84" s="8"/>
      <c r="D84" s="8"/>
      <c r="E84" s="9"/>
      <c r="F84" s="14" t="str">
        <f aca="false">IF(A84="","",YEAR(A84))</f>
        <v/>
      </c>
    </row>
    <row r="85" customFormat="false" ht="15" hidden="false" customHeight="false" outlineLevel="0" collapsed="false">
      <c r="A85" s="10"/>
      <c r="B85" s="8"/>
      <c r="C85" s="8"/>
      <c r="D85" s="8"/>
      <c r="E85" s="9"/>
      <c r="F85" s="14" t="str">
        <f aca="false">IF(A85="","",YEAR(A85))</f>
        <v/>
      </c>
    </row>
    <row r="86" customFormat="false" ht="15" hidden="false" customHeight="false" outlineLevel="0" collapsed="false">
      <c r="A86" s="10"/>
      <c r="B86" s="8"/>
      <c r="C86" s="8"/>
      <c r="D86" s="8"/>
      <c r="E86" s="9"/>
      <c r="F86" s="14" t="str">
        <f aca="false">IF(A86="","",YEAR(A86))</f>
        <v/>
      </c>
    </row>
    <row r="87" customFormat="false" ht="15" hidden="false" customHeight="false" outlineLevel="0" collapsed="false">
      <c r="A87" s="10"/>
      <c r="B87" s="8"/>
      <c r="C87" s="8"/>
      <c r="D87" s="8"/>
      <c r="E87" s="9"/>
      <c r="F87" s="14" t="str">
        <f aca="false">IF(A87="","",YEAR(A87))</f>
        <v/>
      </c>
    </row>
    <row r="88" customFormat="false" ht="15" hidden="false" customHeight="false" outlineLevel="0" collapsed="false">
      <c r="A88" s="10"/>
      <c r="B88" s="8"/>
      <c r="C88" s="8"/>
      <c r="D88" s="8"/>
      <c r="E88" s="9"/>
      <c r="F88" s="14" t="str">
        <f aca="false">IF(A88="","",YEAR(A88))</f>
        <v/>
      </c>
    </row>
    <row r="89" customFormat="false" ht="15" hidden="false" customHeight="false" outlineLevel="0" collapsed="false">
      <c r="A89" s="10"/>
      <c r="B89" s="8"/>
      <c r="C89" s="8"/>
      <c r="D89" s="8"/>
      <c r="E89" s="9"/>
      <c r="F89" s="14" t="str">
        <f aca="false">IF(A89="","",YEAR(A89))</f>
        <v/>
      </c>
    </row>
    <row r="90" customFormat="false" ht="15" hidden="false" customHeight="false" outlineLevel="0" collapsed="false">
      <c r="A90" s="10"/>
      <c r="B90" s="8"/>
      <c r="C90" s="8"/>
      <c r="D90" s="8"/>
      <c r="E90" s="9"/>
      <c r="F90" s="14" t="str">
        <f aca="false">IF(A90="","",YEAR(A90))</f>
        <v/>
      </c>
    </row>
    <row r="91" customFormat="false" ht="15" hidden="false" customHeight="false" outlineLevel="0" collapsed="false">
      <c r="A91" s="10"/>
      <c r="B91" s="8"/>
      <c r="C91" s="8"/>
      <c r="D91" s="8"/>
      <c r="E91" s="9"/>
      <c r="F91" s="14" t="str">
        <f aca="false">IF(A91="","",YEAR(A91))</f>
        <v/>
      </c>
    </row>
    <row r="92" customFormat="false" ht="15" hidden="false" customHeight="false" outlineLevel="0" collapsed="false">
      <c r="A92" s="10"/>
      <c r="B92" s="8"/>
      <c r="C92" s="8"/>
      <c r="D92" s="8"/>
      <c r="E92" s="9"/>
      <c r="F92" s="14" t="str">
        <f aca="false">IF(A92="","",YEAR(A92))</f>
        <v/>
      </c>
    </row>
    <row r="93" customFormat="false" ht="15" hidden="false" customHeight="false" outlineLevel="0" collapsed="false">
      <c r="A93" s="10"/>
      <c r="B93" s="8"/>
      <c r="C93" s="8"/>
      <c r="D93" s="8"/>
      <c r="E93" s="9"/>
      <c r="F93" s="14" t="str">
        <f aca="false">IF(A93="","",YEAR(A93))</f>
        <v/>
      </c>
    </row>
    <row r="94" customFormat="false" ht="15" hidden="false" customHeight="false" outlineLevel="0" collapsed="false">
      <c r="A94" s="10"/>
      <c r="B94" s="8"/>
      <c r="C94" s="8"/>
      <c r="D94" s="8"/>
      <c r="E94" s="9"/>
      <c r="F94" s="14" t="str">
        <f aca="false">IF(A94="","",YEAR(A94))</f>
        <v/>
      </c>
    </row>
    <row r="95" customFormat="false" ht="15" hidden="false" customHeight="false" outlineLevel="0" collapsed="false">
      <c r="A95" s="10"/>
      <c r="B95" s="8"/>
      <c r="C95" s="8"/>
      <c r="D95" s="8"/>
      <c r="E95" s="9"/>
      <c r="F95" s="14" t="str">
        <f aca="false">IF(A95="","",YEAR(A95))</f>
        <v/>
      </c>
    </row>
    <row r="96" customFormat="false" ht="15" hidden="false" customHeight="false" outlineLevel="0" collapsed="false">
      <c r="A96" s="10"/>
      <c r="B96" s="8"/>
      <c r="C96" s="8"/>
      <c r="D96" s="8"/>
      <c r="E96" s="9"/>
      <c r="F96" s="14" t="str">
        <f aca="false">IF(A96="","",YEAR(A96))</f>
        <v/>
      </c>
    </row>
    <row r="97" customFormat="false" ht="15" hidden="false" customHeight="false" outlineLevel="0" collapsed="false">
      <c r="A97" s="10"/>
      <c r="B97" s="8"/>
      <c r="C97" s="8"/>
      <c r="D97" s="8"/>
      <c r="E97" s="9"/>
      <c r="F97" s="14" t="str">
        <f aca="false">IF(A97="","",YEAR(A97))</f>
        <v/>
      </c>
    </row>
    <row r="98" customFormat="false" ht="15" hidden="false" customHeight="false" outlineLevel="0" collapsed="false">
      <c r="A98" s="10"/>
      <c r="B98" s="8"/>
      <c r="C98" s="8"/>
      <c r="D98" s="8"/>
      <c r="E98" s="9"/>
      <c r="F98" s="14" t="str">
        <f aca="false">IF(A98="","",YEAR(A98))</f>
        <v/>
      </c>
    </row>
    <row r="99" customFormat="false" ht="15" hidden="false" customHeight="false" outlineLevel="0" collapsed="false">
      <c r="A99" s="10"/>
      <c r="B99" s="8"/>
      <c r="C99" s="8"/>
      <c r="D99" s="8"/>
      <c r="E99" s="9"/>
      <c r="F99" s="14" t="str">
        <f aca="false">IF(A99="","",YEAR(A99))</f>
        <v/>
      </c>
    </row>
    <row r="100" customFormat="false" ht="15" hidden="false" customHeight="false" outlineLevel="0" collapsed="false">
      <c r="A100" s="10"/>
      <c r="B100" s="8"/>
      <c r="C100" s="8"/>
      <c r="D100" s="8"/>
      <c r="E100" s="9"/>
      <c r="F100" s="14" t="str">
        <f aca="false">IF(A100="","",YEAR(A100))</f>
        <v/>
      </c>
    </row>
    <row r="101" customFormat="false" ht="15" hidden="false" customHeight="false" outlineLevel="0" collapsed="false">
      <c r="A101" s="10"/>
      <c r="B101" s="8"/>
      <c r="C101" s="8"/>
      <c r="D101" s="8"/>
      <c r="E101" s="9"/>
      <c r="F101" s="14" t="str">
        <f aca="false">IF(A101="","",YEAR(A101))</f>
        <v/>
      </c>
    </row>
    <row r="102" customFormat="false" ht="15" hidden="false" customHeight="false" outlineLevel="0" collapsed="false">
      <c r="A102" s="10"/>
      <c r="B102" s="8"/>
      <c r="C102" s="8"/>
      <c r="D102" s="8"/>
      <c r="E102" s="9"/>
      <c r="F102" s="14" t="str">
        <f aca="false">IF(A102="","",YEAR(A102))</f>
        <v/>
      </c>
    </row>
    <row r="103" customFormat="false" ht="15" hidden="false" customHeight="false" outlineLevel="0" collapsed="false">
      <c r="A103" s="10"/>
      <c r="B103" s="8"/>
      <c r="C103" s="8"/>
      <c r="D103" s="8"/>
      <c r="E103" s="9"/>
      <c r="F103" s="14" t="str">
        <f aca="false">IF(A103="","",YEAR(A103))</f>
        <v/>
      </c>
    </row>
    <row r="104" customFormat="false" ht="15" hidden="false" customHeight="false" outlineLevel="0" collapsed="false">
      <c r="A104" s="10"/>
      <c r="B104" s="8"/>
      <c r="C104" s="8"/>
      <c r="D104" s="8"/>
      <c r="E104" s="9"/>
      <c r="F104" s="14" t="str">
        <f aca="false">IF(A104="","",YEAR(A104))</f>
        <v/>
      </c>
    </row>
    <row r="105" customFormat="false" ht="15" hidden="false" customHeight="false" outlineLevel="0" collapsed="false">
      <c r="A105" s="10"/>
      <c r="B105" s="8"/>
      <c r="C105" s="8"/>
      <c r="D105" s="8"/>
      <c r="E105" s="9"/>
      <c r="F105" s="14" t="str">
        <f aca="false">IF(A105="","",YEAR(A105))</f>
        <v/>
      </c>
    </row>
    <row r="106" customFormat="false" ht="15" hidden="false" customHeight="false" outlineLevel="0" collapsed="false">
      <c r="A106" s="10"/>
      <c r="B106" s="8"/>
      <c r="C106" s="8"/>
      <c r="D106" s="8"/>
      <c r="E106" s="9"/>
      <c r="F106" s="14" t="str">
        <f aca="false">IF(A106="","",YEAR(A106))</f>
        <v/>
      </c>
    </row>
    <row r="107" customFormat="false" ht="15" hidden="false" customHeight="false" outlineLevel="0" collapsed="false">
      <c r="A107" s="10"/>
      <c r="B107" s="8"/>
      <c r="C107" s="8"/>
      <c r="D107" s="8"/>
      <c r="E107" s="9"/>
      <c r="F107" s="14" t="str">
        <f aca="false">IF(A107="","",YEAR(A107))</f>
        <v/>
      </c>
    </row>
    <row r="108" customFormat="false" ht="15" hidden="false" customHeight="false" outlineLevel="0" collapsed="false">
      <c r="A108" s="10"/>
      <c r="B108" s="8"/>
      <c r="C108" s="8"/>
      <c r="D108" s="8"/>
      <c r="E108" s="9"/>
      <c r="F108" s="14" t="str">
        <f aca="false">IF(A108="","",YEAR(A108))</f>
        <v/>
      </c>
    </row>
    <row r="109" customFormat="false" ht="15" hidden="false" customHeight="false" outlineLevel="0" collapsed="false">
      <c r="A109" s="10"/>
      <c r="B109" s="8"/>
      <c r="C109" s="8"/>
      <c r="D109" s="8"/>
      <c r="E109" s="9"/>
      <c r="F109" s="14" t="str">
        <f aca="false">IF(A109="","",YEAR(A109))</f>
        <v/>
      </c>
    </row>
    <row r="110" customFormat="false" ht="15" hidden="false" customHeight="false" outlineLevel="0" collapsed="false">
      <c r="A110" s="10"/>
      <c r="B110" s="8"/>
      <c r="C110" s="8"/>
      <c r="D110" s="8"/>
      <c r="E110" s="9"/>
      <c r="F110" s="14" t="str">
        <f aca="false">IF(A110="","",YEAR(A110))</f>
        <v/>
      </c>
    </row>
    <row r="111" customFormat="false" ht="15" hidden="false" customHeight="false" outlineLevel="0" collapsed="false">
      <c r="A111" s="10"/>
      <c r="B111" s="8"/>
      <c r="C111" s="8"/>
      <c r="D111" s="8"/>
      <c r="E111" s="9"/>
      <c r="F111" s="14" t="str">
        <f aca="false">IF(A111="","",YEAR(A111))</f>
        <v/>
      </c>
    </row>
    <row r="112" customFormat="false" ht="15" hidden="false" customHeight="false" outlineLevel="0" collapsed="false">
      <c r="A112" s="10"/>
      <c r="B112" s="8"/>
      <c r="C112" s="8"/>
      <c r="D112" s="8"/>
      <c r="E112" s="9"/>
      <c r="F112" s="14" t="str">
        <f aca="false">IF(A112="","",YEAR(A112))</f>
        <v/>
      </c>
    </row>
    <row r="113" customFormat="false" ht="15" hidden="false" customHeight="false" outlineLevel="0" collapsed="false">
      <c r="A113" s="10"/>
      <c r="B113" s="8"/>
      <c r="C113" s="8"/>
      <c r="D113" s="8"/>
      <c r="E113" s="9"/>
      <c r="F113" s="14" t="str">
        <f aca="false">IF(A113="","",YEAR(A113))</f>
        <v/>
      </c>
    </row>
    <row r="114" customFormat="false" ht="15" hidden="false" customHeight="false" outlineLevel="0" collapsed="false">
      <c r="A114" s="10"/>
      <c r="B114" s="8"/>
      <c r="C114" s="8"/>
      <c r="D114" s="8"/>
      <c r="E114" s="9"/>
      <c r="F114" s="14" t="str">
        <f aca="false">IF(A114="","",YEAR(A114))</f>
        <v/>
      </c>
    </row>
    <row r="115" customFormat="false" ht="15" hidden="false" customHeight="false" outlineLevel="0" collapsed="false">
      <c r="A115" s="10"/>
      <c r="B115" s="8"/>
      <c r="C115" s="8"/>
      <c r="D115" s="8"/>
      <c r="E115" s="9"/>
      <c r="F115" s="14" t="str">
        <f aca="false">IF(A115="","",YEAR(A115))</f>
        <v/>
      </c>
    </row>
    <row r="116" customFormat="false" ht="15" hidden="false" customHeight="false" outlineLevel="0" collapsed="false">
      <c r="A116" s="10"/>
      <c r="B116" s="8"/>
      <c r="C116" s="8"/>
      <c r="D116" s="8"/>
      <c r="E116" s="9"/>
      <c r="F116" s="14" t="str">
        <f aca="false">IF(A116="","",YEAR(A116))</f>
        <v/>
      </c>
    </row>
    <row r="117" customFormat="false" ht="15" hidden="false" customHeight="false" outlineLevel="0" collapsed="false">
      <c r="A117" s="10"/>
      <c r="B117" s="8"/>
      <c r="C117" s="8"/>
      <c r="D117" s="8"/>
      <c r="E117" s="9"/>
      <c r="F117" s="14" t="str">
        <f aca="false">IF(A117="","",YEAR(A117))</f>
        <v/>
      </c>
    </row>
    <row r="118" customFormat="false" ht="15" hidden="false" customHeight="false" outlineLevel="0" collapsed="false">
      <c r="A118" s="10"/>
      <c r="B118" s="8"/>
      <c r="C118" s="8"/>
      <c r="D118" s="8"/>
      <c r="E118" s="9"/>
      <c r="F118" s="14" t="str">
        <f aca="false">IF(A118="","",YEAR(A118))</f>
        <v/>
      </c>
    </row>
    <row r="119" customFormat="false" ht="15" hidden="false" customHeight="false" outlineLevel="0" collapsed="false">
      <c r="A119" s="10"/>
      <c r="B119" s="8"/>
      <c r="C119" s="8"/>
      <c r="D119" s="8"/>
      <c r="E119" s="9"/>
      <c r="F119" s="14" t="str">
        <f aca="false">IF(A119="","",YEAR(A119))</f>
        <v/>
      </c>
    </row>
    <row r="120" customFormat="false" ht="15" hidden="false" customHeight="false" outlineLevel="0" collapsed="false">
      <c r="A120" s="10"/>
      <c r="B120" s="8"/>
      <c r="C120" s="8"/>
      <c r="D120" s="8"/>
      <c r="E120" s="9"/>
      <c r="F120" s="14" t="str">
        <f aca="false">IF(A120="","",YEAR(A120))</f>
        <v/>
      </c>
    </row>
    <row r="121" customFormat="false" ht="15" hidden="false" customHeight="false" outlineLevel="0" collapsed="false">
      <c r="A121" s="10"/>
      <c r="B121" s="8"/>
      <c r="C121" s="8"/>
      <c r="D121" s="8"/>
      <c r="E121" s="9"/>
      <c r="F121" s="14" t="str">
        <f aca="false">IF(A121="","",YEAR(A121))</f>
        <v/>
      </c>
    </row>
    <row r="122" customFormat="false" ht="15" hidden="false" customHeight="false" outlineLevel="0" collapsed="false">
      <c r="A122" s="10"/>
      <c r="B122" s="8"/>
      <c r="C122" s="8"/>
      <c r="D122" s="8"/>
      <c r="E122" s="9"/>
      <c r="F122" s="14" t="str">
        <f aca="false">IF(A122="","",YEAR(A122))</f>
        <v/>
      </c>
    </row>
    <row r="123" customFormat="false" ht="15" hidden="false" customHeight="false" outlineLevel="0" collapsed="false">
      <c r="A123" s="10"/>
      <c r="B123" s="8"/>
      <c r="C123" s="8"/>
      <c r="D123" s="8"/>
      <c r="E123" s="9"/>
      <c r="F123" s="14" t="str">
        <f aca="false">IF(A123="","",YEAR(A123))</f>
        <v/>
      </c>
    </row>
    <row r="124" customFormat="false" ht="15" hidden="false" customHeight="false" outlineLevel="0" collapsed="false">
      <c r="A124" s="10"/>
      <c r="B124" s="8"/>
      <c r="C124" s="8"/>
      <c r="D124" s="8"/>
      <c r="E124" s="9"/>
      <c r="F124" s="14" t="str">
        <f aca="false">IF(A124="","",YEAR(A124))</f>
        <v/>
      </c>
    </row>
    <row r="125" customFormat="false" ht="15" hidden="false" customHeight="false" outlineLevel="0" collapsed="false">
      <c r="A125" s="10"/>
      <c r="B125" s="8"/>
      <c r="C125" s="8"/>
      <c r="D125" s="8"/>
      <c r="E125" s="9"/>
      <c r="F125" s="14" t="str">
        <f aca="false">IF(A125="","",YEAR(A125))</f>
        <v/>
      </c>
    </row>
    <row r="126" customFormat="false" ht="15" hidden="false" customHeight="false" outlineLevel="0" collapsed="false">
      <c r="A126" s="10"/>
      <c r="B126" s="8"/>
      <c r="C126" s="8"/>
      <c r="D126" s="8"/>
      <c r="E126" s="9"/>
      <c r="F126" s="14" t="str">
        <f aca="false">IF(A126="","",YEAR(A126))</f>
        <v/>
      </c>
    </row>
    <row r="127" customFormat="false" ht="15" hidden="false" customHeight="false" outlineLevel="0" collapsed="false">
      <c r="A127" s="10"/>
      <c r="B127" s="8"/>
      <c r="C127" s="8"/>
      <c r="D127" s="8"/>
      <c r="E127" s="9"/>
      <c r="F127" s="14" t="str">
        <f aca="false">IF(A127="","",YEAR(A127))</f>
        <v/>
      </c>
    </row>
    <row r="128" customFormat="false" ht="15" hidden="false" customHeight="false" outlineLevel="0" collapsed="false">
      <c r="A128" s="10"/>
      <c r="B128" s="8"/>
      <c r="C128" s="8"/>
      <c r="D128" s="8"/>
      <c r="E128" s="9"/>
      <c r="F128" s="14" t="str">
        <f aca="false">IF(A128="","",YEAR(A128))</f>
        <v/>
      </c>
    </row>
    <row r="129" customFormat="false" ht="15" hidden="false" customHeight="false" outlineLevel="0" collapsed="false">
      <c r="A129" s="10"/>
      <c r="B129" s="8"/>
      <c r="C129" s="8"/>
      <c r="D129" s="8"/>
      <c r="E129" s="9"/>
      <c r="F129" s="14" t="str">
        <f aca="false">IF(A129="","",YEAR(A129))</f>
        <v/>
      </c>
    </row>
    <row r="130" customFormat="false" ht="15" hidden="false" customHeight="false" outlineLevel="0" collapsed="false">
      <c r="A130" s="10"/>
      <c r="B130" s="8"/>
      <c r="C130" s="8"/>
      <c r="D130" s="8"/>
      <c r="E130" s="9"/>
      <c r="F130" s="14" t="str">
        <f aca="false">IF(A130="","",YEAR(A130))</f>
        <v/>
      </c>
    </row>
    <row r="131" customFormat="false" ht="15" hidden="false" customHeight="false" outlineLevel="0" collapsed="false">
      <c r="A131" s="10"/>
      <c r="B131" s="8"/>
      <c r="C131" s="8"/>
      <c r="D131" s="8"/>
      <c r="E131" s="9"/>
      <c r="F131" s="14" t="str">
        <f aca="false">IF(A131="","",YEAR(A131))</f>
        <v/>
      </c>
    </row>
    <row r="132" customFormat="false" ht="15" hidden="false" customHeight="false" outlineLevel="0" collapsed="false">
      <c r="A132" s="10"/>
      <c r="B132" s="8"/>
      <c r="C132" s="8"/>
      <c r="D132" s="8"/>
      <c r="E132" s="9"/>
      <c r="F132" s="14" t="str">
        <f aca="false">IF(A132="","",YEAR(A132))</f>
        <v/>
      </c>
    </row>
    <row r="133" customFormat="false" ht="15" hidden="false" customHeight="false" outlineLevel="0" collapsed="false">
      <c r="A133" s="10"/>
      <c r="B133" s="8"/>
      <c r="C133" s="8"/>
      <c r="D133" s="8"/>
      <c r="E133" s="9"/>
      <c r="F133" s="14" t="str">
        <f aca="false">IF(A133="","",YEAR(A133))</f>
        <v/>
      </c>
    </row>
    <row r="134" customFormat="false" ht="15" hidden="false" customHeight="false" outlineLevel="0" collapsed="false">
      <c r="A134" s="10"/>
      <c r="B134" s="8"/>
      <c r="C134" s="8"/>
      <c r="D134" s="8"/>
      <c r="E134" s="9"/>
      <c r="F134" s="14" t="str">
        <f aca="false">IF(A134="","",YEAR(A134))</f>
        <v/>
      </c>
    </row>
    <row r="135" customFormat="false" ht="15" hidden="false" customHeight="false" outlineLevel="0" collapsed="false">
      <c r="A135" s="10"/>
      <c r="B135" s="8"/>
      <c r="C135" s="8"/>
      <c r="D135" s="8"/>
      <c r="E135" s="9"/>
      <c r="F135" s="14" t="str">
        <f aca="false">IF(A135="","",YEAR(A135))</f>
        <v/>
      </c>
    </row>
    <row r="136" customFormat="false" ht="15" hidden="false" customHeight="false" outlineLevel="0" collapsed="false">
      <c r="A136" s="10"/>
      <c r="B136" s="8"/>
      <c r="C136" s="8"/>
      <c r="D136" s="8"/>
      <c r="E136" s="9"/>
      <c r="F136" s="14" t="str">
        <f aca="false">IF(A136="","",YEAR(A136))</f>
        <v/>
      </c>
    </row>
    <row r="137" customFormat="false" ht="15" hidden="false" customHeight="false" outlineLevel="0" collapsed="false">
      <c r="A137" s="10"/>
      <c r="B137" s="8"/>
      <c r="C137" s="8"/>
      <c r="D137" s="8"/>
      <c r="E137" s="9"/>
      <c r="F137" s="14" t="str">
        <f aca="false">IF(A137="","",YEAR(A137))</f>
        <v/>
      </c>
    </row>
    <row r="138" customFormat="false" ht="15" hidden="false" customHeight="false" outlineLevel="0" collapsed="false">
      <c r="A138" s="10"/>
      <c r="B138" s="8"/>
      <c r="C138" s="8"/>
      <c r="D138" s="8"/>
      <c r="E138" s="9"/>
      <c r="F138" s="14" t="str">
        <f aca="false">IF(A138="","",YEAR(A138))</f>
        <v/>
      </c>
    </row>
    <row r="139" customFormat="false" ht="15" hidden="false" customHeight="false" outlineLevel="0" collapsed="false">
      <c r="A139" s="10"/>
      <c r="B139" s="8"/>
      <c r="C139" s="8"/>
      <c r="D139" s="8"/>
      <c r="E139" s="9"/>
      <c r="F139" s="14" t="str">
        <f aca="false">IF(A139="","",YEAR(A139))</f>
        <v/>
      </c>
    </row>
    <row r="140" customFormat="false" ht="15" hidden="false" customHeight="false" outlineLevel="0" collapsed="false">
      <c r="A140" s="10"/>
      <c r="B140" s="8"/>
      <c r="C140" s="8"/>
      <c r="D140" s="8"/>
      <c r="E140" s="9"/>
      <c r="F140" s="14" t="str">
        <f aca="false">IF(A140="","",YEAR(A140))</f>
        <v/>
      </c>
    </row>
    <row r="141" customFormat="false" ht="15" hidden="false" customHeight="false" outlineLevel="0" collapsed="false">
      <c r="A141" s="10"/>
      <c r="B141" s="8"/>
      <c r="C141" s="8"/>
      <c r="D141" s="8"/>
      <c r="E141" s="9"/>
      <c r="F141" s="14" t="str">
        <f aca="false">IF(A141="","",YEAR(A141))</f>
        <v/>
      </c>
    </row>
    <row r="142" customFormat="false" ht="15" hidden="false" customHeight="false" outlineLevel="0" collapsed="false">
      <c r="A142" s="10"/>
      <c r="B142" s="8"/>
      <c r="C142" s="8"/>
      <c r="D142" s="8"/>
      <c r="E142" s="9"/>
      <c r="F142" s="14" t="str">
        <f aca="false">IF(A142="","",YEAR(A142))</f>
        <v/>
      </c>
    </row>
    <row r="143" customFormat="false" ht="15" hidden="false" customHeight="false" outlineLevel="0" collapsed="false">
      <c r="A143" s="10"/>
      <c r="B143" s="8"/>
      <c r="C143" s="8"/>
      <c r="D143" s="8"/>
      <c r="E143" s="9"/>
      <c r="F143" s="14" t="str">
        <f aca="false">IF(A143="","",YEAR(A143))</f>
        <v/>
      </c>
    </row>
    <row r="144" customFormat="false" ht="15" hidden="false" customHeight="false" outlineLevel="0" collapsed="false">
      <c r="A144" s="10"/>
      <c r="B144" s="8"/>
      <c r="C144" s="8"/>
      <c r="D144" s="8"/>
      <c r="E144" s="9"/>
      <c r="F144" s="14" t="str">
        <f aca="false">IF(A144="","",YEAR(A144))</f>
        <v/>
      </c>
    </row>
    <row r="145" customFormat="false" ht="15" hidden="false" customHeight="false" outlineLevel="0" collapsed="false">
      <c r="A145" s="10"/>
      <c r="B145" s="8"/>
      <c r="C145" s="8"/>
      <c r="D145" s="8"/>
      <c r="E145" s="9"/>
      <c r="F145" s="14" t="str">
        <f aca="false">IF(A145="","",YEAR(A145))</f>
        <v/>
      </c>
    </row>
    <row r="146" customFormat="false" ht="15" hidden="false" customHeight="false" outlineLevel="0" collapsed="false">
      <c r="A146" s="10"/>
      <c r="B146" s="8"/>
      <c r="C146" s="8"/>
      <c r="D146" s="8"/>
      <c r="E146" s="9"/>
      <c r="F146" s="14" t="str">
        <f aca="false">IF(A146="","",YEAR(A146))</f>
        <v/>
      </c>
    </row>
    <row r="147" customFormat="false" ht="15" hidden="false" customHeight="false" outlineLevel="0" collapsed="false">
      <c r="A147" s="10"/>
      <c r="B147" s="8"/>
      <c r="C147" s="8"/>
      <c r="D147" s="8"/>
      <c r="E147" s="9"/>
      <c r="F147" s="14" t="str">
        <f aca="false">IF(A147="","",YEAR(A147))</f>
        <v/>
      </c>
    </row>
    <row r="148" customFormat="false" ht="15" hidden="false" customHeight="false" outlineLevel="0" collapsed="false">
      <c r="A148" s="10"/>
      <c r="B148" s="8"/>
      <c r="C148" s="8"/>
      <c r="D148" s="8"/>
      <c r="E148" s="9"/>
      <c r="F148" s="14" t="str">
        <f aca="false">IF(A148="","",YEAR(A148))</f>
        <v/>
      </c>
    </row>
    <row r="149" customFormat="false" ht="15" hidden="false" customHeight="false" outlineLevel="0" collapsed="false">
      <c r="A149" s="10"/>
      <c r="B149" s="8"/>
      <c r="C149" s="8"/>
      <c r="D149" s="8"/>
      <c r="E149" s="9"/>
      <c r="F149" s="14" t="str">
        <f aca="false">IF(A149="","",YEAR(A149))</f>
        <v/>
      </c>
    </row>
    <row r="150" customFormat="false" ht="15" hidden="false" customHeight="false" outlineLevel="0" collapsed="false">
      <c r="A150" s="10"/>
      <c r="B150" s="8"/>
      <c r="C150" s="8"/>
      <c r="D150" s="8"/>
      <c r="E150" s="9"/>
      <c r="F150" s="14" t="str">
        <f aca="false">IF(A150="","",YEAR(A150))</f>
        <v/>
      </c>
    </row>
    <row r="151" customFormat="false" ht="15" hidden="false" customHeight="false" outlineLevel="0" collapsed="false">
      <c r="A151" s="10"/>
      <c r="B151" s="8"/>
      <c r="C151" s="8"/>
      <c r="D151" s="8"/>
      <c r="E151" s="9"/>
      <c r="F151" s="14" t="str">
        <f aca="false">IF(A151="","",YEAR(A151))</f>
        <v/>
      </c>
    </row>
    <row r="152" customFormat="false" ht="15" hidden="false" customHeight="false" outlineLevel="0" collapsed="false">
      <c r="A152" s="10"/>
      <c r="B152" s="8"/>
      <c r="C152" s="8"/>
      <c r="D152" s="8"/>
      <c r="E152" s="9"/>
      <c r="F152" s="14" t="str">
        <f aca="false">IF(A152="","",YEAR(A152))</f>
        <v/>
      </c>
    </row>
    <row r="153" customFormat="false" ht="15" hidden="false" customHeight="false" outlineLevel="0" collapsed="false">
      <c r="A153" s="10"/>
      <c r="B153" s="8"/>
      <c r="C153" s="8"/>
      <c r="D153" s="8"/>
      <c r="E153" s="9"/>
      <c r="F153" s="14" t="str">
        <f aca="false">IF(A153="","",YEAR(A153))</f>
        <v/>
      </c>
    </row>
    <row r="154" customFormat="false" ht="15" hidden="false" customHeight="false" outlineLevel="0" collapsed="false">
      <c r="A154" s="10"/>
      <c r="B154" s="8"/>
      <c r="C154" s="8"/>
      <c r="D154" s="8"/>
      <c r="E154" s="9"/>
      <c r="F154" s="14" t="str">
        <f aca="false">IF(A154="","",YEAR(A154))</f>
        <v/>
      </c>
    </row>
    <row r="155" customFormat="false" ht="15" hidden="false" customHeight="false" outlineLevel="0" collapsed="false">
      <c r="A155" s="10"/>
      <c r="B155" s="8"/>
      <c r="C155" s="8"/>
      <c r="D155" s="8"/>
      <c r="E155" s="9"/>
      <c r="F155" s="14" t="str">
        <f aca="false">IF(A155="","",YEAR(A155))</f>
        <v/>
      </c>
    </row>
    <row r="156" customFormat="false" ht="15" hidden="false" customHeight="false" outlineLevel="0" collapsed="false">
      <c r="A156" s="10"/>
      <c r="B156" s="8"/>
      <c r="C156" s="8"/>
      <c r="D156" s="8"/>
      <c r="E156" s="9"/>
      <c r="F156" s="14" t="str">
        <f aca="false">IF(A156="","",YEAR(A156))</f>
        <v/>
      </c>
    </row>
    <row r="157" customFormat="false" ht="15" hidden="false" customHeight="false" outlineLevel="0" collapsed="false">
      <c r="A157" s="10"/>
      <c r="B157" s="8"/>
      <c r="C157" s="8"/>
      <c r="D157" s="8"/>
      <c r="E157" s="9"/>
      <c r="F157" s="14" t="str">
        <f aca="false">IF(A157="","",YEAR(A157))</f>
        <v/>
      </c>
    </row>
    <row r="158" customFormat="false" ht="15" hidden="false" customHeight="false" outlineLevel="0" collapsed="false">
      <c r="A158" s="10"/>
      <c r="B158" s="8"/>
      <c r="C158" s="8"/>
      <c r="D158" s="8"/>
      <c r="E158" s="9"/>
      <c r="F158" s="14" t="str">
        <f aca="false">IF(A158="","",YEAR(A158))</f>
        <v/>
      </c>
    </row>
    <row r="159" customFormat="false" ht="15" hidden="false" customHeight="false" outlineLevel="0" collapsed="false">
      <c r="A159" s="10"/>
      <c r="B159" s="8"/>
      <c r="C159" s="8"/>
      <c r="D159" s="8"/>
      <c r="E159" s="9"/>
      <c r="F159" s="14" t="str">
        <f aca="false">IF(A159="","",YEAR(A159))</f>
        <v/>
      </c>
    </row>
    <row r="160" customFormat="false" ht="15" hidden="false" customHeight="false" outlineLevel="0" collapsed="false">
      <c r="A160" s="10"/>
      <c r="B160" s="8"/>
      <c r="C160" s="8"/>
      <c r="D160" s="8"/>
      <c r="E160" s="9"/>
      <c r="F160" s="14" t="str">
        <f aca="false">IF(A160="","",YEAR(A160))</f>
        <v/>
      </c>
    </row>
    <row r="161" customFormat="false" ht="15" hidden="false" customHeight="false" outlineLevel="0" collapsed="false">
      <c r="A161" s="10"/>
      <c r="B161" s="8"/>
      <c r="C161" s="8"/>
      <c r="D161" s="8"/>
      <c r="E161" s="9"/>
      <c r="F161" s="14" t="str">
        <f aca="false">IF(A161="","",YEAR(A161))</f>
        <v/>
      </c>
    </row>
    <row r="162" customFormat="false" ht="15" hidden="false" customHeight="false" outlineLevel="0" collapsed="false">
      <c r="A162" s="10"/>
      <c r="B162" s="8"/>
      <c r="C162" s="8"/>
      <c r="D162" s="8"/>
      <c r="E162" s="9"/>
      <c r="F162" s="14" t="str">
        <f aca="false">IF(A162="","",YEAR(A162))</f>
        <v/>
      </c>
    </row>
    <row r="163" customFormat="false" ht="15" hidden="false" customHeight="false" outlineLevel="0" collapsed="false">
      <c r="A163" s="10"/>
      <c r="B163" s="8"/>
      <c r="C163" s="8"/>
      <c r="D163" s="8"/>
      <c r="E163" s="9"/>
      <c r="F163" s="14" t="str">
        <f aca="false">IF(A163="","",YEAR(A163))</f>
        <v/>
      </c>
    </row>
    <row r="164" customFormat="false" ht="15" hidden="false" customHeight="false" outlineLevel="0" collapsed="false">
      <c r="A164" s="10"/>
      <c r="B164" s="8"/>
      <c r="C164" s="8"/>
      <c r="D164" s="8"/>
      <c r="E164" s="9"/>
      <c r="F164" s="14" t="str">
        <f aca="false">IF(A164="","",YEAR(A164))</f>
        <v/>
      </c>
    </row>
    <row r="165" customFormat="false" ht="15" hidden="false" customHeight="false" outlineLevel="0" collapsed="false">
      <c r="A165" s="10"/>
      <c r="B165" s="8"/>
      <c r="C165" s="8"/>
      <c r="D165" s="8"/>
      <c r="E165" s="9"/>
      <c r="F165" s="14" t="str">
        <f aca="false">IF(A165="","",YEAR(A165))</f>
        <v/>
      </c>
    </row>
    <row r="166" customFormat="false" ht="15" hidden="false" customHeight="false" outlineLevel="0" collapsed="false">
      <c r="A166" s="10"/>
      <c r="B166" s="8"/>
      <c r="C166" s="8"/>
      <c r="D166" s="8"/>
      <c r="E166" s="9"/>
      <c r="F166" s="14" t="str">
        <f aca="false">IF(A166="","",YEAR(A166))</f>
        <v/>
      </c>
    </row>
    <row r="167" customFormat="false" ht="15" hidden="false" customHeight="false" outlineLevel="0" collapsed="false">
      <c r="A167" s="10"/>
      <c r="B167" s="8"/>
      <c r="C167" s="8"/>
      <c r="D167" s="8"/>
      <c r="E167" s="9"/>
      <c r="F167" s="14" t="str">
        <f aca="false">IF(A167="","",YEAR(A167))</f>
        <v/>
      </c>
    </row>
    <row r="168" customFormat="false" ht="15" hidden="false" customHeight="false" outlineLevel="0" collapsed="false">
      <c r="A168" s="10"/>
      <c r="B168" s="8"/>
      <c r="C168" s="8"/>
      <c r="D168" s="8"/>
      <c r="E168" s="9"/>
      <c r="F168" s="14" t="str">
        <f aca="false">IF(A168="","",YEAR(A168))</f>
        <v/>
      </c>
    </row>
    <row r="169" customFormat="false" ht="15" hidden="false" customHeight="false" outlineLevel="0" collapsed="false">
      <c r="A169" s="10"/>
      <c r="B169" s="8"/>
      <c r="C169" s="8"/>
      <c r="D169" s="8"/>
      <c r="E169" s="9"/>
      <c r="F169" s="14" t="str">
        <f aca="false">IF(A169="","",YEAR(A169))</f>
        <v/>
      </c>
    </row>
    <row r="170" customFormat="false" ht="15" hidden="false" customHeight="false" outlineLevel="0" collapsed="false">
      <c r="A170" s="10"/>
      <c r="B170" s="8"/>
      <c r="C170" s="8"/>
      <c r="D170" s="8"/>
      <c r="E170" s="9"/>
      <c r="F170" s="14" t="str">
        <f aca="false">IF(A170="","",YEAR(A170))</f>
        <v/>
      </c>
    </row>
    <row r="171" customFormat="false" ht="15" hidden="false" customHeight="false" outlineLevel="0" collapsed="false">
      <c r="A171" s="10"/>
      <c r="B171" s="8"/>
      <c r="C171" s="8"/>
      <c r="D171" s="8"/>
      <c r="E171" s="9"/>
      <c r="F171" s="14" t="str">
        <f aca="false">IF(A171="","",YEAR(A171))</f>
        <v/>
      </c>
    </row>
    <row r="172" customFormat="false" ht="15" hidden="false" customHeight="false" outlineLevel="0" collapsed="false">
      <c r="A172" s="10"/>
      <c r="B172" s="8"/>
      <c r="C172" s="8"/>
      <c r="D172" s="8"/>
      <c r="E172" s="9"/>
      <c r="F172" s="14" t="str">
        <f aca="false">IF(A172="","",YEAR(A172))</f>
        <v/>
      </c>
    </row>
    <row r="173" customFormat="false" ht="15" hidden="false" customHeight="false" outlineLevel="0" collapsed="false">
      <c r="A173" s="10"/>
      <c r="B173" s="8"/>
      <c r="C173" s="8"/>
      <c r="D173" s="8"/>
      <c r="E173" s="9"/>
      <c r="F173" s="14" t="str">
        <f aca="false">IF(A173="","",YEAR(A173))</f>
        <v/>
      </c>
    </row>
    <row r="174" customFormat="false" ht="15" hidden="false" customHeight="false" outlineLevel="0" collapsed="false">
      <c r="A174" s="10"/>
      <c r="B174" s="8"/>
      <c r="C174" s="8"/>
      <c r="D174" s="8"/>
      <c r="E174" s="9"/>
      <c r="F174" s="14" t="str">
        <f aca="false">IF(A174="","",YEAR(A174))</f>
        <v/>
      </c>
    </row>
    <row r="175" customFormat="false" ht="15" hidden="false" customHeight="false" outlineLevel="0" collapsed="false">
      <c r="A175" s="10"/>
      <c r="B175" s="8"/>
      <c r="C175" s="8"/>
      <c r="D175" s="8"/>
      <c r="E175" s="9"/>
      <c r="F175" s="14" t="str">
        <f aca="false">IF(A175="","",YEAR(A175))</f>
        <v/>
      </c>
    </row>
    <row r="176" customFormat="false" ht="15" hidden="false" customHeight="false" outlineLevel="0" collapsed="false">
      <c r="A176" s="10"/>
      <c r="B176" s="8"/>
      <c r="C176" s="8"/>
      <c r="D176" s="8"/>
      <c r="E176" s="9"/>
      <c r="F176" s="14" t="str">
        <f aca="false">IF(A176="","",YEAR(A176))</f>
        <v/>
      </c>
    </row>
    <row r="177" customFormat="false" ht="15" hidden="false" customHeight="false" outlineLevel="0" collapsed="false">
      <c r="A177" s="10"/>
      <c r="B177" s="8"/>
      <c r="C177" s="8"/>
      <c r="D177" s="8"/>
      <c r="E177" s="9"/>
      <c r="F177" s="14" t="str">
        <f aca="false">IF(A177="","",YEAR(A177))</f>
        <v/>
      </c>
    </row>
    <row r="178" customFormat="false" ht="15" hidden="false" customHeight="false" outlineLevel="0" collapsed="false">
      <c r="A178" s="10"/>
      <c r="B178" s="8"/>
      <c r="C178" s="8"/>
      <c r="D178" s="8"/>
      <c r="E178" s="9"/>
      <c r="F178" s="14" t="str">
        <f aca="false">IF(A178="","",YEAR(A178))</f>
        <v/>
      </c>
    </row>
    <row r="179" customFormat="false" ht="15" hidden="false" customHeight="false" outlineLevel="0" collapsed="false">
      <c r="A179" s="10"/>
      <c r="B179" s="8"/>
      <c r="C179" s="8"/>
      <c r="D179" s="8"/>
      <c r="E179" s="9"/>
      <c r="F179" s="14" t="str">
        <f aca="false">IF(A179="","",YEAR(A179))</f>
        <v/>
      </c>
    </row>
    <row r="180" customFormat="false" ht="15" hidden="false" customHeight="false" outlineLevel="0" collapsed="false">
      <c r="A180" s="10"/>
      <c r="B180" s="8"/>
      <c r="C180" s="8"/>
      <c r="D180" s="8"/>
      <c r="E180" s="9"/>
      <c r="F180" s="14" t="str">
        <f aca="false">IF(A180="","",YEAR(A180))</f>
        <v/>
      </c>
    </row>
    <row r="181" customFormat="false" ht="15" hidden="false" customHeight="false" outlineLevel="0" collapsed="false">
      <c r="A181" s="10"/>
      <c r="B181" s="8"/>
      <c r="C181" s="8"/>
      <c r="D181" s="8"/>
      <c r="E181" s="9"/>
      <c r="F181" s="14" t="str">
        <f aca="false">IF(A181="","",YEAR(A181))</f>
        <v/>
      </c>
    </row>
    <row r="182" customFormat="false" ht="15" hidden="false" customHeight="false" outlineLevel="0" collapsed="false">
      <c r="A182" s="10"/>
      <c r="B182" s="8"/>
      <c r="C182" s="8"/>
      <c r="D182" s="8"/>
      <c r="E182" s="9"/>
      <c r="F182" s="14" t="str">
        <f aca="false">IF(A182="","",YEAR(A182))</f>
        <v/>
      </c>
    </row>
    <row r="183" customFormat="false" ht="15" hidden="false" customHeight="false" outlineLevel="0" collapsed="false">
      <c r="A183" s="10"/>
      <c r="B183" s="8"/>
      <c r="C183" s="8"/>
      <c r="D183" s="8"/>
      <c r="E183" s="9"/>
      <c r="F183" s="14" t="str">
        <f aca="false">IF(A183="","",YEAR(A183))</f>
        <v/>
      </c>
    </row>
    <row r="184" customFormat="false" ht="15" hidden="false" customHeight="false" outlineLevel="0" collapsed="false">
      <c r="A184" s="10"/>
      <c r="B184" s="8"/>
      <c r="C184" s="8"/>
      <c r="D184" s="8"/>
      <c r="E184" s="9"/>
      <c r="F184" s="14" t="str">
        <f aca="false">IF(A184="","",YEAR(A184))</f>
        <v/>
      </c>
    </row>
    <row r="185" customFormat="false" ht="15" hidden="false" customHeight="false" outlineLevel="0" collapsed="false">
      <c r="A185" s="10"/>
      <c r="B185" s="8"/>
      <c r="C185" s="8"/>
      <c r="D185" s="8"/>
      <c r="E185" s="9"/>
      <c r="F185" s="14" t="str">
        <f aca="false">IF(A185="","",YEAR(A185))</f>
        <v/>
      </c>
    </row>
    <row r="186" customFormat="false" ht="15" hidden="false" customHeight="false" outlineLevel="0" collapsed="false">
      <c r="A186" s="10"/>
      <c r="B186" s="8"/>
      <c r="C186" s="8"/>
      <c r="D186" s="8"/>
      <c r="E186" s="9"/>
      <c r="F186" s="14" t="str">
        <f aca="false">IF(A186="","",YEAR(A186))</f>
        <v/>
      </c>
    </row>
    <row r="187" customFormat="false" ht="15" hidden="false" customHeight="false" outlineLevel="0" collapsed="false">
      <c r="A187" s="10"/>
      <c r="B187" s="8"/>
      <c r="C187" s="8"/>
      <c r="D187" s="8"/>
      <c r="E187" s="9"/>
      <c r="F187" s="14" t="str">
        <f aca="false">IF(A187="","",YEAR(A187))</f>
        <v/>
      </c>
    </row>
    <row r="188" customFormat="false" ht="15" hidden="false" customHeight="false" outlineLevel="0" collapsed="false">
      <c r="A188" s="10"/>
      <c r="B188" s="8"/>
      <c r="C188" s="8"/>
      <c r="D188" s="8"/>
      <c r="E188" s="9"/>
      <c r="F188" s="14" t="str">
        <f aca="false">IF(A188="","",YEAR(A188))</f>
        <v/>
      </c>
    </row>
    <row r="189" customFormat="false" ht="15" hidden="false" customHeight="false" outlineLevel="0" collapsed="false">
      <c r="A189" s="10"/>
      <c r="B189" s="8"/>
      <c r="C189" s="8"/>
      <c r="D189" s="8"/>
      <c r="E189" s="9"/>
      <c r="F189" s="14" t="str">
        <f aca="false">IF(A189="","",YEAR(A189))</f>
        <v/>
      </c>
    </row>
    <row r="190" customFormat="false" ht="15" hidden="false" customHeight="false" outlineLevel="0" collapsed="false">
      <c r="A190" s="10"/>
      <c r="B190" s="8"/>
      <c r="C190" s="8"/>
      <c r="D190" s="8"/>
      <c r="E190" s="9"/>
      <c r="F190" s="14" t="str">
        <f aca="false">IF(A190="","",YEAR(A190))</f>
        <v/>
      </c>
    </row>
    <row r="191" customFormat="false" ht="15" hidden="false" customHeight="false" outlineLevel="0" collapsed="false">
      <c r="A191" s="10"/>
      <c r="B191" s="8"/>
      <c r="C191" s="8"/>
      <c r="D191" s="8"/>
      <c r="E191" s="9"/>
      <c r="F191" s="14" t="str">
        <f aca="false">IF(A191="","",YEAR(A191))</f>
        <v/>
      </c>
    </row>
    <row r="192" customFormat="false" ht="15" hidden="false" customHeight="false" outlineLevel="0" collapsed="false">
      <c r="A192" s="10"/>
      <c r="B192" s="8"/>
      <c r="C192" s="8"/>
      <c r="D192" s="8"/>
      <c r="E192" s="9"/>
      <c r="F192" s="14" t="str">
        <f aca="false">IF(A192="","",YEAR(A192))</f>
        <v/>
      </c>
    </row>
    <row r="193" customFormat="false" ht="15" hidden="false" customHeight="false" outlineLevel="0" collapsed="false">
      <c r="A193" s="10"/>
      <c r="B193" s="8"/>
      <c r="C193" s="8"/>
      <c r="D193" s="8"/>
      <c r="E193" s="9"/>
      <c r="F193" s="14" t="str">
        <f aca="false">IF(A193="","",YEAR(A193))</f>
        <v/>
      </c>
    </row>
    <row r="194" customFormat="false" ht="15" hidden="false" customHeight="false" outlineLevel="0" collapsed="false">
      <c r="A194" s="10"/>
      <c r="B194" s="8"/>
      <c r="C194" s="8"/>
      <c r="D194" s="8"/>
      <c r="E194" s="9"/>
      <c r="F194" s="14" t="str">
        <f aca="false">IF(A194="","",YEAR(A194))</f>
        <v/>
      </c>
    </row>
    <row r="195" customFormat="false" ht="15" hidden="false" customHeight="false" outlineLevel="0" collapsed="false">
      <c r="A195" s="10"/>
      <c r="B195" s="8"/>
      <c r="C195" s="8"/>
      <c r="D195" s="8"/>
      <c r="E195" s="9"/>
      <c r="F195" s="14" t="str">
        <f aca="false">IF(A195="","",YEAR(A195))</f>
        <v/>
      </c>
    </row>
    <row r="196" customFormat="false" ht="15" hidden="false" customHeight="false" outlineLevel="0" collapsed="false">
      <c r="A196" s="10"/>
      <c r="B196" s="8"/>
      <c r="C196" s="8"/>
      <c r="D196" s="8"/>
      <c r="E196" s="9"/>
      <c r="F196" s="14" t="str">
        <f aca="false">IF(A196="","",YEAR(A196))</f>
        <v/>
      </c>
    </row>
    <row r="197" customFormat="false" ht="15" hidden="false" customHeight="false" outlineLevel="0" collapsed="false">
      <c r="A197" s="10"/>
      <c r="B197" s="8"/>
      <c r="C197" s="8"/>
      <c r="D197" s="8"/>
      <c r="E197" s="9"/>
      <c r="F197" s="14" t="str">
        <f aca="false">IF(A197="","",YEAR(A197))</f>
        <v/>
      </c>
    </row>
    <row r="198" customFormat="false" ht="15" hidden="false" customHeight="false" outlineLevel="0" collapsed="false">
      <c r="A198" s="10"/>
      <c r="B198" s="8"/>
      <c r="C198" s="8"/>
      <c r="D198" s="8"/>
      <c r="E198" s="9"/>
      <c r="F198" s="14" t="str">
        <f aca="false">IF(A198="","",YEAR(A198))</f>
        <v/>
      </c>
    </row>
    <row r="199" customFormat="false" ht="15" hidden="false" customHeight="false" outlineLevel="0" collapsed="false">
      <c r="A199" s="10"/>
      <c r="B199" s="8"/>
      <c r="C199" s="8"/>
      <c r="D199" s="8"/>
      <c r="E199" s="9"/>
      <c r="F199" s="14" t="str">
        <f aca="false">IF(A199="","",YEAR(A199))</f>
        <v/>
      </c>
    </row>
    <row r="200" customFormat="false" ht="15" hidden="false" customHeight="false" outlineLevel="0" collapsed="false">
      <c r="A200" s="10"/>
      <c r="B200" s="8"/>
      <c r="C200" s="8"/>
      <c r="D200" s="8"/>
      <c r="E200" s="9"/>
      <c r="F200" s="14" t="str">
        <f aca="false">IF(A200="","",YEAR(A200))</f>
        <v/>
      </c>
    </row>
    <row r="201" customFormat="false" ht="15" hidden="false" customHeight="false" outlineLevel="0" collapsed="false">
      <c r="A201" s="10"/>
      <c r="B201" s="8"/>
      <c r="C201" s="8"/>
      <c r="D201" s="8"/>
      <c r="E201" s="9"/>
      <c r="F201" s="14" t="str">
        <f aca="false">IF(A201="","",YEAR(A201))</f>
        <v/>
      </c>
    </row>
    <row r="202" customFormat="false" ht="15" hidden="false" customHeight="false" outlineLevel="0" collapsed="false">
      <c r="A202" s="10"/>
      <c r="B202" s="8"/>
      <c r="C202" s="8"/>
      <c r="D202" s="8"/>
      <c r="E202" s="9"/>
      <c r="F202" s="14" t="str">
        <f aca="false">IF(A202="","",YEAR(A202))</f>
        <v/>
      </c>
    </row>
    <row r="203" customFormat="false" ht="15" hidden="false" customHeight="false" outlineLevel="0" collapsed="false">
      <c r="A203" s="10"/>
      <c r="B203" s="8"/>
      <c r="C203" s="8"/>
      <c r="D203" s="8"/>
      <c r="E203" s="9"/>
      <c r="F203" s="14" t="str">
        <f aca="false">IF(A203="","",YEAR(A203))</f>
        <v/>
      </c>
    </row>
    <row r="204" customFormat="false" ht="15" hidden="false" customHeight="false" outlineLevel="0" collapsed="false">
      <c r="A204" s="10"/>
      <c r="B204" s="8"/>
      <c r="C204" s="8"/>
      <c r="D204" s="8"/>
      <c r="E204" s="9"/>
      <c r="F204" s="14" t="str">
        <f aca="false">IF(A204="","",YEAR(A204))</f>
        <v/>
      </c>
    </row>
    <row r="205" customFormat="false" ht="15" hidden="false" customHeight="false" outlineLevel="0" collapsed="false">
      <c r="A205" s="10"/>
      <c r="B205" s="8"/>
      <c r="C205" s="8"/>
      <c r="D205" s="8"/>
      <c r="E205" s="9"/>
      <c r="F205" s="14" t="str">
        <f aca="false">IF(A205="","",YEAR(A205))</f>
        <v/>
      </c>
    </row>
    <row r="206" customFormat="false" ht="15" hidden="false" customHeight="false" outlineLevel="0" collapsed="false">
      <c r="A206" s="10"/>
      <c r="B206" s="8"/>
      <c r="C206" s="8"/>
      <c r="D206" s="8"/>
      <c r="E206" s="9"/>
      <c r="F206" s="14" t="str">
        <f aca="false">IF(A206="","",YEAR(A206))</f>
        <v/>
      </c>
    </row>
    <row r="207" customFormat="false" ht="15" hidden="false" customHeight="false" outlineLevel="0" collapsed="false">
      <c r="A207" s="10"/>
      <c r="B207" s="8"/>
      <c r="C207" s="8"/>
      <c r="D207" s="8"/>
      <c r="E207" s="9"/>
      <c r="F207" s="14" t="str">
        <f aca="false">IF(A207="","",YEAR(A207))</f>
        <v/>
      </c>
    </row>
    <row r="208" customFormat="false" ht="15" hidden="false" customHeight="false" outlineLevel="0" collapsed="false">
      <c r="A208" s="10"/>
      <c r="B208" s="8"/>
      <c r="C208" s="8"/>
      <c r="D208" s="8"/>
      <c r="E208" s="9"/>
      <c r="F208" s="14" t="str">
        <f aca="false">IF(A208="","",YEAR(A208))</f>
        <v/>
      </c>
    </row>
    <row r="209" customFormat="false" ht="15" hidden="false" customHeight="false" outlineLevel="0" collapsed="false">
      <c r="A209" s="10"/>
      <c r="B209" s="8"/>
      <c r="C209" s="8"/>
      <c r="D209" s="8"/>
      <c r="E209" s="9"/>
      <c r="F209" s="14" t="str">
        <f aca="false">IF(A209="","",YEAR(A209))</f>
        <v/>
      </c>
    </row>
    <row r="210" customFormat="false" ht="15" hidden="false" customHeight="false" outlineLevel="0" collapsed="false">
      <c r="A210" s="10"/>
      <c r="B210" s="8"/>
      <c r="C210" s="8"/>
      <c r="D210" s="8"/>
      <c r="E210" s="9"/>
      <c r="F210" s="14" t="str">
        <f aca="false">IF(A210="","",YEAR(A210))</f>
        <v/>
      </c>
    </row>
    <row r="211" customFormat="false" ht="15" hidden="false" customHeight="false" outlineLevel="0" collapsed="false">
      <c r="A211" s="10"/>
      <c r="B211" s="8"/>
      <c r="C211" s="8"/>
      <c r="D211" s="8"/>
      <c r="E211" s="9"/>
      <c r="F211" s="14" t="str">
        <f aca="false">IF(A211="","",YEAR(A211))</f>
        <v/>
      </c>
    </row>
    <row r="212" customFormat="false" ht="15" hidden="false" customHeight="false" outlineLevel="0" collapsed="false">
      <c r="A212" s="10"/>
      <c r="B212" s="8"/>
      <c r="C212" s="8"/>
      <c r="D212" s="8"/>
      <c r="E212" s="9"/>
      <c r="F212" s="14" t="str">
        <f aca="false">IF(A212="","",YEAR(A212))</f>
        <v/>
      </c>
    </row>
    <row r="213" customFormat="false" ht="15" hidden="false" customHeight="false" outlineLevel="0" collapsed="false">
      <c r="A213" s="10"/>
      <c r="B213" s="8"/>
      <c r="C213" s="8"/>
      <c r="D213" s="8"/>
      <c r="E213" s="9"/>
      <c r="F213" s="14" t="str">
        <f aca="false">IF(A213="","",YEAR(A213))</f>
        <v/>
      </c>
    </row>
    <row r="214" customFormat="false" ht="15" hidden="false" customHeight="false" outlineLevel="0" collapsed="false">
      <c r="A214" s="10"/>
      <c r="B214" s="8"/>
      <c r="C214" s="8"/>
      <c r="D214" s="8"/>
      <c r="E214" s="9"/>
      <c r="F214" s="14" t="str">
        <f aca="false">IF(A214="","",YEAR(A214))</f>
        <v/>
      </c>
    </row>
    <row r="215" customFormat="false" ht="15" hidden="false" customHeight="false" outlineLevel="0" collapsed="false">
      <c r="A215" s="10"/>
      <c r="B215" s="8"/>
      <c r="C215" s="8"/>
      <c r="D215" s="8"/>
      <c r="E215" s="9"/>
      <c r="F215" s="14" t="str">
        <f aca="false">IF(A215="","",YEAR(A215))</f>
        <v/>
      </c>
    </row>
    <row r="216" customFormat="false" ht="15" hidden="false" customHeight="false" outlineLevel="0" collapsed="false">
      <c r="A216" s="10"/>
      <c r="B216" s="8"/>
      <c r="C216" s="8"/>
      <c r="D216" s="8"/>
      <c r="E216" s="9"/>
      <c r="F216" s="14" t="str">
        <f aca="false">IF(A216="","",YEAR(A216))</f>
        <v/>
      </c>
    </row>
    <row r="217" customFormat="false" ht="15" hidden="false" customHeight="false" outlineLevel="0" collapsed="false">
      <c r="A217" s="10"/>
      <c r="B217" s="8"/>
      <c r="C217" s="8"/>
      <c r="D217" s="8"/>
      <c r="E217" s="9"/>
      <c r="F217" s="14" t="str">
        <f aca="false">IF(A217="","",YEAR(A217))</f>
        <v/>
      </c>
    </row>
    <row r="218" customFormat="false" ht="15" hidden="false" customHeight="false" outlineLevel="0" collapsed="false">
      <c r="A218" s="10"/>
      <c r="B218" s="8"/>
      <c r="C218" s="8"/>
      <c r="D218" s="8"/>
      <c r="E218" s="9"/>
      <c r="F218" s="14" t="str">
        <f aca="false">IF(A218="","",YEAR(A218))</f>
        <v/>
      </c>
    </row>
    <row r="219" customFormat="false" ht="15" hidden="false" customHeight="false" outlineLevel="0" collapsed="false">
      <c r="A219" s="10"/>
      <c r="B219" s="8"/>
      <c r="C219" s="8"/>
      <c r="D219" s="8"/>
      <c r="E219" s="9"/>
      <c r="F219" s="14" t="str">
        <f aca="false">IF(A219="","",YEAR(A219))</f>
        <v/>
      </c>
    </row>
    <row r="220" customFormat="false" ht="15" hidden="false" customHeight="false" outlineLevel="0" collapsed="false">
      <c r="A220" s="10"/>
      <c r="B220" s="8"/>
      <c r="C220" s="8"/>
      <c r="D220" s="8"/>
      <c r="E220" s="9"/>
      <c r="F220" s="14" t="str">
        <f aca="false">IF(A220="","",YEAR(A220))</f>
        <v/>
      </c>
    </row>
    <row r="221" customFormat="false" ht="15" hidden="false" customHeight="false" outlineLevel="0" collapsed="false">
      <c r="A221" s="10"/>
      <c r="B221" s="8"/>
      <c r="C221" s="8"/>
      <c r="D221" s="8"/>
      <c r="E221" s="9"/>
      <c r="F221" s="14" t="str">
        <f aca="false">IF(A221="","",YEAR(A221))</f>
        <v/>
      </c>
    </row>
    <row r="222" customFormat="false" ht="15" hidden="false" customHeight="false" outlineLevel="0" collapsed="false">
      <c r="A222" s="10"/>
      <c r="B222" s="8"/>
      <c r="C222" s="8"/>
      <c r="D222" s="8"/>
      <c r="E222" s="9"/>
      <c r="F222" s="14" t="str">
        <f aca="false">IF(A222="","",YEAR(A222))</f>
        <v/>
      </c>
    </row>
    <row r="223" customFormat="false" ht="15" hidden="false" customHeight="false" outlineLevel="0" collapsed="false">
      <c r="A223" s="10"/>
      <c r="B223" s="8"/>
      <c r="C223" s="8"/>
      <c r="D223" s="8"/>
      <c r="E223" s="9"/>
      <c r="F223" s="14" t="str">
        <f aca="false">IF(A223="","",YEAR(A223))</f>
        <v/>
      </c>
    </row>
    <row r="224" customFormat="false" ht="15" hidden="false" customHeight="false" outlineLevel="0" collapsed="false">
      <c r="A224" s="10"/>
      <c r="B224" s="8"/>
      <c r="C224" s="8"/>
      <c r="D224" s="8"/>
      <c r="E224" s="9"/>
      <c r="F224" s="14" t="str">
        <f aca="false">IF(A224="","",YEAR(A224))</f>
        <v/>
      </c>
    </row>
    <row r="225" customFormat="false" ht="15" hidden="false" customHeight="false" outlineLevel="0" collapsed="false">
      <c r="A225" s="10"/>
      <c r="B225" s="8"/>
      <c r="C225" s="8"/>
      <c r="D225" s="8"/>
      <c r="E225" s="9"/>
      <c r="F225" s="14" t="str">
        <f aca="false">IF(A225="","",YEAR(A225))</f>
        <v/>
      </c>
    </row>
    <row r="226" customFormat="false" ht="15" hidden="false" customHeight="false" outlineLevel="0" collapsed="false">
      <c r="A226" s="10"/>
      <c r="B226" s="8"/>
      <c r="C226" s="8"/>
      <c r="D226" s="8"/>
      <c r="E226" s="9"/>
      <c r="F226" s="14" t="str">
        <f aca="false">IF(A226="","",YEAR(A226))</f>
        <v/>
      </c>
    </row>
    <row r="227" customFormat="false" ht="15" hidden="false" customHeight="false" outlineLevel="0" collapsed="false">
      <c r="A227" s="10"/>
      <c r="B227" s="8"/>
      <c r="C227" s="8"/>
      <c r="D227" s="8"/>
      <c r="E227" s="9"/>
      <c r="F227" s="14" t="str">
        <f aca="false">IF(A227="","",YEAR(A227))</f>
        <v/>
      </c>
    </row>
    <row r="228" customFormat="false" ht="15" hidden="false" customHeight="false" outlineLevel="0" collapsed="false">
      <c r="A228" s="10"/>
      <c r="B228" s="8"/>
      <c r="C228" s="8"/>
      <c r="D228" s="8"/>
      <c r="E228" s="9"/>
      <c r="F228" s="14" t="str">
        <f aca="false">IF(A228="","",YEAR(A228))</f>
        <v/>
      </c>
    </row>
    <row r="229" customFormat="false" ht="15" hidden="false" customHeight="false" outlineLevel="0" collapsed="false">
      <c r="A229" s="10"/>
      <c r="B229" s="8"/>
      <c r="C229" s="8"/>
      <c r="D229" s="8"/>
      <c r="E229" s="9"/>
      <c r="F229" s="14" t="str">
        <f aca="false">IF(A229="","",YEAR(A229))</f>
        <v/>
      </c>
    </row>
    <row r="230" customFormat="false" ht="15" hidden="false" customHeight="false" outlineLevel="0" collapsed="false">
      <c r="A230" s="10"/>
      <c r="B230" s="8"/>
      <c r="C230" s="8"/>
      <c r="D230" s="8"/>
      <c r="E230" s="9"/>
      <c r="F230" s="14" t="str">
        <f aca="false">IF(A230="","",YEAR(A230))</f>
        <v/>
      </c>
    </row>
    <row r="231" customFormat="false" ht="15" hidden="false" customHeight="false" outlineLevel="0" collapsed="false">
      <c r="A231" s="10"/>
      <c r="B231" s="8"/>
      <c r="C231" s="8"/>
      <c r="D231" s="8"/>
      <c r="E231" s="9"/>
      <c r="F231" s="14" t="str">
        <f aca="false">IF(A231="","",YEAR(A231))</f>
        <v/>
      </c>
    </row>
    <row r="232" customFormat="false" ht="15" hidden="false" customHeight="false" outlineLevel="0" collapsed="false">
      <c r="A232" s="10"/>
      <c r="B232" s="8"/>
      <c r="C232" s="8"/>
      <c r="D232" s="8"/>
      <c r="E232" s="9"/>
      <c r="F232" s="14" t="str">
        <f aca="false">IF(A232="","",YEAR(A232))</f>
        <v/>
      </c>
    </row>
    <row r="233" customFormat="false" ht="15" hidden="false" customHeight="false" outlineLevel="0" collapsed="false">
      <c r="A233" s="10"/>
      <c r="B233" s="8"/>
      <c r="C233" s="8"/>
      <c r="D233" s="8"/>
      <c r="E233" s="9"/>
      <c r="F233" s="14" t="str">
        <f aca="false">IF(A233="","",YEAR(A233))</f>
        <v/>
      </c>
    </row>
    <row r="234" customFormat="false" ht="15" hidden="false" customHeight="false" outlineLevel="0" collapsed="false">
      <c r="A234" s="10"/>
      <c r="B234" s="8"/>
      <c r="C234" s="8"/>
      <c r="D234" s="8"/>
      <c r="E234" s="9"/>
      <c r="F234" s="14" t="str">
        <f aca="false">IF(A234="","",YEAR(A234))</f>
        <v/>
      </c>
    </row>
    <row r="235" customFormat="false" ht="15" hidden="false" customHeight="false" outlineLevel="0" collapsed="false">
      <c r="A235" s="10"/>
      <c r="B235" s="8"/>
      <c r="C235" s="8"/>
      <c r="D235" s="8"/>
      <c r="E235" s="9"/>
      <c r="F235" s="14" t="str">
        <f aca="false">IF(A235="","",YEAR(A235))</f>
        <v/>
      </c>
    </row>
    <row r="236" customFormat="false" ht="15" hidden="false" customHeight="false" outlineLevel="0" collapsed="false">
      <c r="A236" s="10"/>
      <c r="B236" s="8"/>
      <c r="C236" s="8"/>
      <c r="D236" s="8"/>
      <c r="E236" s="9"/>
      <c r="F236" s="14" t="str">
        <f aca="false">IF(A236="","",YEAR(A236))</f>
        <v/>
      </c>
    </row>
    <row r="237" customFormat="false" ht="15" hidden="false" customHeight="false" outlineLevel="0" collapsed="false">
      <c r="A237" s="10"/>
      <c r="B237" s="8"/>
      <c r="C237" s="8"/>
      <c r="D237" s="8"/>
      <c r="E237" s="9"/>
      <c r="F237" s="14" t="str">
        <f aca="false">IF(A237="","",YEAR(A237))</f>
        <v/>
      </c>
    </row>
    <row r="238" customFormat="false" ht="15" hidden="false" customHeight="false" outlineLevel="0" collapsed="false">
      <c r="A238" s="10"/>
      <c r="B238" s="8"/>
      <c r="C238" s="8"/>
      <c r="D238" s="8"/>
      <c r="E238" s="9"/>
      <c r="F238" s="14" t="str">
        <f aca="false">IF(A238="","",YEAR(A238))</f>
        <v/>
      </c>
    </row>
    <row r="239" customFormat="false" ht="15" hidden="false" customHeight="false" outlineLevel="0" collapsed="false">
      <c r="A239" s="10"/>
      <c r="B239" s="8"/>
      <c r="C239" s="8"/>
      <c r="D239" s="8"/>
      <c r="E239" s="9"/>
      <c r="F239" s="14" t="str">
        <f aca="false">IF(A239="","",YEAR(A239))</f>
        <v/>
      </c>
    </row>
    <row r="240" customFormat="false" ht="15" hidden="false" customHeight="false" outlineLevel="0" collapsed="false">
      <c r="A240" s="10"/>
      <c r="B240" s="8"/>
      <c r="C240" s="8"/>
      <c r="D240" s="8"/>
      <c r="E240" s="9"/>
      <c r="F240" s="14" t="str">
        <f aca="false">IF(A240="","",YEAR(A240))</f>
        <v/>
      </c>
    </row>
    <row r="241" customFormat="false" ht="15" hidden="false" customHeight="false" outlineLevel="0" collapsed="false">
      <c r="A241" s="10"/>
      <c r="B241" s="8"/>
      <c r="C241" s="8"/>
      <c r="D241" s="8"/>
      <c r="E241" s="9"/>
      <c r="F241" s="14" t="str">
        <f aca="false">IF(A241="","",YEAR(A241))</f>
        <v/>
      </c>
    </row>
    <row r="242" customFormat="false" ht="15" hidden="false" customHeight="false" outlineLevel="0" collapsed="false">
      <c r="A242" s="10"/>
      <c r="B242" s="8"/>
      <c r="C242" s="8"/>
      <c r="D242" s="8"/>
      <c r="E242" s="9"/>
      <c r="F242" s="14" t="str">
        <f aca="false">IF(A242="","",YEAR(A242))</f>
        <v/>
      </c>
    </row>
    <row r="243" customFormat="false" ht="15" hidden="false" customHeight="false" outlineLevel="0" collapsed="false">
      <c r="A243" s="10"/>
      <c r="B243" s="8"/>
      <c r="C243" s="8"/>
      <c r="D243" s="8"/>
      <c r="E243" s="9"/>
      <c r="F243" s="14" t="str">
        <f aca="false">IF(A243="","",YEAR(A243))</f>
        <v/>
      </c>
    </row>
    <row r="244" customFormat="false" ht="15" hidden="false" customHeight="false" outlineLevel="0" collapsed="false">
      <c r="A244" s="10"/>
      <c r="B244" s="8"/>
      <c r="C244" s="8"/>
      <c r="D244" s="8"/>
      <c r="E244" s="9"/>
      <c r="F244" s="14" t="str">
        <f aca="false">IF(A244="","",YEAR(A244))</f>
        <v/>
      </c>
    </row>
    <row r="245" customFormat="false" ht="15" hidden="false" customHeight="false" outlineLevel="0" collapsed="false">
      <c r="A245" s="10"/>
      <c r="B245" s="8"/>
      <c r="C245" s="8"/>
      <c r="D245" s="8"/>
      <c r="E245" s="9"/>
      <c r="F245" s="14" t="str">
        <f aca="false">IF(A245="","",YEAR(A245))</f>
        <v/>
      </c>
    </row>
    <row r="246" customFormat="false" ht="15" hidden="false" customHeight="false" outlineLevel="0" collapsed="false">
      <c r="A246" s="10"/>
      <c r="B246" s="8"/>
      <c r="C246" s="8"/>
      <c r="D246" s="8"/>
      <c r="E246" s="9"/>
      <c r="F246" s="14" t="str">
        <f aca="false">IF(A246="","",YEAR(A246))</f>
        <v/>
      </c>
    </row>
    <row r="247" customFormat="false" ht="15" hidden="false" customHeight="false" outlineLevel="0" collapsed="false">
      <c r="A247" s="10"/>
      <c r="B247" s="8"/>
      <c r="C247" s="8"/>
      <c r="D247" s="8"/>
      <c r="E247" s="9"/>
      <c r="F247" s="14" t="str">
        <f aca="false">IF(A247="","",YEAR(A247))</f>
        <v/>
      </c>
    </row>
    <row r="248" customFormat="false" ht="15" hidden="false" customHeight="false" outlineLevel="0" collapsed="false">
      <c r="A248" s="10"/>
      <c r="B248" s="8"/>
      <c r="C248" s="8"/>
      <c r="D248" s="8"/>
      <c r="E248" s="9"/>
      <c r="F248" s="14" t="str">
        <f aca="false">IF(A248="","",YEAR(A248))</f>
        <v/>
      </c>
    </row>
    <row r="249" customFormat="false" ht="15" hidden="false" customHeight="false" outlineLevel="0" collapsed="false">
      <c r="A249" s="10"/>
      <c r="B249" s="8"/>
      <c r="C249" s="8"/>
      <c r="D249" s="8"/>
      <c r="E249" s="9"/>
      <c r="F249" s="14" t="str">
        <f aca="false">IF(A249="","",YEAR(A249))</f>
        <v/>
      </c>
    </row>
    <row r="250" customFormat="false" ht="15" hidden="false" customHeight="false" outlineLevel="0" collapsed="false">
      <c r="A250" s="10"/>
      <c r="B250" s="8"/>
      <c r="C250" s="8"/>
      <c r="D250" s="8"/>
      <c r="E250" s="9"/>
      <c r="F250" s="14" t="str">
        <f aca="false">IF(A250="","",YEAR(A250))</f>
        <v/>
      </c>
    </row>
    <row r="251" customFormat="false" ht="15" hidden="false" customHeight="false" outlineLevel="0" collapsed="false">
      <c r="A251" s="10"/>
      <c r="B251" s="8"/>
      <c r="C251" s="8"/>
      <c r="D251" s="8"/>
      <c r="E251" s="9"/>
      <c r="F251" s="14" t="str">
        <f aca="false">IF(A251="","",YEAR(A251))</f>
        <v/>
      </c>
    </row>
    <row r="252" customFormat="false" ht="15" hidden="false" customHeight="false" outlineLevel="0" collapsed="false">
      <c r="A252" s="10"/>
      <c r="B252" s="8"/>
      <c r="C252" s="8"/>
      <c r="D252" s="8"/>
      <c r="E252" s="9"/>
      <c r="F252" s="14" t="str">
        <f aca="false">IF(A252="","",YEAR(A252))</f>
        <v/>
      </c>
    </row>
    <row r="253" customFormat="false" ht="15" hidden="false" customHeight="false" outlineLevel="0" collapsed="false">
      <c r="A253" s="10"/>
      <c r="B253" s="8"/>
      <c r="C253" s="8"/>
      <c r="D253" s="8"/>
      <c r="E253" s="9"/>
      <c r="F253" s="14" t="str">
        <f aca="false">IF(A253="","",YEAR(A253))</f>
        <v/>
      </c>
    </row>
    <row r="254" customFormat="false" ht="15" hidden="false" customHeight="false" outlineLevel="0" collapsed="false">
      <c r="A254" s="10"/>
      <c r="B254" s="8"/>
      <c r="C254" s="8"/>
      <c r="D254" s="8"/>
      <c r="E254" s="9"/>
      <c r="F254" s="14" t="str">
        <f aca="false">IF(A254="","",YEAR(A254))</f>
        <v/>
      </c>
    </row>
    <row r="255" customFormat="false" ht="15" hidden="false" customHeight="false" outlineLevel="0" collapsed="false">
      <c r="A255" s="10"/>
      <c r="B255" s="8"/>
      <c r="C255" s="8"/>
      <c r="D255" s="8"/>
      <c r="E255" s="9"/>
      <c r="F255" s="14" t="str">
        <f aca="false">IF(A255="","",YEAR(A255))</f>
        <v/>
      </c>
    </row>
    <row r="256" customFormat="false" ht="15" hidden="false" customHeight="false" outlineLevel="0" collapsed="false">
      <c r="A256" s="10"/>
      <c r="B256" s="8"/>
      <c r="C256" s="8"/>
      <c r="D256" s="8"/>
      <c r="E256" s="9"/>
      <c r="F256" s="14" t="str">
        <f aca="false">IF(A256="","",YEAR(A256))</f>
        <v/>
      </c>
    </row>
    <row r="257" customFormat="false" ht="15" hidden="false" customHeight="false" outlineLevel="0" collapsed="false">
      <c r="A257" s="10"/>
      <c r="B257" s="8"/>
      <c r="C257" s="8"/>
      <c r="D257" s="8"/>
      <c r="E257" s="9"/>
      <c r="F257" s="14" t="str">
        <f aca="false">IF(A257="","",YEAR(A257))</f>
        <v/>
      </c>
    </row>
    <row r="258" customFormat="false" ht="15" hidden="false" customHeight="false" outlineLevel="0" collapsed="false">
      <c r="A258" s="10"/>
      <c r="B258" s="8"/>
      <c r="C258" s="8"/>
      <c r="D258" s="8"/>
      <c r="E258" s="9"/>
      <c r="F258" s="14" t="str">
        <f aca="false">IF(A258="","",YEAR(A258))</f>
        <v/>
      </c>
    </row>
    <row r="259" customFormat="false" ht="15" hidden="false" customHeight="false" outlineLevel="0" collapsed="false">
      <c r="A259" s="10"/>
      <c r="B259" s="8"/>
      <c r="C259" s="8"/>
      <c r="D259" s="8"/>
      <c r="E259" s="9"/>
      <c r="F259" s="14" t="str">
        <f aca="false">IF(A259="","",YEAR(A259))</f>
        <v/>
      </c>
    </row>
    <row r="260" customFormat="false" ht="15" hidden="false" customHeight="false" outlineLevel="0" collapsed="false">
      <c r="A260" s="10"/>
      <c r="B260" s="8"/>
      <c r="C260" s="8"/>
      <c r="D260" s="8"/>
      <c r="E260" s="9"/>
      <c r="F260" s="14" t="str">
        <f aca="false">IF(A260="","",YEAR(A260))</f>
        <v/>
      </c>
    </row>
    <row r="261" customFormat="false" ht="15" hidden="false" customHeight="false" outlineLevel="0" collapsed="false">
      <c r="A261" s="10"/>
      <c r="B261" s="8"/>
      <c r="C261" s="8"/>
      <c r="D261" s="8"/>
      <c r="E261" s="9"/>
      <c r="F261" s="14" t="str">
        <f aca="false">IF(A261="","",YEAR(A261))</f>
        <v/>
      </c>
    </row>
    <row r="262" customFormat="false" ht="15" hidden="false" customHeight="false" outlineLevel="0" collapsed="false">
      <c r="A262" s="10"/>
      <c r="B262" s="8"/>
      <c r="C262" s="8"/>
      <c r="D262" s="8"/>
      <c r="E262" s="9"/>
      <c r="F262" s="14" t="str">
        <f aca="false">IF(A262="","",YEAR(A262))</f>
        <v/>
      </c>
    </row>
    <row r="263" customFormat="false" ht="15" hidden="false" customHeight="false" outlineLevel="0" collapsed="false">
      <c r="A263" s="10"/>
      <c r="B263" s="8"/>
      <c r="C263" s="8"/>
      <c r="D263" s="8"/>
      <c r="E263" s="9"/>
      <c r="F263" s="14" t="str">
        <f aca="false">IF(A263="","",YEAR(A263))</f>
        <v/>
      </c>
    </row>
    <row r="264" customFormat="false" ht="15" hidden="false" customHeight="false" outlineLevel="0" collapsed="false">
      <c r="A264" s="10"/>
      <c r="B264" s="8"/>
      <c r="C264" s="8"/>
      <c r="D264" s="8"/>
      <c r="E264" s="9"/>
      <c r="F264" s="14" t="str">
        <f aca="false">IF(A264="","",YEAR(A264))</f>
        <v/>
      </c>
    </row>
    <row r="265" customFormat="false" ht="15" hidden="false" customHeight="false" outlineLevel="0" collapsed="false">
      <c r="A265" s="10"/>
      <c r="B265" s="8"/>
      <c r="C265" s="8"/>
      <c r="D265" s="8"/>
      <c r="E265" s="9"/>
      <c r="F265" s="14" t="str">
        <f aca="false">IF(A265="","",YEAR(A265))</f>
        <v/>
      </c>
    </row>
    <row r="266" customFormat="false" ht="15" hidden="false" customHeight="false" outlineLevel="0" collapsed="false">
      <c r="A266" s="10"/>
      <c r="B266" s="8"/>
      <c r="C266" s="8"/>
      <c r="D266" s="8"/>
      <c r="E266" s="9"/>
      <c r="F266" s="14" t="str">
        <f aca="false">IF(A266="","",YEAR(A266))</f>
        <v/>
      </c>
    </row>
    <row r="267" customFormat="false" ht="15" hidden="false" customHeight="false" outlineLevel="0" collapsed="false">
      <c r="A267" s="10"/>
      <c r="B267" s="8"/>
      <c r="C267" s="8"/>
      <c r="D267" s="8"/>
      <c r="E267" s="9"/>
      <c r="F267" s="14" t="str">
        <f aca="false">IF(A267="","",YEAR(A267))</f>
        <v/>
      </c>
    </row>
    <row r="268" customFormat="false" ht="15" hidden="false" customHeight="false" outlineLevel="0" collapsed="false">
      <c r="A268" s="10"/>
      <c r="B268" s="8"/>
      <c r="C268" s="8"/>
      <c r="D268" s="8"/>
      <c r="E268" s="9"/>
      <c r="F268" s="14" t="str">
        <f aca="false">IF(A268="","",YEAR(A268))</f>
        <v/>
      </c>
    </row>
    <row r="269" customFormat="false" ht="15" hidden="false" customHeight="false" outlineLevel="0" collapsed="false">
      <c r="A269" s="10"/>
      <c r="B269" s="8"/>
      <c r="C269" s="8"/>
      <c r="D269" s="8"/>
      <c r="E269" s="9"/>
      <c r="F269" s="14" t="str">
        <f aca="false">IF(A269="","",YEAR(A269))</f>
        <v/>
      </c>
    </row>
    <row r="270" customFormat="false" ht="15" hidden="false" customHeight="false" outlineLevel="0" collapsed="false">
      <c r="A270" s="10"/>
      <c r="B270" s="8"/>
      <c r="C270" s="8"/>
      <c r="D270" s="8"/>
      <c r="E270" s="9"/>
      <c r="F270" s="14" t="str">
        <f aca="false">IF(A270="","",YEAR(A270))</f>
        <v/>
      </c>
    </row>
    <row r="271" customFormat="false" ht="15" hidden="false" customHeight="false" outlineLevel="0" collapsed="false">
      <c r="A271" s="10"/>
      <c r="B271" s="8"/>
      <c r="C271" s="8"/>
      <c r="D271" s="8"/>
      <c r="E271" s="9"/>
      <c r="F271" s="14" t="str">
        <f aca="false">IF(A271="","",YEAR(A271))</f>
        <v/>
      </c>
    </row>
    <row r="272" customFormat="false" ht="15" hidden="false" customHeight="false" outlineLevel="0" collapsed="false">
      <c r="A272" s="10"/>
      <c r="B272" s="8"/>
      <c r="C272" s="8"/>
      <c r="D272" s="8"/>
      <c r="E272" s="9"/>
      <c r="F272" s="14" t="str">
        <f aca="false">IF(A272="","",YEAR(A272))</f>
        <v/>
      </c>
    </row>
    <row r="273" customFormat="false" ht="15" hidden="false" customHeight="false" outlineLevel="0" collapsed="false">
      <c r="A273" s="10"/>
      <c r="B273" s="8"/>
      <c r="C273" s="8"/>
      <c r="D273" s="8"/>
      <c r="E273" s="9"/>
      <c r="F273" s="14" t="str">
        <f aca="false">IF(A273="","",YEAR(A273))</f>
        <v/>
      </c>
    </row>
    <row r="274" customFormat="false" ht="15" hidden="false" customHeight="false" outlineLevel="0" collapsed="false">
      <c r="A274" s="10"/>
      <c r="B274" s="8"/>
      <c r="C274" s="8"/>
      <c r="D274" s="8"/>
      <c r="E274" s="9"/>
      <c r="F274" s="14" t="str">
        <f aca="false">IF(A274="","",YEAR(A274))</f>
        <v/>
      </c>
    </row>
    <row r="275" customFormat="false" ht="15" hidden="false" customHeight="false" outlineLevel="0" collapsed="false">
      <c r="A275" s="10"/>
      <c r="B275" s="8"/>
      <c r="C275" s="8"/>
      <c r="D275" s="8"/>
      <c r="E275" s="9"/>
      <c r="F275" s="14" t="str">
        <f aca="false">IF(A275="","",YEAR(A275))</f>
        <v/>
      </c>
    </row>
    <row r="276" customFormat="false" ht="15" hidden="false" customHeight="false" outlineLevel="0" collapsed="false">
      <c r="A276" s="10"/>
      <c r="B276" s="8"/>
      <c r="C276" s="8"/>
      <c r="D276" s="8"/>
      <c r="E276" s="9"/>
      <c r="F276" s="14" t="str">
        <f aca="false">IF(A276="","",YEAR(A276))</f>
        <v/>
      </c>
    </row>
    <row r="277" customFormat="false" ht="15" hidden="false" customHeight="false" outlineLevel="0" collapsed="false">
      <c r="A277" s="10"/>
      <c r="B277" s="8"/>
      <c r="C277" s="8"/>
      <c r="D277" s="8"/>
      <c r="E277" s="9"/>
      <c r="F277" s="14" t="str">
        <f aca="false">IF(A277="","",YEAR(A277))</f>
        <v/>
      </c>
    </row>
    <row r="278" customFormat="false" ht="15" hidden="false" customHeight="false" outlineLevel="0" collapsed="false">
      <c r="A278" s="10"/>
      <c r="B278" s="8"/>
      <c r="C278" s="8"/>
      <c r="D278" s="8"/>
      <c r="E278" s="9"/>
      <c r="F278" s="14" t="str">
        <f aca="false">IF(A278="","",YEAR(A278))</f>
        <v/>
      </c>
    </row>
    <row r="279" customFormat="false" ht="15" hidden="false" customHeight="false" outlineLevel="0" collapsed="false">
      <c r="A279" s="10"/>
      <c r="B279" s="8"/>
      <c r="C279" s="8"/>
      <c r="D279" s="8"/>
      <c r="E279" s="9"/>
      <c r="F279" s="14" t="str">
        <f aca="false">IF(A279="","",YEAR(A279))</f>
        <v/>
      </c>
    </row>
    <row r="280" customFormat="false" ht="15" hidden="false" customHeight="false" outlineLevel="0" collapsed="false">
      <c r="A280" s="10"/>
      <c r="B280" s="8"/>
      <c r="C280" s="8"/>
      <c r="D280" s="8"/>
      <c r="E280" s="9"/>
      <c r="F280" s="14" t="str">
        <f aca="false">IF(A280="","",YEAR(A280))</f>
        <v/>
      </c>
    </row>
    <row r="281" customFormat="false" ht="15" hidden="false" customHeight="false" outlineLevel="0" collapsed="false">
      <c r="A281" s="10"/>
      <c r="B281" s="8"/>
      <c r="C281" s="8"/>
      <c r="D281" s="8"/>
      <c r="E281" s="9"/>
      <c r="F281" s="14" t="str">
        <f aca="false">IF(A281="","",YEAR(A281))</f>
        <v/>
      </c>
    </row>
    <row r="282" customFormat="false" ht="15" hidden="false" customHeight="false" outlineLevel="0" collapsed="false">
      <c r="A282" s="10"/>
      <c r="B282" s="8"/>
      <c r="C282" s="8"/>
      <c r="D282" s="8"/>
      <c r="E282" s="9"/>
      <c r="F282" s="14" t="str">
        <f aca="false">IF(A282="","",YEAR(A282))</f>
        <v/>
      </c>
    </row>
    <row r="283" customFormat="false" ht="15" hidden="false" customHeight="false" outlineLevel="0" collapsed="false">
      <c r="A283" s="10"/>
      <c r="B283" s="8"/>
      <c r="C283" s="8"/>
      <c r="D283" s="8"/>
      <c r="E283" s="9"/>
      <c r="F283" s="14" t="str">
        <f aca="false">IF(A283="","",YEAR(A283))</f>
        <v/>
      </c>
    </row>
    <row r="284" customFormat="false" ht="15" hidden="false" customHeight="false" outlineLevel="0" collapsed="false">
      <c r="A284" s="10"/>
      <c r="B284" s="8"/>
      <c r="C284" s="8"/>
      <c r="D284" s="8"/>
      <c r="E284" s="9"/>
      <c r="F284" s="14" t="str">
        <f aca="false">IF(A284="","",YEAR(A284))</f>
        <v/>
      </c>
    </row>
    <row r="285" customFormat="false" ht="15" hidden="false" customHeight="false" outlineLevel="0" collapsed="false">
      <c r="A285" s="10"/>
      <c r="B285" s="8"/>
      <c r="C285" s="8"/>
      <c r="D285" s="8"/>
      <c r="E285" s="9"/>
      <c r="F285" s="14" t="str">
        <f aca="false">IF(A285="","",YEAR(A285))</f>
        <v/>
      </c>
    </row>
    <row r="286" customFormat="false" ht="15" hidden="false" customHeight="false" outlineLevel="0" collapsed="false">
      <c r="A286" s="10"/>
      <c r="B286" s="8"/>
      <c r="C286" s="8"/>
      <c r="D286" s="8"/>
      <c r="E286" s="9"/>
      <c r="F286" s="14" t="str">
        <f aca="false">IF(A286="","",YEAR(A286))</f>
        <v/>
      </c>
    </row>
    <row r="287" customFormat="false" ht="15" hidden="false" customHeight="false" outlineLevel="0" collapsed="false">
      <c r="A287" s="10"/>
      <c r="B287" s="8"/>
      <c r="C287" s="8"/>
      <c r="D287" s="8"/>
      <c r="E287" s="9"/>
      <c r="F287" s="14" t="str">
        <f aca="false">IF(A287="","",YEAR(A287))</f>
        <v/>
      </c>
    </row>
    <row r="288" customFormat="false" ht="15" hidden="false" customHeight="false" outlineLevel="0" collapsed="false">
      <c r="A288" s="10"/>
      <c r="B288" s="8"/>
      <c r="C288" s="8"/>
      <c r="D288" s="8"/>
      <c r="E288" s="9"/>
      <c r="F288" s="14" t="str">
        <f aca="false">IF(A288="","",YEAR(A288))</f>
        <v/>
      </c>
    </row>
    <row r="289" customFormat="false" ht="15" hidden="false" customHeight="false" outlineLevel="0" collapsed="false">
      <c r="A289" s="10"/>
      <c r="B289" s="8"/>
      <c r="C289" s="8"/>
      <c r="D289" s="8"/>
      <c r="E289" s="9"/>
      <c r="F289" s="14" t="str">
        <f aca="false">IF(A289="","",YEAR(A289))</f>
        <v/>
      </c>
    </row>
    <row r="290" customFormat="false" ht="15" hidden="false" customHeight="false" outlineLevel="0" collapsed="false">
      <c r="A290" s="10"/>
      <c r="B290" s="8"/>
      <c r="C290" s="8"/>
      <c r="D290" s="8"/>
      <c r="E290" s="9"/>
      <c r="F290" s="14" t="str">
        <f aca="false">IF(A290="","",YEAR(A290))</f>
        <v/>
      </c>
    </row>
    <row r="291" customFormat="false" ht="15" hidden="false" customHeight="false" outlineLevel="0" collapsed="false">
      <c r="A291" s="10"/>
      <c r="B291" s="8"/>
      <c r="C291" s="8"/>
      <c r="D291" s="8"/>
      <c r="E291" s="9"/>
      <c r="F291" s="14" t="str">
        <f aca="false">IF(A291="","",YEAR(A291))</f>
        <v/>
      </c>
    </row>
    <row r="292" customFormat="false" ht="15" hidden="false" customHeight="false" outlineLevel="0" collapsed="false">
      <c r="A292" s="10"/>
      <c r="B292" s="8"/>
      <c r="C292" s="8"/>
      <c r="D292" s="8"/>
      <c r="E292" s="9"/>
      <c r="F292" s="14" t="str">
        <f aca="false">IF(A292="","",YEAR(A292))</f>
        <v/>
      </c>
    </row>
    <row r="293" customFormat="false" ht="15" hidden="false" customHeight="false" outlineLevel="0" collapsed="false">
      <c r="A293" s="10"/>
      <c r="B293" s="8"/>
      <c r="C293" s="8"/>
      <c r="D293" s="8"/>
      <c r="E293" s="9"/>
      <c r="F293" s="14" t="str">
        <f aca="false">IF(A293="","",YEAR(A293))</f>
        <v/>
      </c>
    </row>
    <row r="294" customFormat="false" ht="15" hidden="false" customHeight="false" outlineLevel="0" collapsed="false">
      <c r="A294" s="10"/>
      <c r="B294" s="8"/>
      <c r="C294" s="8"/>
      <c r="D294" s="8"/>
      <c r="E294" s="9"/>
      <c r="F294" s="14" t="str">
        <f aca="false">IF(A294="","",YEAR(A294))</f>
        <v/>
      </c>
    </row>
    <row r="295" customFormat="false" ht="15" hidden="false" customHeight="false" outlineLevel="0" collapsed="false">
      <c r="A295" s="10"/>
      <c r="B295" s="8"/>
      <c r="C295" s="8"/>
      <c r="D295" s="8"/>
      <c r="E295" s="9"/>
      <c r="F295" s="14" t="str">
        <f aca="false">IF(A295="","",YEAR(A295))</f>
        <v/>
      </c>
    </row>
    <row r="296" customFormat="false" ht="15" hidden="false" customHeight="false" outlineLevel="0" collapsed="false">
      <c r="A296" s="10"/>
      <c r="B296" s="8"/>
      <c r="C296" s="8"/>
      <c r="D296" s="8"/>
      <c r="E296" s="9"/>
      <c r="F296" s="14" t="str">
        <f aca="false">IF(A296="","",YEAR(A296))</f>
        <v/>
      </c>
    </row>
    <row r="297" customFormat="false" ht="15" hidden="false" customHeight="false" outlineLevel="0" collapsed="false">
      <c r="A297" s="10"/>
      <c r="B297" s="8"/>
      <c r="C297" s="8"/>
      <c r="D297" s="8"/>
      <c r="E297" s="9"/>
      <c r="F297" s="14" t="str">
        <f aca="false">IF(A297="","",YEAR(A297))</f>
        <v/>
      </c>
    </row>
    <row r="298" customFormat="false" ht="15" hidden="false" customHeight="false" outlineLevel="0" collapsed="false">
      <c r="A298" s="10"/>
      <c r="B298" s="8"/>
      <c r="C298" s="8"/>
      <c r="D298" s="8"/>
      <c r="E298" s="9"/>
      <c r="F298" s="14" t="str">
        <f aca="false">IF(A298="","",YEAR(A298))</f>
        <v/>
      </c>
    </row>
    <row r="299" customFormat="false" ht="15" hidden="false" customHeight="false" outlineLevel="0" collapsed="false">
      <c r="A299" s="10"/>
      <c r="B299" s="8"/>
      <c r="C299" s="8"/>
      <c r="D299" s="8"/>
      <c r="E299" s="9"/>
      <c r="F299" s="14" t="str">
        <f aca="false">IF(A299="","",YEAR(A299))</f>
        <v/>
      </c>
    </row>
    <row r="300" customFormat="false" ht="15" hidden="false" customHeight="false" outlineLevel="0" collapsed="false">
      <c r="A300" s="10"/>
      <c r="B300" s="8"/>
      <c r="C300" s="8"/>
      <c r="D300" s="8"/>
      <c r="E300" s="9"/>
      <c r="F300" s="14" t="str">
        <f aca="false">IF(A300="","",YEAR(A300))</f>
        <v/>
      </c>
    </row>
    <row r="301" customFormat="false" ht="15" hidden="false" customHeight="false" outlineLevel="0" collapsed="false">
      <c r="A301" s="10"/>
      <c r="B301" s="8"/>
      <c r="C301" s="8"/>
      <c r="D301" s="8"/>
      <c r="E301" s="9"/>
      <c r="F301" s="14" t="str">
        <f aca="false">IF(A301="","",YEAR(A301))</f>
        <v/>
      </c>
    </row>
    <row r="302" customFormat="false" ht="15" hidden="false" customHeight="false" outlineLevel="0" collapsed="false">
      <c r="A302" s="10"/>
      <c r="B302" s="8"/>
      <c r="C302" s="8"/>
      <c r="D302" s="8"/>
      <c r="E302" s="9"/>
      <c r="F302" s="14" t="str">
        <f aca="false">IF(A302="","",YEAR(A302))</f>
        <v/>
      </c>
    </row>
    <row r="303" customFormat="false" ht="15" hidden="false" customHeight="false" outlineLevel="0" collapsed="false">
      <c r="A303" s="10"/>
      <c r="B303" s="8"/>
      <c r="C303" s="8"/>
      <c r="D303" s="8"/>
      <c r="E303" s="9"/>
      <c r="F303" s="14" t="str">
        <f aca="false">IF(A303="","",YEAR(A303))</f>
        <v/>
      </c>
    </row>
    <row r="304" customFormat="false" ht="15" hidden="false" customHeight="false" outlineLevel="0" collapsed="false">
      <c r="A304" s="10"/>
      <c r="B304" s="8"/>
      <c r="C304" s="8"/>
      <c r="D304" s="8"/>
      <c r="E304" s="9"/>
      <c r="F304" s="14" t="str">
        <f aca="false">IF(A304="","",YEAR(A304))</f>
        <v/>
      </c>
    </row>
  </sheetData>
  <dataValidations count="2">
    <dataValidation allowBlank="true" errorStyle="stop" operator="between" showDropDown="false" showErrorMessage="false" showInputMessage="false" sqref="B5:B304" type="list">
      <formula1>Properties!$A$5:$A$14</formula1>
      <formula2>0</formula2>
    </dataValidation>
    <dataValidation allowBlank="true" errorStyle="stop" operator="between" showDropDown="false" showErrorMessage="false" showInputMessage="false" sqref="C5:C304" type="list">
      <formula1>"Repairs,Insurance,Management fee,Mortgage interest,Utilities,Service charge,Tax,Legal,Other"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9" min="8" style="0" width="1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3" t="s">
        <v>48</v>
      </c>
      <c r="B2" s="16" t="n">
        <v>2026</v>
      </c>
    </row>
    <row r="4" customFormat="false" ht="26.85" hidden="false" customHeight="false" outlineLevel="0" collapsed="false">
      <c r="A4" s="6" t="s">
        <v>17</v>
      </c>
      <c r="B4" s="6" t="s">
        <v>18</v>
      </c>
      <c r="C4" s="6" t="s">
        <v>52</v>
      </c>
      <c r="D4" s="6" t="s">
        <v>53</v>
      </c>
      <c r="E4" s="6" t="s">
        <v>39</v>
      </c>
      <c r="F4" s="6" t="s">
        <v>54</v>
      </c>
      <c r="G4" s="6" t="s">
        <v>55</v>
      </c>
      <c r="H4" s="6" t="s">
        <v>56</v>
      </c>
      <c r="I4" s="6" t="s">
        <v>57</v>
      </c>
    </row>
    <row r="5" customFormat="false" ht="15" hidden="false" customHeight="false" outlineLevel="0" collapsed="false">
      <c r="A5" s="3" t="str">
        <f aca="false">IF(Properties!A5="","",Properties!A5)</f>
        <v>A</v>
      </c>
      <c r="B5" s="3" t="str">
        <f aca="false">IF(Properties!A5="","",Properties!B5)</f>
        <v>12 Example Street, Flat 2</v>
      </c>
      <c r="C5" s="15" t="n">
        <f aca="false">IF(A5="","",SUMIFS('Rent Log'!$D$5:$D$304,'Rent Log'!$A$5:$A$304,A5,'Rent Log'!$C$5:$C$304,"&gt;="&amp;DATE($B$2,1,1),'Rent Log'!$C$5:$C$304,"&lt;"&amp;DATE($B$2+1,1,1)))</f>
        <v>2400</v>
      </c>
      <c r="D5" s="15" t="n">
        <f aca="false">IF(A5="","",SUMIFS('Rent Log'!$E$5:$E$304,'Rent Log'!$A$5:$A$304,A5,'Rent Log'!$C$5:$C$304,"&gt;="&amp;DATE($B$2,1,1),'Rent Log'!$C$5:$C$304,"&lt;"&amp;DATE($B$2+1,1,1)))</f>
        <v>1200</v>
      </c>
      <c r="E5" s="15" t="n">
        <f aca="false">IF(A5="","",SUMIFS('Rent Log'!$H$5:$H$304,'Rent Log'!$A$5:$A$304,A5))</f>
        <v>1200</v>
      </c>
      <c r="F5" s="15" t="n">
        <f aca="false">IF(A5="","",SUMIFS(Expenses!$E$5:$E$304,Expenses!$B$5:$B$304,A5,Expenses!$F$5:$F$304,$B$2))</f>
        <v>95</v>
      </c>
      <c r="G5" s="15" t="n">
        <f aca="false">IF(A5="","",C5-F5)</f>
        <v>2305</v>
      </c>
      <c r="H5" s="17" t="n">
        <f aca="false">IF(OR(A5="",Properties!H5=0,Properties!H5=""),"",ROUND(Properties!D5*12/Properties!H5*100,2))</f>
        <v>7.2</v>
      </c>
      <c r="I5" s="17" t="n">
        <f aca="false">IF(OR(A5="",Properties!H5=0,Properties!H5=""),"",ROUND((Properties!D5*12-F5)/Properties!H5*100,2))</f>
        <v>7.15</v>
      </c>
    </row>
    <row r="6" customFormat="false" ht="15" hidden="false" customHeight="false" outlineLevel="0" collapsed="false">
      <c r="A6" s="3" t="str">
        <f aca="false">IF(Properties!A6="","",Properties!A6)</f>
        <v/>
      </c>
      <c r="B6" s="3" t="str">
        <f aca="false">IF(Properties!A6="","",Properties!B6)</f>
        <v/>
      </c>
      <c r="C6" s="15" t="str">
        <f aca="false">IF(A6="","",SUMIFS('Rent Log'!$D$5:$D$304,'Rent Log'!$A$5:$A$304,A6,'Rent Log'!$C$5:$C$304,"&gt;="&amp;DATE($B$2,1,1),'Rent Log'!$C$5:$C$304,"&lt;"&amp;DATE($B$2+1,1,1)))</f>
        <v/>
      </c>
      <c r="D6" s="15" t="str">
        <f aca="false">IF(A6="","",SUMIFS('Rent Log'!$E$5:$E$304,'Rent Log'!$A$5:$A$304,A6,'Rent Log'!$C$5:$C$304,"&gt;="&amp;DATE($B$2,1,1),'Rent Log'!$C$5:$C$304,"&lt;"&amp;DATE($B$2+1,1,1)))</f>
        <v/>
      </c>
      <c r="E6" s="15" t="str">
        <f aca="false">IF(A6="","",SUMIFS('Rent Log'!$H$5:$H$304,'Rent Log'!$A$5:$A$304,A6))</f>
        <v/>
      </c>
      <c r="F6" s="15" t="str">
        <f aca="false">IF(A6="","",SUMIFS(Expenses!$E$5:$E$304,Expenses!$B$5:$B$304,A6,Expenses!$F$5:$F$304,$B$2))</f>
        <v/>
      </c>
      <c r="G6" s="15" t="str">
        <f aca="false">IF(A6="","",C6-F6)</f>
        <v/>
      </c>
      <c r="H6" s="17" t="str">
        <f aca="false">IF(OR(A6="",Properties!H6=0,Properties!H6=""),"",ROUND(Properties!D6*12/Properties!H6*100,2))</f>
        <v/>
      </c>
      <c r="I6" s="17" t="str">
        <f aca="false">IF(OR(A6="",Properties!H6=0,Properties!H6=""),"",ROUND((Properties!D6*12-F6)/Properties!H6*100,2))</f>
        <v/>
      </c>
    </row>
    <row r="7" customFormat="false" ht="15" hidden="false" customHeight="false" outlineLevel="0" collapsed="false">
      <c r="A7" s="3" t="str">
        <f aca="false">IF(Properties!A7="","",Properties!A7)</f>
        <v/>
      </c>
      <c r="B7" s="3" t="str">
        <f aca="false">IF(Properties!A7="","",Properties!B7)</f>
        <v/>
      </c>
      <c r="C7" s="15" t="str">
        <f aca="false">IF(A7="","",SUMIFS('Rent Log'!$D$5:$D$304,'Rent Log'!$A$5:$A$304,A7,'Rent Log'!$C$5:$C$304,"&gt;="&amp;DATE($B$2,1,1),'Rent Log'!$C$5:$C$304,"&lt;"&amp;DATE($B$2+1,1,1)))</f>
        <v/>
      </c>
      <c r="D7" s="15" t="str">
        <f aca="false">IF(A7="","",SUMIFS('Rent Log'!$E$5:$E$304,'Rent Log'!$A$5:$A$304,A7,'Rent Log'!$C$5:$C$304,"&gt;="&amp;DATE($B$2,1,1),'Rent Log'!$C$5:$C$304,"&lt;"&amp;DATE($B$2+1,1,1)))</f>
        <v/>
      </c>
      <c r="E7" s="15" t="str">
        <f aca="false">IF(A7="","",SUMIFS('Rent Log'!$H$5:$H$304,'Rent Log'!$A$5:$A$304,A7))</f>
        <v/>
      </c>
      <c r="F7" s="15" t="str">
        <f aca="false">IF(A7="","",SUMIFS(Expenses!$E$5:$E$304,Expenses!$B$5:$B$304,A7,Expenses!$F$5:$F$304,$B$2))</f>
        <v/>
      </c>
      <c r="G7" s="15" t="str">
        <f aca="false">IF(A7="","",C7-F7)</f>
        <v/>
      </c>
      <c r="H7" s="17" t="str">
        <f aca="false">IF(OR(A7="",Properties!H7=0,Properties!H7=""),"",ROUND(Properties!D7*12/Properties!H7*100,2))</f>
        <v/>
      </c>
      <c r="I7" s="17" t="str">
        <f aca="false">IF(OR(A7="",Properties!H7=0,Properties!H7=""),"",ROUND((Properties!D7*12-F7)/Properties!H7*100,2))</f>
        <v/>
      </c>
    </row>
    <row r="8" customFormat="false" ht="15" hidden="false" customHeight="false" outlineLevel="0" collapsed="false">
      <c r="A8" s="3" t="str">
        <f aca="false">IF(Properties!A8="","",Properties!A8)</f>
        <v/>
      </c>
      <c r="B8" s="3" t="str">
        <f aca="false">IF(Properties!A8="","",Properties!B8)</f>
        <v/>
      </c>
      <c r="C8" s="15" t="str">
        <f aca="false">IF(A8="","",SUMIFS('Rent Log'!$D$5:$D$304,'Rent Log'!$A$5:$A$304,A8,'Rent Log'!$C$5:$C$304,"&gt;="&amp;DATE($B$2,1,1),'Rent Log'!$C$5:$C$304,"&lt;"&amp;DATE($B$2+1,1,1)))</f>
        <v/>
      </c>
      <c r="D8" s="15" t="str">
        <f aca="false">IF(A8="","",SUMIFS('Rent Log'!$E$5:$E$304,'Rent Log'!$A$5:$A$304,A8,'Rent Log'!$C$5:$C$304,"&gt;="&amp;DATE($B$2,1,1),'Rent Log'!$C$5:$C$304,"&lt;"&amp;DATE($B$2+1,1,1)))</f>
        <v/>
      </c>
      <c r="E8" s="15" t="str">
        <f aca="false">IF(A8="","",SUMIFS('Rent Log'!$H$5:$H$304,'Rent Log'!$A$5:$A$304,A8))</f>
        <v/>
      </c>
      <c r="F8" s="15" t="str">
        <f aca="false">IF(A8="","",SUMIFS(Expenses!$E$5:$E$304,Expenses!$B$5:$B$304,A8,Expenses!$F$5:$F$304,$B$2))</f>
        <v/>
      </c>
      <c r="G8" s="15" t="str">
        <f aca="false">IF(A8="","",C8-F8)</f>
        <v/>
      </c>
      <c r="H8" s="17" t="str">
        <f aca="false">IF(OR(A8="",Properties!H8=0,Properties!H8=""),"",ROUND(Properties!D8*12/Properties!H8*100,2))</f>
        <v/>
      </c>
      <c r="I8" s="17" t="str">
        <f aca="false">IF(OR(A8="",Properties!H8=0,Properties!H8=""),"",ROUND((Properties!D8*12-F8)/Properties!H8*100,2))</f>
        <v/>
      </c>
    </row>
    <row r="9" customFormat="false" ht="15" hidden="false" customHeight="false" outlineLevel="0" collapsed="false">
      <c r="A9" s="3" t="str">
        <f aca="false">IF(Properties!A9="","",Properties!A9)</f>
        <v/>
      </c>
      <c r="B9" s="3" t="str">
        <f aca="false">IF(Properties!A9="","",Properties!B9)</f>
        <v/>
      </c>
      <c r="C9" s="15" t="str">
        <f aca="false">IF(A9="","",SUMIFS('Rent Log'!$D$5:$D$304,'Rent Log'!$A$5:$A$304,A9,'Rent Log'!$C$5:$C$304,"&gt;="&amp;DATE($B$2,1,1),'Rent Log'!$C$5:$C$304,"&lt;"&amp;DATE($B$2+1,1,1)))</f>
        <v/>
      </c>
      <c r="D9" s="15" t="str">
        <f aca="false">IF(A9="","",SUMIFS('Rent Log'!$E$5:$E$304,'Rent Log'!$A$5:$A$304,A9,'Rent Log'!$C$5:$C$304,"&gt;="&amp;DATE($B$2,1,1),'Rent Log'!$C$5:$C$304,"&lt;"&amp;DATE($B$2+1,1,1)))</f>
        <v/>
      </c>
      <c r="E9" s="15" t="str">
        <f aca="false">IF(A9="","",SUMIFS('Rent Log'!$H$5:$H$304,'Rent Log'!$A$5:$A$304,A9))</f>
        <v/>
      </c>
      <c r="F9" s="15" t="str">
        <f aca="false">IF(A9="","",SUMIFS(Expenses!$E$5:$E$304,Expenses!$B$5:$B$304,A9,Expenses!$F$5:$F$304,$B$2))</f>
        <v/>
      </c>
      <c r="G9" s="15" t="str">
        <f aca="false">IF(A9="","",C9-F9)</f>
        <v/>
      </c>
      <c r="H9" s="17" t="str">
        <f aca="false">IF(OR(A9="",Properties!H9=0,Properties!H9=""),"",ROUND(Properties!D9*12/Properties!H9*100,2))</f>
        <v/>
      </c>
      <c r="I9" s="17" t="str">
        <f aca="false">IF(OR(A9="",Properties!H9=0,Properties!H9=""),"",ROUND((Properties!D9*12-F9)/Properties!H9*100,2))</f>
        <v/>
      </c>
    </row>
    <row r="10" customFormat="false" ht="15" hidden="false" customHeight="false" outlineLevel="0" collapsed="false">
      <c r="A10" s="3" t="str">
        <f aca="false">IF(Properties!A10="","",Properties!A10)</f>
        <v/>
      </c>
      <c r="B10" s="3" t="str">
        <f aca="false">IF(Properties!A10="","",Properties!B10)</f>
        <v/>
      </c>
      <c r="C10" s="15" t="str">
        <f aca="false">IF(A10="","",SUMIFS('Rent Log'!$D$5:$D$304,'Rent Log'!$A$5:$A$304,A10,'Rent Log'!$C$5:$C$304,"&gt;="&amp;DATE($B$2,1,1),'Rent Log'!$C$5:$C$304,"&lt;"&amp;DATE($B$2+1,1,1)))</f>
        <v/>
      </c>
      <c r="D10" s="15" t="str">
        <f aca="false">IF(A10="","",SUMIFS('Rent Log'!$E$5:$E$304,'Rent Log'!$A$5:$A$304,A10,'Rent Log'!$C$5:$C$304,"&gt;="&amp;DATE($B$2,1,1),'Rent Log'!$C$5:$C$304,"&lt;"&amp;DATE($B$2+1,1,1)))</f>
        <v/>
      </c>
      <c r="E10" s="15" t="str">
        <f aca="false">IF(A10="","",SUMIFS('Rent Log'!$H$5:$H$304,'Rent Log'!$A$5:$A$304,A10))</f>
        <v/>
      </c>
      <c r="F10" s="15" t="str">
        <f aca="false">IF(A10="","",SUMIFS(Expenses!$E$5:$E$304,Expenses!$B$5:$B$304,A10,Expenses!$F$5:$F$304,$B$2))</f>
        <v/>
      </c>
      <c r="G10" s="15" t="str">
        <f aca="false">IF(A10="","",C10-F10)</f>
        <v/>
      </c>
      <c r="H10" s="17" t="str">
        <f aca="false">IF(OR(A10="",Properties!H10=0,Properties!H10=""),"",ROUND(Properties!D10*12/Properties!H10*100,2))</f>
        <v/>
      </c>
      <c r="I10" s="17" t="str">
        <f aca="false">IF(OR(A10="",Properties!H10=0,Properties!H10=""),"",ROUND((Properties!D10*12-F10)/Properties!H10*100,2))</f>
        <v/>
      </c>
    </row>
    <row r="11" customFormat="false" ht="15" hidden="false" customHeight="false" outlineLevel="0" collapsed="false">
      <c r="A11" s="3" t="str">
        <f aca="false">IF(Properties!A11="","",Properties!A11)</f>
        <v/>
      </c>
      <c r="B11" s="3" t="str">
        <f aca="false">IF(Properties!A11="","",Properties!B11)</f>
        <v/>
      </c>
      <c r="C11" s="15" t="str">
        <f aca="false">IF(A11="","",SUMIFS('Rent Log'!$D$5:$D$304,'Rent Log'!$A$5:$A$304,A11,'Rent Log'!$C$5:$C$304,"&gt;="&amp;DATE($B$2,1,1),'Rent Log'!$C$5:$C$304,"&lt;"&amp;DATE($B$2+1,1,1)))</f>
        <v/>
      </c>
      <c r="D11" s="15" t="str">
        <f aca="false">IF(A11="","",SUMIFS('Rent Log'!$E$5:$E$304,'Rent Log'!$A$5:$A$304,A11,'Rent Log'!$C$5:$C$304,"&gt;="&amp;DATE($B$2,1,1),'Rent Log'!$C$5:$C$304,"&lt;"&amp;DATE($B$2+1,1,1)))</f>
        <v/>
      </c>
      <c r="E11" s="15" t="str">
        <f aca="false">IF(A11="","",SUMIFS('Rent Log'!$H$5:$H$304,'Rent Log'!$A$5:$A$304,A11))</f>
        <v/>
      </c>
      <c r="F11" s="15" t="str">
        <f aca="false">IF(A11="","",SUMIFS(Expenses!$E$5:$E$304,Expenses!$B$5:$B$304,A11,Expenses!$F$5:$F$304,$B$2))</f>
        <v/>
      </c>
      <c r="G11" s="15" t="str">
        <f aca="false">IF(A11="","",C11-F11)</f>
        <v/>
      </c>
      <c r="H11" s="17" t="str">
        <f aca="false">IF(OR(A11="",Properties!H11=0,Properties!H11=""),"",ROUND(Properties!D11*12/Properties!H11*100,2))</f>
        <v/>
      </c>
      <c r="I11" s="17" t="str">
        <f aca="false">IF(OR(A11="",Properties!H11=0,Properties!H11=""),"",ROUND((Properties!D11*12-F11)/Properties!H11*100,2))</f>
        <v/>
      </c>
    </row>
    <row r="12" customFormat="false" ht="15" hidden="false" customHeight="false" outlineLevel="0" collapsed="false">
      <c r="A12" s="3" t="str">
        <f aca="false">IF(Properties!A12="","",Properties!A12)</f>
        <v/>
      </c>
      <c r="B12" s="3" t="str">
        <f aca="false">IF(Properties!A12="","",Properties!B12)</f>
        <v/>
      </c>
      <c r="C12" s="15" t="str">
        <f aca="false">IF(A12="","",SUMIFS('Rent Log'!$D$5:$D$304,'Rent Log'!$A$5:$A$304,A12,'Rent Log'!$C$5:$C$304,"&gt;="&amp;DATE($B$2,1,1),'Rent Log'!$C$5:$C$304,"&lt;"&amp;DATE($B$2+1,1,1)))</f>
        <v/>
      </c>
      <c r="D12" s="15" t="str">
        <f aca="false">IF(A12="","",SUMIFS('Rent Log'!$E$5:$E$304,'Rent Log'!$A$5:$A$304,A12,'Rent Log'!$C$5:$C$304,"&gt;="&amp;DATE($B$2,1,1),'Rent Log'!$C$5:$C$304,"&lt;"&amp;DATE($B$2+1,1,1)))</f>
        <v/>
      </c>
      <c r="E12" s="15" t="str">
        <f aca="false">IF(A12="","",SUMIFS('Rent Log'!$H$5:$H$304,'Rent Log'!$A$5:$A$304,A12))</f>
        <v/>
      </c>
      <c r="F12" s="15" t="str">
        <f aca="false">IF(A12="","",SUMIFS(Expenses!$E$5:$E$304,Expenses!$B$5:$B$304,A12,Expenses!$F$5:$F$304,$B$2))</f>
        <v/>
      </c>
      <c r="G12" s="15" t="str">
        <f aca="false">IF(A12="","",C12-F12)</f>
        <v/>
      </c>
      <c r="H12" s="17" t="str">
        <f aca="false">IF(OR(A12="",Properties!H12=0,Properties!H12=""),"",ROUND(Properties!D12*12/Properties!H12*100,2))</f>
        <v/>
      </c>
      <c r="I12" s="17" t="str">
        <f aca="false">IF(OR(A12="",Properties!H12=0,Properties!H12=""),"",ROUND((Properties!D12*12-F12)/Properties!H12*100,2))</f>
        <v/>
      </c>
    </row>
    <row r="13" customFormat="false" ht="15" hidden="false" customHeight="false" outlineLevel="0" collapsed="false">
      <c r="A13" s="3" t="str">
        <f aca="false">IF(Properties!A13="","",Properties!A13)</f>
        <v/>
      </c>
      <c r="B13" s="3" t="str">
        <f aca="false">IF(Properties!A13="","",Properties!B13)</f>
        <v/>
      </c>
      <c r="C13" s="15" t="str">
        <f aca="false">IF(A13="","",SUMIFS('Rent Log'!$D$5:$D$304,'Rent Log'!$A$5:$A$304,A13,'Rent Log'!$C$5:$C$304,"&gt;="&amp;DATE($B$2,1,1),'Rent Log'!$C$5:$C$304,"&lt;"&amp;DATE($B$2+1,1,1)))</f>
        <v/>
      </c>
      <c r="D13" s="15" t="str">
        <f aca="false">IF(A13="","",SUMIFS('Rent Log'!$E$5:$E$304,'Rent Log'!$A$5:$A$304,A13,'Rent Log'!$C$5:$C$304,"&gt;="&amp;DATE($B$2,1,1),'Rent Log'!$C$5:$C$304,"&lt;"&amp;DATE($B$2+1,1,1)))</f>
        <v/>
      </c>
      <c r="E13" s="15" t="str">
        <f aca="false">IF(A13="","",SUMIFS('Rent Log'!$H$5:$H$304,'Rent Log'!$A$5:$A$304,A13))</f>
        <v/>
      </c>
      <c r="F13" s="15" t="str">
        <f aca="false">IF(A13="","",SUMIFS(Expenses!$E$5:$E$304,Expenses!$B$5:$B$304,A13,Expenses!$F$5:$F$304,$B$2))</f>
        <v/>
      </c>
      <c r="G13" s="15" t="str">
        <f aca="false">IF(A13="","",C13-F13)</f>
        <v/>
      </c>
      <c r="H13" s="17" t="str">
        <f aca="false">IF(OR(A13="",Properties!H13=0,Properties!H13=""),"",ROUND(Properties!D13*12/Properties!H13*100,2))</f>
        <v/>
      </c>
      <c r="I13" s="17" t="str">
        <f aca="false">IF(OR(A13="",Properties!H13=0,Properties!H13=""),"",ROUND((Properties!D13*12-F13)/Properties!H13*100,2))</f>
        <v/>
      </c>
    </row>
    <row r="14" customFormat="false" ht="15" hidden="false" customHeight="false" outlineLevel="0" collapsed="false">
      <c r="A14" s="3" t="str">
        <f aca="false">IF(Properties!A14="","",Properties!A14)</f>
        <v/>
      </c>
      <c r="B14" s="3" t="str">
        <f aca="false">IF(Properties!A14="","",Properties!B14)</f>
        <v/>
      </c>
      <c r="C14" s="15" t="str">
        <f aca="false">IF(A14="","",SUMIFS('Rent Log'!$D$5:$D$304,'Rent Log'!$A$5:$A$304,A14,'Rent Log'!$C$5:$C$304,"&gt;="&amp;DATE($B$2,1,1),'Rent Log'!$C$5:$C$304,"&lt;"&amp;DATE($B$2+1,1,1)))</f>
        <v/>
      </c>
      <c r="D14" s="15" t="str">
        <f aca="false">IF(A14="","",SUMIFS('Rent Log'!$E$5:$E$304,'Rent Log'!$A$5:$A$304,A14,'Rent Log'!$C$5:$C$304,"&gt;="&amp;DATE($B$2,1,1),'Rent Log'!$C$5:$C$304,"&lt;"&amp;DATE($B$2+1,1,1)))</f>
        <v/>
      </c>
      <c r="E14" s="15" t="str">
        <f aca="false">IF(A14="","",SUMIFS('Rent Log'!$H$5:$H$304,'Rent Log'!$A$5:$A$304,A14))</f>
        <v/>
      </c>
      <c r="F14" s="15" t="str">
        <f aca="false">IF(A14="","",SUMIFS(Expenses!$E$5:$E$304,Expenses!$B$5:$B$304,A14,Expenses!$F$5:$F$304,$B$2))</f>
        <v/>
      </c>
      <c r="G14" s="15" t="str">
        <f aca="false">IF(A14="","",C14-F14)</f>
        <v/>
      </c>
      <c r="H14" s="17" t="str">
        <f aca="false">IF(OR(A14="",Properties!H14=0,Properties!H14=""),"",ROUND(Properties!D14*12/Properties!H14*100,2))</f>
        <v/>
      </c>
      <c r="I14" s="17" t="str">
        <f aca="false">IF(OR(A14="",Properties!H14=0,Properties!H14=""),"",ROUND((Properties!D14*12-F14)/Properties!H14*100,2))</f>
        <v/>
      </c>
    </row>
    <row r="16" customFormat="false" ht="15" hidden="false" customHeight="false" outlineLevel="0" collapsed="false">
      <c r="A16" s="4" t="s">
        <v>58</v>
      </c>
      <c r="C16" s="11" t="n">
        <f aca="false">SUM(C5:C14)</f>
        <v>2400</v>
      </c>
      <c r="D16" s="11" t="n">
        <f aca="false">SUM(D5:D14)</f>
        <v>1200</v>
      </c>
      <c r="E16" s="11" t="n">
        <f aca="false">SUM(E5:E14)</f>
        <v>1200</v>
      </c>
      <c r="F16" s="11" t="n">
        <f aca="false">SUM(F5:F14)</f>
        <v>95</v>
      </c>
      <c r="G16" s="11" t="n">
        <f aca="false">SUM(G5:G14)</f>
        <v>2305</v>
      </c>
      <c r="H16" s="18" t="n">
        <f aca="false">IFERROR(ROUND(SUMPRODUCT(Properties!D5:D14)*12/SUM(Properties!H5:H14)*100,2),"")</f>
        <v>7.2</v>
      </c>
      <c r="I16" s="18" t="n">
        <f aca="false">IFERROR(ROUND((SUMPRODUCT(Properties!D5:D14)*12-F16)/SUM(Properties!H5:H14)*100,2),"")</f>
        <v>7.15</v>
      </c>
    </row>
    <row r="18" customFormat="false" ht="15" hidden="false" customHeight="false" outlineLevel="0" collapsed="false">
      <c r="A18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2026-10-01T07:23:04Z</dcterms:created>
  <dc:creator>openpyxl</dc:creator>
  <dc:description/>
  <dc:language>en-US</dc:language>
  <cp:lastModifiedBy/>
  <dcterms:modified xsi:type="dcterms:W3CDTF">2026-10-01T07:23:04Z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