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6.vml" ContentType="application/vnd.openxmlformats-officedocument.vmlDrawing"/>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comments7.xml" ContentType="application/vnd.openxmlformats-officedocument.spreadsheetml.comments+xml"/>
  <Override PartName="/xl/comments5.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ttings" sheetId="2" state="visible" r:id="rId4"/>
    <sheet name="Perm Placements" sheetId="3" state="visible" r:id="rId5"/>
    <sheet name="Temp Assignments" sheetId="4" state="visible" r:id="rId6"/>
    <sheet name="Desk Performance" sheetId="5" state="visible" r:id="rId7"/>
    <sheet name="Rebate Reserve" sheetId="6" state="visible" r:id="rId8"/>
    <sheet name="Summary"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Knackdesk</author>
  </authors>
  <commentList>
    <comment ref="B3" authorId="0">
      <text>
        <r>
          <rPr>
            <sz val="10"/>
            <rFont val="Arial"/>
            <family val="2"/>
          </rPr>
          <t xml:space="preserve">Assumption: one average salary for all recruiters. If commission is a big part of pay, include what you expect to pay out this year.</t>
        </r>
      </text>
    </comment>
    <comment ref="B4" authorId="0">
      <text>
        <r>
          <rPr>
            <sz val="10"/>
            <rFont val="Arial"/>
            <family val="2"/>
          </rPr>
          <t xml:space="preserve">Assumption: 20% is a placeholder for employer taxes and benefits; use your payroll figures.</t>
        </r>
      </text>
    </comment>
    <comment ref="B7" authorId="0">
      <text>
        <r>
          <rPr>
            <sz val="10"/>
            <rFont val="Arial"/>
            <family val="2"/>
          </rPr>
          <t xml:space="preserve">Assumption: 1,800 hours is a placeholder for a full-time year after holidays. Use your own.</t>
        </r>
      </text>
    </comment>
    <comment ref="B9" authorId="0">
      <text>
        <r>
          <rPr>
            <sz val="10"/>
            <rFont val="Arial"/>
            <family val="2"/>
          </rPr>
          <t xml:space="preserve">Assumption: 18% is a placeholder. On-costs depend on your country, state and the worker's contract; use your payroll provider's figures.</t>
        </r>
      </text>
    </comment>
    <comment ref="B10" authorId="0">
      <text>
        <r>
          <rPr>
            <sz val="10"/>
            <rFont val="Arial"/>
            <family val="2"/>
          </rPr>
          <t xml:space="preserve">Your own placeholder markup, not a recommendation or an industry benchmark.</t>
        </r>
      </text>
    </comment>
    <comment ref="B12" authorId="0">
      <text>
        <r>
          <rPr>
            <sz val="10"/>
            <rFont val="Arial"/>
            <family val="2"/>
          </rPr>
          <t xml:space="preserve">Your own placeholder, not an industry benchmark. Count fall-offs inside the guarantee over your last 20 or more placements.</t>
        </r>
      </text>
    </comment>
    <comment ref="B13" authorId="0">
      <text>
        <r>
          <rPr>
            <sz val="10"/>
            <rFont val="Arial"/>
            <family val="2"/>
          </rPr>
          <t xml:space="preserve">Check your terms of business: some guarantees refund on a sliding scale, others offer one free replacement.</t>
        </r>
      </text>
    </comment>
  </commentList>
</comments>
</file>

<file path=xl/comments3.xml><?xml version="1.0" encoding="utf-8"?>
<comments xmlns="http://schemas.openxmlformats.org/spreadsheetml/2006/main" xmlns:xdr="http://schemas.openxmlformats.org/drawingml/2006/spreadsheetDrawing">
  <authors>
    <author>Knackdesk</author>
  </authors>
  <commentList>
    <comment ref="D5" authorId="0">
      <text>
        <r>
          <rPr>
            <sz val="10"/>
            <rFont val="Arial"/>
            <family val="2"/>
          </rPr>
          <t xml:space="preserve">The candidate's guaranteed first-year salary, as your fee is quoted on it.</t>
        </r>
      </text>
    </comment>
    <comment ref="F7" authorId="0">
      <text>
        <r>
          <rPr>
            <sz val="10"/>
            <rFont val="Arial"/>
            <family val="2"/>
          </rPr>
          <t xml:space="preserve">Example override: a retained search at a higher fee %.</t>
        </r>
      </text>
    </comment>
    <comment ref="H5" authorId="0">
      <text>
        <r>
          <rPr>
            <sz val="10"/>
            <rFont val="Arial"/>
            <family val="2"/>
          </rPr>
          <t xml:space="preserve">Share of the gross fee paid to a split partner (another agency or recruiter). 0 if the placement was all yours.</t>
        </r>
      </text>
    </comment>
    <comment ref="I5" authorId="0">
      <text>
        <r>
          <rPr>
            <sz val="10"/>
            <rFont val="Arial"/>
            <family val="2"/>
          </rPr>
          <t xml:space="preserve">Assumption: recruiter hours spent on this job order (intake, sourcing, screening, interviews, offer). Estimate if you do not track time.</t>
        </r>
      </text>
    </comment>
    <comment ref="P5" authorId="0">
      <text>
        <r>
          <rPr>
            <sz val="10"/>
            <rFont val="Arial"/>
            <family val="2"/>
          </rPr>
          <t xml:space="preserve">Assumption: delivery cost = recruiter hours × recruiter cost per hour (Settings) + advertising. Desk overhead is inside the hourly cost.</t>
        </r>
      </text>
    </comment>
    <comment ref="R35" authorId="0">
      <text>
        <r>
          <rPr>
            <sz val="10"/>
            <rFont val="Arial"/>
            <family val="2"/>
          </rPr>
          <t xml:space="preserve">Totals recompute from the column totals, not an average of the placement rows.</t>
        </r>
      </text>
    </comment>
    <comment ref="S5" authorId="0">
      <text>
        <r>
          <rPr>
            <sz val="10"/>
            <rFont val="Arial"/>
            <family val="2"/>
          </rPr>
          <t xml:space="preserve">Net fee ÷ recruiter hours: what each hour on this placement brought in, before costs.</t>
        </r>
      </text>
    </comment>
    <comment ref="T5" authorId="0">
      <text>
        <r>
          <rPr>
            <sz val="10"/>
            <rFont val="Arial"/>
            <family val="2"/>
          </rPr>
          <t xml:space="preserve">Net fee × reserve % of fee (Settings). Hold this back until the guarantee ends; see the Rebate Reserve sheet.</t>
        </r>
      </text>
    </comment>
  </commentList>
</comments>
</file>

<file path=xl/comments4.xml><?xml version="1.0" encoding="utf-8"?>
<comments xmlns="http://schemas.openxmlformats.org/spreadsheetml/2006/main" xmlns:xdr="http://schemas.openxmlformats.org/drawingml/2006/spreadsheetDrawing">
  <authors>
    <author>Knackdesk</author>
  </authors>
  <commentList>
    <comment ref="C5" authorId="0">
      <text>
        <r>
          <rPr>
            <sz val="10"/>
            <rFont val="Arial"/>
            <family val="2"/>
          </rPr>
          <t xml:space="preserve">The hourly rate the worker is paid, before employer on-costs.</t>
        </r>
      </text>
    </comment>
    <comment ref="E10" authorId="0">
      <text>
        <r>
          <rPr>
            <sz val="10"/>
            <rFont val="Arial"/>
            <family val="2"/>
          </rPr>
          <t xml:space="preserve">Example override: a contractor paid through their own company carries lower on-costs. Check the rules where you operate.</t>
        </r>
      </text>
    </comment>
    <comment ref="H11" authorId="0">
      <text>
        <r>
          <rPr>
            <sz val="10"/>
            <rFont val="Arial"/>
            <family val="2"/>
          </rPr>
          <t xml:space="preserve">Example override: a seasonal deal at a low markup. This is the thin-margin row the Summary flags.</t>
        </r>
      </text>
    </comment>
    <comment ref="J8" authorId="0">
      <text>
        <r>
          <rPr>
            <sz val="10"/>
            <rFont val="Arial"/>
            <family val="2"/>
          </rPr>
          <t xml:space="preserve">Example override: the client agreed a fixed bill rate, so the markup % is not used for this row.</t>
        </r>
      </text>
    </comment>
    <comment ref="P5" authorId="0">
      <text>
        <r>
          <rPr>
            <sz val="10"/>
            <rFont val="Arial"/>
            <family val="2"/>
          </rPr>
          <t xml:space="preserve">Gross margin % = margin per hour ÷ bill rate, not the markup on pay.</t>
        </r>
      </text>
    </comment>
    <comment ref="P35" authorId="0">
      <text>
        <r>
          <rPr>
            <sz val="10"/>
            <rFont val="Arial"/>
            <family val="2"/>
          </rPr>
          <t xml:space="preserve">Weekly margin total ÷ weekly bill total, not an average of the rows.</t>
        </r>
      </text>
    </comment>
  </commentList>
</comments>
</file>

<file path=xl/comments5.xml><?xml version="1.0" encoding="utf-8"?>
<comments xmlns="http://schemas.openxmlformats.org/spreadsheetml/2006/main" xmlns:xdr="http://schemas.openxmlformats.org/drawingml/2006/spreadsheetDrawing">
  <authors>
    <author>Knackdesk</author>
  </authors>
  <commentList>
    <comment ref="B5" authorId="0">
      <text>
        <r>
          <rPr>
            <sz val="10"/>
            <rFont val="Arial"/>
            <family val="2"/>
          </rPr>
          <t xml:space="preserve">Counts Perm Placements rows whose date falls in this month. Type your own in column C if you track placements elsewhere.</t>
        </r>
      </text>
    </comment>
    <comment ref="H5" authorId="0">
      <text>
        <r>
          <rPr>
            <sz val="10"/>
            <rFont val="Arial"/>
            <family val="2"/>
          </rPr>
          <t xml:space="preserve">Gross margin on temp hours billed this month (bill minus pay and on-costs), from your timesheet or invoicing system.</t>
        </r>
      </text>
    </comment>
    <comment ref="J5" authorId="0">
      <text>
        <r>
          <rPr>
            <sz val="10"/>
            <rFont val="Arial"/>
            <family val="2"/>
          </rPr>
          <t xml:space="preserve">Job orders filled this month, perm and temp.</t>
        </r>
      </text>
    </comment>
    <comment ref="M5" authorId="0">
      <text>
        <r>
          <rPr>
            <sz val="10"/>
            <rFont val="Arial"/>
            <family val="2"/>
          </rPr>
          <t xml:space="preserve">Sum, across the job orders filled this month, of the days from job order received to offer accepted.</t>
        </r>
      </text>
    </comment>
    <comment ref="O5" authorId="0">
      <text>
        <r>
          <rPr>
            <sz val="10"/>
            <rFont val="Arial"/>
            <family val="2"/>
          </rPr>
          <t xml:space="preserve">Assumption: desk cost is spread evenly, total desk cost (Settings) ÷ 12 each month.</t>
        </r>
      </text>
    </comment>
    <comment ref="Q17" authorId="0">
      <text>
        <r>
          <rPr>
            <sz val="10"/>
            <rFont val="Arial"/>
            <family val="2"/>
          </rPr>
          <t xml:space="preserve">Year-to-date fill rate from the column totals (filled ÷ received), not an average of the monthly rates.</t>
        </r>
      </text>
    </comment>
  </commentList>
</comments>
</file>

<file path=xl/comments6.xml><?xml version="1.0" encoding="utf-8"?>
<comments xmlns="http://schemas.openxmlformats.org/spreadsheetml/2006/main" xmlns:xdr="http://schemas.openxmlformats.org/drawingml/2006/spreadsheetDrawing">
  <authors>
    <author>Knackdesk</author>
  </authors>
  <commentList>
    <comment ref="C5" authorId="0">
      <text>
        <r>
          <rPr>
            <sz val="10"/>
            <rFont val="Arial"/>
            <family val="2"/>
          </rPr>
          <t xml:space="preserve">Net fee after any split, from the Perm Placements sheet.</t>
        </r>
      </text>
    </comment>
    <comment ref="E9" authorId="0">
      <text>
        <r>
          <rPr>
            <sz val="10"/>
            <rFont val="Arial"/>
            <family val="2"/>
          </rPr>
          <t xml:space="preserve">Example override: a senior hire with a 180-day guarantee.</t>
        </r>
      </text>
    </comment>
    <comment ref="H8" authorId="0">
      <text>
        <r>
          <rPr>
            <sz val="10"/>
            <rFont val="Arial"/>
            <family val="2"/>
          </rPr>
          <t xml:space="preserve">Example override: a role you expect to be riskier carries a higher fall-off %.</t>
        </r>
      </text>
    </comment>
    <comment ref="K7" authorId="0">
      <text>
        <r>
          <rPr>
            <sz val="10"/>
            <rFont val="Arial"/>
            <family val="2"/>
          </rPr>
          <t xml:space="preserve">Example override: this client's terms refund half the fee on a fall-off.</t>
        </r>
      </text>
    </comment>
    <comment ref="M5" authorId="0">
      <text>
        <r>
          <rPr>
            <sz val="10"/>
            <rFont val="Arial"/>
            <family val="2"/>
          </rPr>
          <t xml:space="preserve">in guarantee = still inside the guarantee period; retained = guarantee passed, reserve released; fell off = rebate owed. Rows with no outcome are left out of all three columns.</t>
        </r>
      </text>
    </comment>
    <comment ref="O5" authorId="0">
      <text>
        <r>
          <rPr>
            <sz val="10"/>
            <rFont val="Arial"/>
            <family val="2"/>
          </rPr>
          <t xml:space="preserve">Assumption: expected reserve = net fee × rebate % × fall-off % ÷ 10,000, the average rebate you expect to owe on this placement.</t>
        </r>
      </text>
    </comment>
  </commentList>
</comments>
</file>

<file path=xl/comments7.xml><?xml version="1.0" encoding="utf-8"?>
<comments xmlns="http://schemas.openxmlformats.org/spreadsheetml/2006/main" xmlns:xdr="http://schemas.openxmlformats.org/drawingml/2006/spreadsheetDrawing">
  <authors>
    <author>Knackdesk</author>
  </authors>
  <commentList>
    <comment ref="B11" authorId="0">
      <text>
        <r>
          <rPr>
            <sz val="10"/>
            <rFont val="Arial"/>
            <family val="2"/>
          </rPr>
          <t xml:space="preserve">Placements each recruiter must make in a year for their net fees to cover their desk cost, with no temp margin.</t>
        </r>
      </text>
    </comment>
    <comment ref="B12" authorId="0">
      <text>
        <r>
          <rPr>
            <sz val="10"/>
            <rFont val="Arial"/>
            <family val="2"/>
          </rPr>
          <t xml:space="preserve">Your own placeholder, not a recommendation and not an industry benchmark. Change it to the margin % below which you want to look at a placement again.</t>
        </r>
      </text>
    </comment>
  </commentList>
</comments>
</file>

<file path=xl/sharedStrings.xml><?xml version="1.0" encoding="utf-8"?>
<sst xmlns="http://schemas.openxmlformats.org/spreadsheetml/2006/main" count="245" uniqueCount="217">
  <si>
    <t xml:space="preserve">Staffing Agency Margin Workbook</t>
  </si>
  <si>
    <t xml:space="preserve">by Knackdesk · knackdesk.com</t>
  </si>
  <si>
    <t xml:space="preserve">HOW TO USE</t>
  </si>
  <si>
    <t xml:space="preserve">1. Settings: number of recruiters, average recruiter salary, benefits and payroll taxes %, tools and job boards, office and other overhead, working hours per recruiter, and your default permanent fee %, temp on-costs %, temp markup %, guarantee days, expected fall-off % and rebate %. Desk cost per recruiter, recruiter cost per hour and the reserve % of fee follow and every other sheet reads them.</t>
  </si>
  <si>
    <t xml:space="preserve">2. Perm Placements: one row per permanent placement with date, client, role, annual salary, fee % (default from Settings, type your own to override), split %, recruiter hours, advertising cost, invoiced and collected. Gross fee, split fee, net fee, delivery cost, margin, margin %, net fee per recruiter hour, expected rebate reserve and net fee after reserve are calculated, with totals.</t>
  </si>
  <si>
    <t xml:space="preserve">3. Temp Assignments: one row per temp or contractor with client, worker, pay rate, on-costs % and markup % (defaults from Settings, type your own to override), an optional bill rate you have agreed, hours per week and weeks. Bill rate used, loaded cost per hour, gross margin per hour and %, and weekly and assignment revenue and margin are calculated, with totals.</t>
  </si>
  <si>
    <t xml:space="preserve">4. Desk Performance: one row per month with job orders received and filled, candidates submitted, interviews, total days to fill and temp margin earned. Perm placements and net perm fees for the month are counted from the Perm Placements sheet by date (type your own to override). Gross margin, desk cost for the month, desk profit, fill rate, average days to fill, submittals per fill, interview to fill % and margin per recruiter are calculated.</t>
  </si>
  <si>
    <t xml:space="preserve">5. Rebate Reserve: one row per placement still inside or recently out of its guarantee, with start date, net fee, guarantee days, fall-off % and rebate % (defaults from Settings, type your own to override) and the outcome. Guarantee end date, expected reserve, reserve released, rebate paid and reserve still held are calculated, with totals.</t>
  </si>
  <si>
    <t xml:space="preserve">6. Summary: recruiters, desk cost per recruiter, recruiter cost per hour, year-to-date perm net fees, temp margin, gross margin, desk cost and desk profit, break-even placements per recruiter, placements below your margin % threshold, the thinnest temp assignment, year-to-date fill rate and days to fill, and the reserve position.</t>
  </si>
  <si>
    <t xml:space="preserve">LEGEND</t>
  </si>
  <si>
    <t xml:space="preserve">Blue text = a cell you type into.   Black text = a formula, leave it alone.   Yellow fill = key inputs.</t>
  </si>
  <si>
    <t xml:space="preserve">DEFINITIONS</t>
  </si>
  <si>
    <t xml:space="preserve">Placement: a candidate you introduced who starts a permanent job with your client, for which the client pays a fee.</t>
  </si>
  <si>
    <t xml:space="preserve">Job order: a vacancy a client has asked you to fill (also called a requisition or a req). Filled = a candidate you placed started in it.</t>
  </si>
  <si>
    <t xml:space="preserve">Net fee after split: the fee your agency keeps after paying any share to a split partner (another agency or recruiter who supplied the candidate or the client). Net fee = gross fee × (1 − split %).</t>
  </si>
  <si>
    <t xml:space="preserve">Markup on pay vs margin on bill: markup is added on top of the pay rate (bill rate = pay rate × (1 + markup %)). Gross margin % is profit as a share of the bill rate after on-costs. A 55% markup on pay with 18% on-costs is a 23.87% margin on bill, not 55%.</t>
  </si>
  <si>
    <t xml:space="preserve">On-costs: what a temp worker costs you on top of their pay rate: employer payroll taxes, pension, holiday pay, workers' compensation or liability insurance, and payroll fees. Loaded cost per hour = pay rate × (1 + on-costs %).</t>
  </si>
  <si>
    <t xml:space="preserve">Desk cost: what it costs to run a recruiter's desk for a year: loaded salary plus an equal share of tools, job boards, office and other overhead. Recruiter cost per hour = desk cost per recruiter ÷ working hours per recruiter per year.</t>
  </si>
  <si>
    <t xml:space="preserve">Fill rate: job orders filled ÷ job orders received for the same period, as a %. The year-to-date fill rate is computed from the totals, not averaged across months.</t>
  </si>
  <si>
    <t xml:space="preserve">Fall-off and rebate reserve: a fall-off is a placed candidate who leaves or is let go inside the guarantee period, so you owe the client a rebate (a refund or a free replacement). The reserve sets aside, for each placement, net fee × rebate % × expected fall-off % until the guarantee ends.</t>
  </si>
  <si>
    <t xml:space="preserve">The targets and thresholds in this workbook are your own; it does not supply industry benchmarks. Set them from your own history and plan.</t>
  </si>
  <si>
    <t xml:space="preserve">Support: hello@knackdesk.com</t>
  </si>
  <si>
    <t xml:space="preserve">Arithmetic only; not financial advice.</t>
  </si>
  <si>
    <t xml:space="preserve">Settings</t>
  </si>
  <si>
    <t xml:space="preserve">Number of recruiters</t>
  </si>
  <si>
    <t xml:space="preserve">Example default 4. Fee-earning recruiters whose desks carry the agency's cost; owners who bill count too.</t>
  </si>
  <si>
    <t xml:space="preserve">Average recruiter salary (annual)</t>
  </si>
  <si>
    <t xml:space="preserve">Example default 55,000 a year. Base salary plus the commission you expect to pay, averaged across recruiters.</t>
  </si>
  <si>
    <t xml:space="preserve">Benefits and payroll taxes % for staff</t>
  </si>
  <si>
    <t xml:space="preserve">Default 20. Employer payroll taxes, pension, health cover and other benefits on top of recruiter salary.</t>
  </si>
  <si>
    <t xml:space="preserve">Tools and job boards (annual)</t>
  </si>
  <si>
    <t xml:space="preserve">Example default 36,000 a year. Applicant tracking system, CRM, job board subscriptions, LinkedIn seats, background checks.</t>
  </si>
  <si>
    <t xml:space="preserve">Office and other overhead (annual)</t>
  </si>
  <si>
    <t xml:space="preserve">Example default 72,000 a year. Rent, admin staff, insurance, accounting, marketing and everything else.</t>
  </si>
  <si>
    <t xml:space="preserve">Working hours per recruiter per year</t>
  </si>
  <si>
    <t xml:space="preserve">Default 1,800. Hours a recruiter is at work in a year, used to cost an hour of desk time.</t>
  </si>
  <si>
    <t xml:space="preserve">Default permanent fee %</t>
  </si>
  <si>
    <t xml:space="preserve">Default 20. Fee as a % of the candidate's first-year salary; each placement can override it.</t>
  </si>
  <si>
    <t xml:space="preserve">Default on-costs % for temps</t>
  </si>
  <si>
    <t xml:space="preserve">Default 18. Employer taxes, holiday pay, insurance and payroll fees on top of a temp's pay rate; each assignment can override it.</t>
  </si>
  <si>
    <t xml:space="preserve">Default temp markup %</t>
  </si>
  <si>
    <t xml:space="preserve">Default 55. Markup on the pay rate to get the bill rate; each assignment can override it or set its own bill rate.</t>
  </si>
  <si>
    <t xml:space="preserve">Default guarantee days</t>
  </si>
  <si>
    <t xml:space="preserve">Default 90. Days after the start date during which a fall-off triggers a rebate; each placement can override it.</t>
  </si>
  <si>
    <t xml:space="preserve">Expected fall-off %</t>
  </si>
  <si>
    <t xml:space="preserve">Default 8. Share of placements you expect to fall off inside the guarantee; your own placeholder, set it from your history.</t>
  </si>
  <si>
    <t xml:space="preserve">Rebate % of fee</t>
  </si>
  <si>
    <t xml:space="preserve">Default 100. Share of the fee refunded or credited on a fall-off (100 = full refund or free replacement).</t>
  </si>
  <si>
    <t xml:space="preserve">Default placement fee for the reserve</t>
  </si>
  <si>
    <t xml:space="preserve">Example default 12,000. A typical net fee, used only to show the reserve per placement below.</t>
  </si>
  <si>
    <t xml:space="preserve">Loaded recruiter cost per year (each)</t>
  </si>
  <si>
    <t xml:space="preserve">formula: average salary × (1 + benefits and payroll taxes %)</t>
  </si>
  <si>
    <t xml:space="preserve">Total desk cost per year</t>
  </si>
  <si>
    <t xml:space="preserve">formula: recruiters × loaded cost + tools and job boards + office and other overhead</t>
  </si>
  <si>
    <t xml:space="preserve">Desk cost per recruiter (annual)</t>
  </si>
  <si>
    <t xml:space="preserve">formula: total desk cost ÷ number of recruiters</t>
  </si>
  <si>
    <t xml:space="preserve">Recruiter cost per hour</t>
  </si>
  <si>
    <t xml:space="preserve">formula: desk cost per recruiter ÷ working hours per recruiter per year</t>
  </si>
  <si>
    <t xml:space="preserve">Reserve % of fee</t>
  </si>
  <si>
    <t xml:space="preserve">formula: expected fall-off % × rebate % ÷ 100; the share of each net fee to hold back until the guarantee ends</t>
  </si>
  <si>
    <t xml:space="preserve">Reserve per placement at the default fee</t>
  </si>
  <si>
    <t xml:space="preserve">formula: default placement fee × reserve % of fee</t>
  </si>
  <si>
    <t xml:space="preserve">Perm Placements</t>
  </si>
  <si>
    <t xml:space="preserve">One row per permanent placement. Fee % defaults from Settings; type your own in 'or type your own fee %' to override it. Delivery cost uses the recruiter cost per hour from Settings.</t>
  </si>
  <si>
    <t xml:space="preserve">Date</t>
  </si>
  <si>
    <t xml:space="preserve">Client</t>
  </si>
  <si>
    <t xml:space="preserve">Role</t>
  </si>
  <si>
    <t xml:space="preserve">Annual salary</t>
  </si>
  <si>
    <t xml:space="preserve">Default fee % (Settings)</t>
  </si>
  <si>
    <t xml:space="preserve">or type your own fee %</t>
  </si>
  <si>
    <t xml:space="preserve">Fee % used</t>
  </si>
  <si>
    <t xml:space="preserve">Split %</t>
  </si>
  <si>
    <t xml:space="preserve">Recruiter hours</t>
  </si>
  <si>
    <t xml:space="preserve">Advertising cost</t>
  </si>
  <si>
    <t xml:space="preserve">Invoiced</t>
  </si>
  <si>
    <t xml:space="preserve">Collected</t>
  </si>
  <si>
    <t xml:space="preserve">Gross fee</t>
  </si>
  <si>
    <t xml:space="preserve">Split fee</t>
  </si>
  <si>
    <t xml:space="preserve">Net fee</t>
  </si>
  <si>
    <t xml:space="preserve">Delivery cost</t>
  </si>
  <si>
    <t xml:space="preserve">Margin on placement</t>
  </si>
  <si>
    <t xml:space="preserve">Margin %</t>
  </si>
  <si>
    <t xml:space="preserve">Net fee per recruiter hour</t>
  </si>
  <si>
    <t xml:space="preserve">Expected rebate reserve</t>
  </si>
  <si>
    <t xml:space="preserve">Net fee after reserve</t>
  </si>
  <si>
    <t xml:space="preserve">Northwind Logistics</t>
  </si>
  <si>
    <t xml:space="preserve">Warehouse manager</t>
  </si>
  <si>
    <t xml:space="preserve">yes</t>
  </si>
  <si>
    <t xml:space="preserve">Brightline Dental</t>
  </si>
  <si>
    <t xml:space="preserve">Practice manager</t>
  </si>
  <si>
    <t xml:space="preserve">Acme Engineering</t>
  </si>
  <si>
    <t xml:space="preserve">Senior mechanical engineer</t>
  </si>
  <si>
    <t xml:space="preserve">Harbor Foods</t>
  </si>
  <si>
    <t xml:space="preserve">Finance assistant</t>
  </si>
  <si>
    <t xml:space="preserve">Delta Software</t>
  </si>
  <si>
    <t xml:space="preserve">Product designer</t>
  </si>
  <si>
    <t xml:space="preserve">Okafor &amp; Co</t>
  </si>
  <si>
    <t xml:space="preserve">Office administrator</t>
  </si>
  <si>
    <t xml:space="preserve">Transport planner</t>
  </si>
  <si>
    <t xml:space="preserve">Garcia Retail</t>
  </si>
  <si>
    <t xml:space="preserve">Store manager</t>
  </si>
  <si>
    <t xml:space="preserve">no</t>
  </si>
  <si>
    <t xml:space="preserve">Total</t>
  </si>
  <si>
    <t xml:space="preserve">Temp Assignments</t>
  </si>
  <si>
    <t xml:space="preserve">One row per temp or contractor assignment. On-costs % and markup % default from Settings; type your own to override them. Leave 'Bill rate override' empty to bill at pay rate × (1 + markup %).</t>
  </si>
  <si>
    <t xml:space="preserve">Worker</t>
  </si>
  <si>
    <t xml:space="preserve">Pay rate</t>
  </si>
  <si>
    <t xml:space="preserve">Default on-costs % (Settings)</t>
  </si>
  <si>
    <t xml:space="preserve">or type your own on-costs %</t>
  </si>
  <si>
    <t xml:space="preserve">On-costs % used</t>
  </si>
  <si>
    <t xml:space="preserve">Default markup % (Settings)</t>
  </si>
  <si>
    <t xml:space="preserve">or type your own markup %</t>
  </si>
  <si>
    <t xml:space="preserve">Markup % used</t>
  </si>
  <si>
    <t xml:space="preserve">Bill rate override</t>
  </si>
  <si>
    <t xml:space="preserve">Hours per week</t>
  </si>
  <si>
    <t xml:space="preserve">Weeks</t>
  </si>
  <si>
    <t xml:space="preserve">Bill rate used</t>
  </si>
  <si>
    <t xml:space="preserve">Loaded cost per hour</t>
  </si>
  <si>
    <t xml:space="preserve">Gross margin per hour</t>
  </si>
  <si>
    <t xml:space="preserve">Gross margin %</t>
  </si>
  <si>
    <t xml:space="preserve">Bill per week</t>
  </si>
  <si>
    <t xml:space="preserve">Margin per week</t>
  </si>
  <si>
    <t xml:space="preserve">Margin for assignment</t>
  </si>
  <si>
    <t xml:space="preserve">Revenue for assignment</t>
  </si>
  <si>
    <t xml:space="preserve">Warehouse operative A</t>
  </si>
  <si>
    <t xml:space="preserve">Forklift driver B</t>
  </si>
  <si>
    <t xml:space="preserve">Dental receptionist C</t>
  </si>
  <si>
    <t xml:space="preserve">CAD technician D</t>
  </si>
  <si>
    <t xml:space="preserve">Production line E</t>
  </si>
  <si>
    <t xml:space="preserve">QA contractor F</t>
  </si>
  <si>
    <t xml:space="preserve">Seasonal sales G</t>
  </si>
  <si>
    <t xml:space="preserve">Payroll clerk H</t>
  </si>
  <si>
    <t xml:space="preserve">Desk Performance</t>
  </si>
  <si>
    <t xml:space="preserve">One row per month, filled top down, with the first day of the month in column A. Perm placements and net perm fees are counted from Perm Placements by date; type your own to override them. Temp margin is typed in because assignments have no dates.</t>
  </si>
  <si>
    <t xml:space="preserve">Month</t>
  </si>
  <si>
    <t xml:space="preserve">Perm placements (from Perm Placements)</t>
  </si>
  <si>
    <t xml:space="preserve">or type your own placements</t>
  </si>
  <si>
    <t xml:space="preserve">Perm placements used</t>
  </si>
  <si>
    <t xml:space="preserve">Net perm fees (from Perm Placements)</t>
  </si>
  <si>
    <t xml:space="preserve">or type your own net fees</t>
  </si>
  <si>
    <t xml:space="preserve">Net perm fees used</t>
  </si>
  <si>
    <t xml:space="preserve">Temp margin earned</t>
  </si>
  <si>
    <t xml:space="preserve">Job orders received</t>
  </si>
  <si>
    <t xml:space="preserve">Job orders filled</t>
  </si>
  <si>
    <t xml:space="preserve">Candidates submitted</t>
  </si>
  <si>
    <t xml:space="preserve">Interviews</t>
  </si>
  <si>
    <t xml:space="preserve">Total days to fill</t>
  </si>
  <si>
    <t xml:space="preserve">Total gross margin</t>
  </si>
  <si>
    <t xml:space="preserve">Desk cost for the month</t>
  </si>
  <si>
    <t xml:space="preserve">Desk profit</t>
  </si>
  <si>
    <t xml:space="preserve">Fill rate %</t>
  </si>
  <si>
    <t xml:space="preserve">Average days to fill</t>
  </si>
  <si>
    <t xml:space="preserve">Submittals per fill</t>
  </si>
  <si>
    <t xml:space="preserve">Interview to fill %</t>
  </si>
  <si>
    <t xml:space="preserve">Margin per recruiter</t>
  </si>
  <si>
    <t xml:space="preserve">Rebate Reserve</t>
  </si>
  <si>
    <t xml:space="preserve">One row per placement under guarantee. Guarantee days, fall-off % and rebate % default from Settings; type your own to override them. Set the outcome when the guarantee ends or the candidate leaves.</t>
  </si>
  <si>
    <t xml:space="preserve">Placement</t>
  </si>
  <si>
    <t xml:space="preserve">Start date</t>
  </si>
  <si>
    <t xml:space="preserve">Default guarantee days (Settings)</t>
  </si>
  <si>
    <t xml:space="preserve">or type your own days</t>
  </si>
  <si>
    <t xml:space="preserve">Guarantee days used</t>
  </si>
  <si>
    <t xml:space="preserve">Default fall-off % (Settings)</t>
  </si>
  <si>
    <t xml:space="preserve">or type your own fall-off %</t>
  </si>
  <si>
    <t xml:space="preserve">Fall-off % used</t>
  </si>
  <si>
    <t xml:space="preserve">Default rebate % (Settings)</t>
  </si>
  <si>
    <t xml:space="preserve">or type your own rebate %</t>
  </si>
  <si>
    <t xml:space="preserve">Rebate % used</t>
  </si>
  <si>
    <t xml:space="preserve">Actual outcome</t>
  </si>
  <si>
    <t xml:space="preserve">Guarantee end date</t>
  </si>
  <si>
    <t xml:space="preserve">Expected reserve</t>
  </si>
  <si>
    <t xml:space="preserve">Reserve released</t>
  </si>
  <si>
    <t xml:space="preserve">Rebate paid</t>
  </si>
  <si>
    <t xml:space="preserve">Reserve still held</t>
  </si>
  <si>
    <t xml:space="preserve">Northwind Logistics: Warehouse manager</t>
  </si>
  <si>
    <t xml:space="preserve">retained</t>
  </si>
  <si>
    <t xml:space="preserve">Brightline Dental: Practice manager</t>
  </si>
  <si>
    <t xml:space="preserve">Acme Engineering: Senior mechanical engineer</t>
  </si>
  <si>
    <t xml:space="preserve">fell off</t>
  </si>
  <si>
    <t xml:space="preserve">Delta Software: Product designer</t>
  </si>
  <si>
    <t xml:space="preserve">Northwind Logistics: Transport planner</t>
  </si>
  <si>
    <t xml:space="preserve">in guarantee</t>
  </si>
  <si>
    <t xml:space="preserve">Garcia Retail: Store manager</t>
  </si>
  <si>
    <t xml:space="preserve">Summary</t>
  </si>
  <si>
    <t xml:space="preserve">Recruiters</t>
  </si>
  <si>
    <t xml:space="preserve">from Settings</t>
  </si>
  <si>
    <t xml:space="preserve">from Settings: loaded salary + equal share of tools and overhead</t>
  </si>
  <si>
    <t xml:space="preserve">from Settings: desk cost per recruiter ÷ working hours</t>
  </si>
  <si>
    <t xml:space="preserve">Year-to-date perm net fees</t>
  </si>
  <si>
    <t xml:space="preserve">Desk Performance totals</t>
  </si>
  <si>
    <t xml:space="preserve">Year-to-date temp margin</t>
  </si>
  <si>
    <t xml:space="preserve">Year-to-date total gross margin</t>
  </si>
  <si>
    <t xml:space="preserve">perm net fees + temp margin</t>
  </si>
  <si>
    <t xml:space="preserve">Year-to-date desk cost</t>
  </si>
  <si>
    <t xml:space="preserve">total desk cost ÷ 12 for each month entered</t>
  </si>
  <si>
    <t xml:space="preserve">Year-to-date desk profit</t>
  </si>
  <si>
    <t xml:space="preserve">gross margin − desk cost</t>
  </si>
  <si>
    <t xml:space="preserve">Average net fee per perm placement</t>
  </si>
  <si>
    <t xml:space="preserve">simple average of net fees on Perm Placements</t>
  </si>
  <si>
    <t xml:space="preserve">Break-even placements per recruiter (a year)</t>
  </si>
  <si>
    <t xml:space="preserve">desk cost per recruiter ÷ average net fee; perm only, before any temp margin</t>
  </si>
  <si>
    <t xml:space="preserve">Margin % threshold (your own)</t>
  </si>
  <si>
    <t xml:space="preserve">Default 70. Your own placeholder threshold for flagging thin perm placements, not a recommendation or an industry benchmark.</t>
  </si>
  <si>
    <t xml:space="preserve">Perm placements below the margin % threshold</t>
  </si>
  <si>
    <t xml:space="preserve">margin % on Perm Placements below the threshold above</t>
  </si>
  <si>
    <t xml:space="preserve">Thinnest temp assignment</t>
  </si>
  <si>
    <t xml:space="preserve">worker with the lowest gross margin % on Temp Assignments</t>
  </si>
  <si>
    <t xml:space="preserve">Its gross margin %</t>
  </si>
  <si>
    <t xml:space="preserve">lowest gross margin % on Temp Assignments</t>
  </si>
  <si>
    <t xml:space="preserve">Year-to-date fill rate %</t>
  </si>
  <si>
    <t xml:space="preserve">job orders filled ÷ received, from the Desk Performance totals</t>
  </si>
  <si>
    <t xml:space="preserve">Year-to-date average days to fill</t>
  </si>
  <si>
    <t xml:space="preserve">total days to fill ÷ job orders filled</t>
  </si>
  <si>
    <t xml:space="preserve">Rebate Reserve: placements still in guarantee</t>
  </si>
  <si>
    <t xml:space="preserve">Rebates paid</t>
  </si>
  <si>
    <t xml:space="preserve">Rebate Reserve: fall-offs</t>
  </si>
  <si>
    <t xml:space="preserve">Rebate Reserve: placements retained past the guarantee</t>
  </si>
</sst>
</file>

<file path=xl/styles.xml><?xml version="1.0" encoding="utf-8"?>
<styleSheet xmlns="http://schemas.openxmlformats.org/spreadsheetml/2006/main">
  <numFmts count="10">
    <numFmt numFmtId="164" formatCode="General"/>
    <numFmt numFmtId="165" formatCode="0"/>
    <numFmt numFmtId="166" formatCode="#,##0.00;\(#,##0.00\);\-"/>
    <numFmt numFmtId="167" formatCode="0.00\%"/>
    <numFmt numFmtId="168" formatCode="yyyy\-mm\-dd"/>
    <numFmt numFmtId="169" formatCode="0.0"/>
    <numFmt numFmtId="170" formatCode="0&quot; placements&quot;"/>
    <numFmt numFmtId="171" formatCode="0&quot; assignments&quot;"/>
    <numFmt numFmtId="172" formatCode="mmm\ yyyy"/>
    <numFmt numFmtId="173" formatCode="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666666"/>
      <name val="Arial"/>
      <family val="0"/>
      <charset val="1"/>
    </font>
    <font>
      <sz val="11"/>
      <name val="Arial"/>
      <family val="0"/>
      <charset val="1"/>
    </font>
    <font>
      <b val="true"/>
      <sz val="11"/>
      <name val="Arial"/>
      <family val="0"/>
      <charset val="1"/>
    </font>
    <font>
      <sz val="11"/>
      <color rgb="FF0000FF"/>
      <name val="Arial"/>
      <family val="0"/>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E7E6E6"/>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0" xfId="0" applyFont="tru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general" vertical="bottom"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7" fontId="8" fillId="2"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center" vertical="center" textRotation="0" wrapText="true" indent="0" shrinkToFit="false"/>
      <protection locked="true" hidden="false"/>
    </xf>
    <xf numFmtId="168"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9" fontId="8" fillId="2" borderId="0" xfId="0" applyFont="true" applyBorder="false" applyAlignment="true" applyProtection="true">
      <alignment horizontal="general" vertical="bottom" textRotation="0" wrapText="false" indent="0" shrinkToFit="false"/>
      <protection locked="true" hidden="false"/>
    </xf>
    <xf numFmtId="169" fontId="8" fillId="0" borderId="0" xfId="0" applyFont="true" applyBorder="false" applyAlignment="true" applyProtection="true">
      <alignment horizontal="general" vertical="bottom" textRotation="0" wrapText="false" indent="0" shrinkToFit="false"/>
      <protection locked="true" hidden="false"/>
    </xf>
    <xf numFmtId="170" fontId="7"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71" fontId="7" fillId="0" borderId="0" xfId="0" applyFont="true" applyBorder="false" applyAlignment="true" applyProtection="true">
      <alignment horizontal="general" vertical="bottom" textRotation="0" wrapText="false" indent="0" shrinkToFit="false"/>
      <protection locked="true" hidden="false"/>
    </xf>
    <xf numFmtId="172" fontId="8"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73" fontId="6"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73" fontId="7" fillId="0" borderId="0" xfId="0" applyFont="true" applyBorder="false" applyAlignment="true" applyProtection="true">
      <alignment horizontal="general" vertical="bottom" textRotation="0" wrapText="false" indent="0" shrinkToFit="false"/>
      <protection locked="true" hidden="false"/>
    </xf>
    <xf numFmtId="168"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0"/>
  </cols>
  <sheetData>
    <row r="1" customFormat="false" ht="17.35"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row>
    <row r="4" customFormat="false" ht="15" hidden="false" customHeight="false" outlineLevel="0" collapsed="false">
      <c r="A4" s="5"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row>
    <row r="12" customFormat="false" ht="15" hidden="false" customHeight="false" outlineLevel="0" collapsed="false">
      <c r="A12" s="5" t="s">
        <v>9</v>
      </c>
    </row>
    <row r="13" customFormat="false" ht="15" hidden="false" customHeight="false" outlineLevel="0" collapsed="false">
      <c r="A13" s="4" t="s">
        <v>10</v>
      </c>
    </row>
    <row r="14" customFormat="false" ht="15" hidden="false" customHeight="false" outlineLevel="0" collapsed="false">
      <c r="A14" s="4"/>
    </row>
    <row r="15" customFormat="false" ht="15" hidden="false" customHeight="false" outlineLevel="0" collapsed="false">
      <c r="A15" s="5" t="s">
        <v>11</v>
      </c>
    </row>
    <row r="16" customFormat="false" ht="15" hidden="false" customHeight="false" outlineLevel="0" collapsed="false">
      <c r="A16" s="4" t="s">
        <v>12</v>
      </c>
    </row>
    <row r="17" customFormat="false" ht="15" hidden="false" customHeight="false" outlineLevel="0" collapsed="false">
      <c r="A17" s="4" t="s">
        <v>13</v>
      </c>
    </row>
    <row r="18" customFormat="false" ht="15" hidden="false" customHeight="false" outlineLevel="0" collapsed="false">
      <c r="A18" s="4" t="s">
        <v>14</v>
      </c>
    </row>
    <row r="19" customFormat="false" ht="15" hidden="false" customHeight="false" outlineLevel="0" collapsed="false">
      <c r="A19" s="4" t="s">
        <v>15</v>
      </c>
    </row>
    <row r="20" customFormat="false" ht="15" hidden="false" customHeight="false" outlineLevel="0" collapsed="false">
      <c r="A20" s="4" t="s">
        <v>16</v>
      </c>
    </row>
    <row r="21" customFormat="false" ht="15" hidden="false" customHeight="false" outlineLevel="0" collapsed="false">
      <c r="A21" s="4" t="s">
        <v>17</v>
      </c>
    </row>
    <row r="22" customFormat="false" ht="15" hidden="false" customHeight="false" outlineLevel="0" collapsed="false">
      <c r="A22" s="4" t="s">
        <v>18</v>
      </c>
    </row>
    <row r="23" customFormat="false" ht="15" hidden="false" customHeight="false" outlineLevel="0" collapsed="false">
      <c r="A23" s="4" t="s">
        <v>19</v>
      </c>
    </row>
    <row r="24" customFormat="false" ht="15" hidden="false" customHeight="false" outlineLevel="0" collapsed="false">
      <c r="A24" s="4" t="s">
        <v>20</v>
      </c>
    </row>
    <row r="25" customFormat="false" ht="15" hidden="false" customHeight="false" outlineLevel="0" collapsed="false">
      <c r="A25" s="4" t="s">
        <v>21</v>
      </c>
    </row>
    <row r="26" customFormat="false" ht="15" hidden="false" customHeight="false" outlineLevel="0" collapsed="false">
      <c r="A26" s="4"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90"/>
  </cols>
  <sheetData>
    <row r="1" customFormat="false" ht="17.35" hidden="false" customHeight="false" outlineLevel="0" collapsed="false">
      <c r="A1" s="2" t="s">
        <v>23</v>
      </c>
    </row>
    <row r="2" customFormat="false" ht="15" hidden="false" customHeight="false" outlineLevel="0" collapsed="false">
      <c r="A2" s="4" t="s">
        <v>24</v>
      </c>
      <c r="B2" s="6" t="n">
        <v>4</v>
      </c>
      <c r="C2" s="3" t="s">
        <v>25</v>
      </c>
    </row>
    <row r="3" customFormat="false" ht="15" hidden="false" customHeight="false" outlineLevel="0" collapsed="false">
      <c r="A3" s="4" t="s">
        <v>26</v>
      </c>
      <c r="B3" s="7" t="n">
        <v>55000</v>
      </c>
      <c r="C3" s="3" t="s">
        <v>27</v>
      </c>
    </row>
    <row r="4" customFormat="false" ht="15" hidden="false" customHeight="false" outlineLevel="0" collapsed="false">
      <c r="A4" s="4" t="s">
        <v>28</v>
      </c>
      <c r="B4" s="8" t="n">
        <v>20</v>
      </c>
      <c r="C4" s="3" t="s">
        <v>29</v>
      </c>
    </row>
    <row r="5" customFormat="false" ht="15" hidden="false" customHeight="false" outlineLevel="0" collapsed="false">
      <c r="A5" s="4" t="s">
        <v>30</v>
      </c>
      <c r="B5" s="7" t="n">
        <v>36000</v>
      </c>
      <c r="C5" s="3" t="s">
        <v>31</v>
      </c>
    </row>
    <row r="6" customFormat="false" ht="15" hidden="false" customHeight="false" outlineLevel="0" collapsed="false">
      <c r="A6" s="4" t="s">
        <v>32</v>
      </c>
      <c r="B6" s="7" t="n">
        <v>72000</v>
      </c>
      <c r="C6" s="3" t="s">
        <v>33</v>
      </c>
    </row>
    <row r="7" customFormat="false" ht="15" hidden="false" customHeight="false" outlineLevel="0" collapsed="false">
      <c r="A7" s="4" t="s">
        <v>34</v>
      </c>
      <c r="B7" s="6" t="n">
        <v>1800</v>
      </c>
      <c r="C7" s="3" t="s">
        <v>35</v>
      </c>
    </row>
    <row r="8" customFormat="false" ht="15" hidden="false" customHeight="false" outlineLevel="0" collapsed="false">
      <c r="A8" s="4" t="s">
        <v>36</v>
      </c>
      <c r="B8" s="9" t="n">
        <v>20</v>
      </c>
      <c r="C8" s="3" t="s">
        <v>37</v>
      </c>
    </row>
    <row r="9" customFormat="false" ht="15" hidden="false" customHeight="false" outlineLevel="0" collapsed="false">
      <c r="A9" s="4" t="s">
        <v>38</v>
      </c>
      <c r="B9" s="8" t="n">
        <v>18</v>
      </c>
      <c r="C9" s="3" t="s">
        <v>39</v>
      </c>
    </row>
    <row r="10" customFormat="false" ht="15" hidden="false" customHeight="false" outlineLevel="0" collapsed="false">
      <c r="A10" s="4" t="s">
        <v>40</v>
      </c>
      <c r="B10" s="9" t="n">
        <v>55</v>
      </c>
      <c r="C10" s="3" t="s">
        <v>41</v>
      </c>
    </row>
    <row r="11" customFormat="false" ht="15" hidden="false" customHeight="false" outlineLevel="0" collapsed="false">
      <c r="A11" s="4" t="s">
        <v>42</v>
      </c>
      <c r="B11" s="10" t="n">
        <v>90</v>
      </c>
      <c r="C11" s="3" t="s">
        <v>43</v>
      </c>
    </row>
    <row r="12" customFormat="false" ht="15" hidden="false" customHeight="false" outlineLevel="0" collapsed="false">
      <c r="A12" s="4" t="s">
        <v>44</v>
      </c>
      <c r="B12" s="9" t="n">
        <v>8</v>
      </c>
      <c r="C12" s="3" t="s">
        <v>45</v>
      </c>
    </row>
    <row r="13" customFormat="false" ht="15" hidden="false" customHeight="false" outlineLevel="0" collapsed="false">
      <c r="A13" s="4" t="s">
        <v>46</v>
      </c>
      <c r="B13" s="8" t="n">
        <v>100</v>
      </c>
      <c r="C13" s="3" t="s">
        <v>47</v>
      </c>
    </row>
    <row r="14" customFormat="false" ht="15" hidden="false" customHeight="false" outlineLevel="0" collapsed="false">
      <c r="A14" s="4" t="s">
        <v>48</v>
      </c>
      <c r="B14" s="11" t="n">
        <v>12000</v>
      </c>
      <c r="C14" s="3" t="s">
        <v>49</v>
      </c>
    </row>
    <row r="15" customFormat="false" ht="15" hidden="false" customHeight="false" outlineLevel="0" collapsed="false">
      <c r="A15" s="4" t="s">
        <v>50</v>
      </c>
      <c r="B15" s="12" t="n">
        <f aca="false">ROUND(B3*(1+B4/100),2)</f>
        <v>66000</v>
      </c>
      <c r="C15" s="3" t="s">
        <v>51</v>
      </c>
    </row>
    <row r="16" customFormat="false" ht="15" hidden="false" customHeight="false" outlineLevel="0" collapsed="false">
      <c r="A16" s="5" t="s">
        <v>52</v>
      </c>
      <c r="B16" s="13" t="n">
        <f aca="false">ROUND(B2*B15+B5+B6,2)</f>
        <v>372000</v>
      </c>
      <c r="C16" s="3" t="s">
        <v>53</v>
      </c>
    </row>
    <row r="17" customFormat="false" ht="15" hidden="false" customHeight="false" outlineLevel="0" collapsed="false">
      <c r="A17" s="5" t="s">
        <v>54</v>
      </c>
      <c r="B17" s="13" t="n">
        <f aca="false">IFERROR(ROUND(B16/B2,2),0)</f>
        <v>93000</v>
      </c>
      <c r="C17" s="3" t="s">
        <v>55</v>
      </c>
    </row>
    <row r="18" customFormat="false" ht="15" hidden="false" customHeight="false" outlineLevel="0" collapsed="false">
      <c r="A18" s="5" t="s">
        <v>56</v>
      </c>
      <c r="B18" s="13" t="n">
        <f aca="false">IFERROR(ROUND(B17/B7,2),0)</f>
        <v>51.67</v>
      </c>
      <c r="C18" s="3" t="s">
        <v>57</v>
      </c>
    </row>
    <row r="19" customFormat="false" ht="15" hidden="false" customHeight="false" outlineLevel="0" collapsed="false">
      <c r="A19" s="5" t="s">
        <v>58</v>
      </c>
      <c r="B19" s="14" t="n">
        <f aca="false">ROUND(B12*B13/100,2)</f>
        <v>8</v>
      </c>
      <c r="C19" s="3" t="s">
        <v>59</v>
      </c>
    </row>
    <row r="20" customFormat="false" ht="15" hidden="false" customHeight="false" outlineLevel="0" collapsed="false">
      <c r="A20" s="4" t="s">
        <v>60</v>
      </c>
      <c r="B20" s="12" t="n">
        <f aca="false">ROUND(B14*B19/100,2)</f>
        <v>960</v>
      </c>
      <c r="C20" s="3"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20"/>
    <col collapsed="false" customWidth="true" hidden="false" outlineLevel="0" max="3" min="3" style="1" width="24"/>
    <col collapsed="false" customWidth="true" hidden="false" outlineLevel="0" max="4" min="4" style="1" width="13"/>
    <col collapsed="false" customWidth="true" hidden="false" outlineLevel="0" max="6" min="5" style="1" width="11"/>
    <col collapsed="false" customWidth="true" hidden="false" outlineLevel="0" max="7" min="7" style="1" width="10"/>
    <col collapsed="false" customWidth="true" hidden="false" outlineLevel="0" max="8" min="8" style="1" width="9"/>
    <col collapsed="false" customWidth="true" hidden="false" outlineLevel="0" max="9" min="9" style="1" width="10"/>
    <col collapsed="false" customWidth="true" hidden="false" outlineLevel="0" max="10" min="10" style="1" width="12"/>
    <col collapsed="false" customWidth="true" hidden="false" outlineLevel="0" max="11" min="11" style="1" width="9"/>
    <col collapsed="false" customWidth="true" hidden="false" outlineLevel="0" max="16" min="12" style="1" width="12"/>
    <col collapsed="false" customWidth="true" hidden="false" outlineLevel="0" max="17" min="17" style="1" width="13"/>
    <col collapsed="false" customWidth="true" hidden="false" outlineLevel="0" max="18" min="18" style="1" width="10"/>
    <col collapsed="false" customWidth="true" hidden="false" outlineLevel="0" max="20" min="19" style="1" width="12"/>
    <col collapsed="false" customWidth="true" hidden="false" outlineLevel="0" max="21" min="21" style="1" width="13"/>
  </cols>
  <sheetData>
    <row r="1" customFormat="false" ht="17.35" hidden="false" customHeight="false" outlineLevel="0" collapsed="false">
      <c r="A1" s="2" t="s">
        <v>62</v>
      </c>
    </row>
    <row r="2" customFormat="false" ht="15" hidden="false" customHeight="false" outlineLevel="0" collapsed="false">
      <c r="A2" s="3" t="s">
        <v>63</v>
      </c>
    </row>
    <row r="4" customFormat="false" ht="39.55" hidden="false" customHeight="false" outlineLevel="0" collapsed="false">
      <c r="A4" s="15" t="s">
        <v>64</v>
      </c>
      <c r="B4" s="15" t="s">
        <v>65</v>
      </c>
      <c r="C4" s="15" t="s">
        <v>66</v>
      </c>
      <c r="D4" s="15" t="s">
        <v>67</v>
      </c>
      <c r="E4" s="15" t="s">
        <v>68</v>
      </c>
      <c r="F4" s="15" t="s">
        <v>69</v>
      </c>
      <c r="G4" s="15" t="s">
        <v>70</v>
      </c>
      <c r="H4" s="15" t="s">
        <v>71</v>
      </c>
      <c r="I4" s="15" t="s">
        <v>72</v>
      </c>
      <c r="J4" s="15" t="s">
        <v>73</v>
      </c>
      <c r="K4" s="15" t="s">
        <v>74</v>
      </c>
      <c r="L4" s="15" t="s">
        <v>75</v>
      </c>
      <c r="M4" s="15" t="s">
        <v>76</v>
      </c>
      <c r="N4" s="15" t="s">
        <v>77</v>
      </c>
      <c r="O4" s="15" t="s">
        <v>78</v>
      </c>
      <c r="P4" s="15" t="s">
        <v>79</v>
      </c>
      <c r="Q4" s="15" t="s">
        <v>80</v>
      </c>
      <c r="R4" s="15" t="s">
        <v>81</v>
      </c>
      <c r="S4" s="15" t="s">
        <v>82</v>
      </c>
      <c r="T4" s="15" t="s">
        <v>83</v>
      </c>
      <c r="U4" s="15" t="s">
        <v>84</v>
      </c>
    </row>
    <row r="5" customFormat="false" ht="15" hidden="false" customHeight="false" outlineLevel="0" collapsed="false">
      <c r="A5" s="16" t="n">
        <v>46034</v>
      </c>
      <c r="B5" s="17" t="s">
        <v>85</v>
      </c>
      <c r="C5" s="17" t="s">
        <v>86</v>
      </c>
      <c r="D5" s="7" t="n">
        <v>65000</v>
      </c>
      <c r="E5" s="18" t="n">
        <f aca="false">IF(B5="","",Settings!$B$8)</f>
        <v>20</v>
      </c>
      <c r="F5" s="8"/>
      <c r="G5" s="18" t="n">
        <f aca="false">IF(B5="","",IF(F5&lt;&gt;"",F5,E5))</f>
        <v>20</v>
      </c>
      <c r="H5" s="8" t="n">
        <v>25</v>
      </c>
      <c r="I5" s="19" t="n">
        <v>40</v>
      </c>
      <c r="J5" s="11" t="n">
        <v>400</v>
      </c>
      <c r="K5" s="17" t="s">
        <v>87</v>
      </c>
      <c r="L5" s="11" t="n">
        <v>13000</v>
      </c>
      <c r="M5" s="12" t="n">
        <f aca="false">IF(B5="","",ROUND(D5*G5/100,2))</f>
        <v>13000</v>
      </c>
      <c r="N5" s="12" t="n">
        <f aca="false">IF(B5="","",ROUND(M5*H5/100,2))</f>
        <v>3250</v>
      </c>
      <c r="O5" s="12" t="n">
        <f aca="false">IF(B5="","",M5-N5)</f>
        <v>9750</v>
      </c>
      <c r="P5" s="12" t="n">
        <f aca="false">IF(B5="","",ROUND(I5*Settings!$B$18+J5,2))</f>
        <v>2466.8</v>
      </c>
      <c r="Q5" s="12" t="n">
        <f aca="false">IF(B5="","",ROUND(O5-P5,2))</f>
        <v>7283.2</v>
      </c>
      <c r="R5" s="18" t="n">
        <f aca="false">IF(B5="","",IFERROR(ROUND(Q5/O5*100,2),0))</f>
        <v>74.7</v>
      </c>
      <c r="S5" s="12" t="n">
        <f aca="false">IF(B5="","",IFERROR(ROUND(O5/I5,2),0))</f>
        <v>243.75</v>
      </c>
      <c r="T5" s="12" t="n">
        <f aca="false">IF(B5="","",ROUND(O5*Settings!$B$19/100,2))</f>
        <v>780</v>
      </c>
      <c r="U5" s="12" t="n">
        <f aca="false">IF(B5="","",ROUND(O5-T5,2))</f>
        <v>8970</v>
      </c>
    </row>
    <row r="6" customFormat="false" ht="15" hidden="false" customHeight="false" outlineLevel="0" collapsed="false">
      <c r="A6" s="16" t="n">
        <v>46048</v>
      </c>
      <c r="B6" s="17" t="s">
        <v>88</v>
      </c>
      <c r="C6" s="17" t="s">
        <v>89</v>
      </c>
      <c r="D6" s="7" t="n">
        <v>48000</v>
      </c>
      <c r="E6" s="18" t="n">
        <f aca="false">IF(B6="","",Settings!$B$8)</f>
        <v>20</v>
      </c>
      <c r="F6" s="8"/>
      <c r="G6" s="18" t="n">
        <f aca="false">IF(B6="","",IF(F6&lt;&gt;"",F6,E6))</f>
        <v>20</v>
      </c>
      <c r="H6" s="8" t="n">
        <v>0</v>
      </c>
      <c r="I6" s="19" t="n">
        <v>35</v>
      </c>
      <c r="J6" s="11" t="n">
        <v>250</v>
      </c>
      <c r="K6" s="17" t="s">
        <v>87</v>
      </c>
      <c r="L6" s="11" t="n">
        <v>9600</v>
      </c>
      <c r="M6" s="12" t="n">
        <f aca="false">IF(B6="","",ROUND(D6*G6/100,2))</f>
        <v>9600</v>
      </c>
      <c r="N6" s="12" t="n">
        <f aca="false">IF(B6="","",ROUND(M6*H6/100,2))</f>
        <v>0</v>
      </c>
      <c r="O6" s="12" t="n">
        <f aca="false">IF(B6="","",M6-N6)</f>
        <v>9600</v>
      </c>
      <c r="P6" s="12" t="n">
        <f aca="false">IF(B6="","",ROUND(I6*Settings!$B$18+J6,2))</f>
        <v>2058.45</v>
      </c>
      <c r="Q6" s="12" t="n">
        <f aca="false">IF(B6="","",ROUND(O6-P6,2))</f>
        <v>7541.55</v>
      </c>
      <c r="R6" s="18" t="n">
        <f aca="false">IF(B6="","",IFERROR(ROUND(Q6/O6*100,2),0))</f>
        <v>78.56</v>
      </c>
      <c r="S6" s="12" t="n">
        <f aca="false">IF(B6="","",IFERROR(ROUND(O6/I6,2),0))</f>
        <v>274.29</v>
      </c>
      <c r="T6" s="12" t="n">
        <f aca="false">IF(B6="","",ROUND(O6*Settings!$B$19/100,2))</f>
        <v>768</v>
      </c>
      <c r="U6" s="12" t="n">
        <f aca="false">IF(B6="","",ROUND(O6-T6,2))</f>
        <v>8832</v>
      </c>
    </row>
    <row r="7" customFormat="false" ht="15" hidden="false" customHeight="false" outlineLevel="0" collapsed="false">
      <c r="A7" s="16" t="n">
        <v>46062</v>
      </c>
      <c r="B7" s="17" t="s">
        <v>90</v>
      </c>
      <c r="C7" s="17" t="s">
        <v>91</v>
      </c>
      <c r="D7" s="7" t="n">
        <v>85000</v>
      </c>
      <c r="E7" s="18" t="n">
        <f aca="false">IF(B7="","",Settings!$B$8)</f>
        <v>20</v>
      </c>
      <c r="F7" s="8" t="n">
        <v>22</v>
      </c>
      <c r="G7" s="18" t="n">
        <f aca="false">IF(B7="","",IF(F7&lt;&gt;"",F7,E7))</f>
        <v>22</v>
      </c>
      <c r="H7" s="8" t="n">
        <v>0</v>
      </c>
      <c r="I7" s="19" t="n">
        <v>60</v>
      </c>
      <c r="J7" s="11" t="n">
        <v>1200</v>
      </c>
      <c r="K7" s="17" t="s">
        <v>87</v>
      </c>
      <c r="L7" s="11" t="n">
        <v>18700</v>
      </c>
      <c r="M7" s="12" t="n">
        <f aca="false">IF(B7="","",ROUND(D7*G7/100,2))</f>
        <v>18700</v>
      </c>
      <c r="N7" s="12" t="n">
        <f aca="false">IF(B7="","",ROUND(M7*H7/100,2))</f>
        <v>0</v>
      </c>
      <c r="O7" s="12" t="n">
        <f aca="false">IF(B7="","",M7-N7)</f>
        <v>18700</v>
      </c>
      <c r="P7" s="12" t="n">
        <f aca="false">IF(B7="","",ROUND(I7*Settings!$B$18+J7,2))</f>
        <v>4300.2</v>
      </c>
      <c r="Q7" s="12" t="n">
        <f aca="false">IF(B7="","",ROUND(O7-P7,2))</f>
        <v>14399.8</v>
      </c>
      <c r="R7" s="18" t="n">
        <f aca="false">IF(B7="","",IFERROR(ROUND(Q7/O7*100,2),0))</f>
        <v>77</v>
      </c>
      <c r="S7" s="12" t="n">
        <f aca="false">IF(B7="","",IFERROR(ROUND(O7/I7,2),0))</f>
        <v>311.67</v>
      </c>
      <c r="T7" s="12" t="n">
        <f aca="false">IF(B7="","",ROUND(O7*Settings!$B$19/100,2))</f>
        <v>1496</v>
      </c>
      <c r="U7" s="12" t="n">
        <f aca="false">IF(B7="","",ROUND(O7-T7,2))</f>
        <v>17204</v>
      </c>
    </row>
    <row r="8" customFormat="false" ht="15" hidden="false" customHeight="false" outlineLevel="0" collapsed="false">
      <c r="A8" s="16" t="n">
        <v>46084</v>
      </c>
      <c r="B8" s="17" t="s">
        <v>92</v>
      </c>
      <c r="C8" s="17" t="s">
        <v>93</v>
      </c>
      <c r="D8" s="7" t="n">
        <v>32000</v>
      </c>
      <c r="E8" s="18" t="n">
        <f aca="false">IF(B8="","",Settings!$B$8)</f>
        <v>20</v>
      </c>
      <c r="F8" s="8" t="n">
        <v>15</v>
      </c>
      <c r="G8" s="18" t="n">
        <f aca="false">IF(B8="","",IF(F8&lt;&gt;"",F8,E8))</f>
        <v>15</v>
      </c>
      <c r="H8" s="8" t="n">
        <v>0</v>
      </c>
      <c r="I8" s="19" t="n">
        <v>45</v>
      </c>
      <c r="J8" s="11" t="n">
        <v>300</v>
      </c>
      <c r="K8" s="17" t="s">
        <v>87</v>
      </c>
      <c r="L8" s="11" t="n">
        <v>4800</v>
      </c>
      <c r="M8" s="12" t="n">
        <f aca="false">IF(B8="","",ROUND(D8*G8/100,2))</f>
        <v>4800</v>
      </c>
      <c r="N8" s="12" t="n">
        <f aca="false">IF(B8="","",ROUND(M8*H8/100,2))</f>
        <v>0</v>
      </c>
      <c r="O8" s="12" t="n">
        <f aca="false">IF(B8="","",M8-N8)</f>
        <v>4800</v>
      </c>
      <c r="P8" s="12" t="n">
        <f aca="false">IF(B8="","",ROUND(I8*Settings!$B$18+J8,2))</f>
        <v>2625.15</v>
      </c>
      <c r="Q8" s="12" t="n">
        <f aca="false">IF(B8="","",ROUND(O8-P8,2))</f>
        <v>2174.85</v>
      </c>
      <c r="R8" s="18" t="n">
        <f aca="false">IF(B8="","",IFERROR(ROUND(Q8/O8*100,2),0))</f>
        <v>45.31</v>
      </c>
      <c r="S8" s="12" t="n">
        <f aca="false">IF(B8="","",IFERROR(ROUND(O8/I8,2),0))</f>
        <v>106.67</v>
      </c>
      <c r="T8" s="12" t="n">
        <f aca="false">IF(B8="","",ROUND(O8*Settings!$B$19/100,2))</f>
        <v>384</v>
      </c>
      <c r="U8" s="12" t="n">
        <f aca="false">IF(B8="","",ROUND(O8-T8,2))</f>
        <v>4416</v>
      </c>
    </row>
    <row r="9" customFormat="false" ht="15" hidden="false" customHeight="false" outlineLevel="0" collapsed="false">
      <c r="A9" s="16" t="n">
        <v>46119</v>
      </c>
      <c r="B9" s="17" t="s">
        <v>94</v>
      </c>
      <c r="C9" s="17" t="s">
        <v>95</v>
      </c>
      <c r="D9" s="7" t="n">
        <v>72000</v>
      </c>
      <c r="E9" s="18" t="n">
        <f aca="false">IF(B9="","",Settings!$B$8)</f>
        <v>20</v>
      </c>
      <c r="F9" s="8"/>
      <c r="G9" s="18" t="n">
        <f aca="false">IF(B9="","",IF(F9&lt;&gt;"",F9,E9))</f>
        <v>20</v>
      </c>
      <c r="H9" s="8" t="n">
        <v>50</v>
      </c>
      <c r="I9" s="19" t="n">
        <v>30</v>
      </c>
      <c r="J9" s="11" t="n">
        <v>0</v>
      </c>
      <c r="K9" s="17" t="s">
        <v>87</v>
      </c>
      <c r="L9" s="11" t="n">
        <v>14400</v>
      </c>
      <c r="M9" s="12" t="n">
        <f aca="false">IF(B9="","",ROUND(D9*G9/100,2))</f>
        <v>14400</v>
      </c>
      <c r="N9" s="12" t="n">
        <f aca="false">IF(B9="","",ROUND(M9*H9/100,2))</f>
        <v>7200</v>
      </c>
      <c r="O9" s="12" t="n">
        <f aca="false">IF(B9="","",M9-N9)</f>
        <v>7200</v>
      </c>
      <c r="P9" s="12" t="n">
        <f aca="false">IF(B9="","",ROUND(I9*Settings!$B$18+J9,2))</f>
        <v>1550.1</v>
      </c>
      <c r="Q9" s="12" t="n">
        <f aca="false">IF(B9="","",ROUND(O9-P9,2))</f>
        <v>5649.9</v>
      </c>
      <c r="R9" s="18" t="n">
        <f aca="false">IF(B9="","",IFERROR(ROUND(Q9/O9*100,2),0))</f>
        <v>78.47</v>
      </c>
      <c r="S9" s="12" t="n">
        <f aca="false">IF(B9="","",IFERROR(ROUND(O9/I9,2),0))</f>
        <v>240</v>
      </c>
      <c r="T9" s="12" t="n">
        <f aca="false">IF(B9="","",ROUND(O9*Settings!$B$19/100,2))</f>
        <v>576</v>
      </c>
      <c r="U9" s="12" t="n">
        <f aca="false">IF(B9="","",ROUND(O9-T9,2))</f>
        <v>6624</v>
      </c>
    </row>
    <row r="10" customFormat="false" ht="15" hidden="false" customHeight="false" outlineLevel="0" collapsed="false">
      <c r="A10" s="16" t="n">
        <v>46134</v>
      </c>
      <c r="B10" s="17" t="s">
        <v>96</v>
      </c>
      <c r="C10" s="17" t="s">
        <v>97</v>
      </c>
      <c r="D10" s="7" t="n">
        <v>28000</v>
      </c>
      <c r="E10" s="18" t="n">
        <f aca="false">IF(B10="","",Settings!$B$8)</f>
        <v>20</v>
      </c>
      <c r="F10" s="8"/>
      <c r="G10" s="18" t="n">
        <f aca="false">IF(B10="","",IF(F10&lt;&gt;"",F10,E10))</f>
        <v>20</v>
      </c>
      <c r="H10" s="8" t="n">
        <v>0</v>
      </c>
      <c r="I10" s="19" t="n">
        <v>50</v>
      </c>
      <c r="J10" s="11" t="n">
        <v>500</v>
      </c>
      <c r="K10" s="17" t="s">
        <v>87</v>
      </c>
      <c r="L10" s="11" t="n">
        <v>5600</v>
      </c>
      <c r="M10" s="12" t="n">
        <f aca="false">IF(B10="","",ROUND(D10*G10/100,2))</f>
        <v>5600</v>
      </c>
      <c r="N10" s="12" t="n">
        <f aca="false">IF(B10="","",ROUND(M10*H10/100,2))</f>
        <v>0</v>
      </c>
      <c r="O10" s="12" t="n">
        <f aca="false">IF(B10="","",M10-N10)</f>
        <v>5600</v>
      </c>
      <c r="P10" s="12" t="n">
        <f aca="false">IF(B10="","",ROUND(I10*Settings!$B$18+J10,2))</f>
        <v>3083.5</v>
      </c>
      <c r="Q10" s="12" t="n">
        <f aca="false">IF(B10="","",ROUND(O10-P10,2))</f>
        <v>2516.5</v>
      </c>
      <c r="R10" s="18" t="n">
        <f aca="false">IF(B10="","",IFERROR(ROUND(Q10/O10*100,2),0))</f>
        <v>44.94</v>
      </c>
      <c r="S10" s="12" t="n">
        <f aca="false">IF(B10="","",IFERROR(ROUND(O10/I10,2),0))</f>
        <v>112</v>
      </c>
      <c r="T10" s="12" t="n">
        <f aca="false">IF(B10="","",ROUND(O10*Settings!$B$19/100,2))</f>
        <v>448</v>
      </c>
      <c r="U10" s="12" t="n">
        <f aca="false">IF(B10="","",ROUND(O10-T10,2))</f>
        <v>5152</v>
      </c>
    </row>
    <row r="11" customFormat="false" ht="15" hidden="false" customHeight="false" outlineLevel="0" collapsed="false">
      <c r="A11" s="16" t="n">
        <v>46156</v>
      </c>
      <c r="B11" s="17" t="s">
        <v>85</v>
      </c>
      <c r="C11" s="17" t="s">
        <v>98</v>
      </c>
      <c r="D11" s="7" t="n">
        <v>52000</v>
      </c>
      <c r="E11" s="18" t="n">
        <f aca="false">IF(B11="","",Settings!$B$8)</f>
        <v>20</v>
      </c>
      <c r="F11" s="8"/>
      <c r="G11" s="18" t="n">
        <f aca="false">IF(B11="","",IF(F11&lt;&gt;"",F11,E11))</f>
        <v>20</v>
      </c>
      <c r="H11" s="8" t="n">
        <v>0</v>
      </c>
      <c r="I11" s="19" t="n">
        <v>25</v>
      </c>
      <c r="J11" s="11" t="n">
        <v>200</v>
      </c>
      <c r="K11" s="17" t="s">
        <v>87</v>
      </c>
      <c r="L11" s="11" t="n">
        <v>0</v>
      </c>
      <c r="M11" s="12" t="n">
        <f aca="false">IF(B11="","",ROUND(D11*G11/100,2))</f>
        <v>10400</v>
      </c>
      <c r="N11" s="12" t="n">
        <f aca="false">IF(B11="","",ROUND(M11*H11/100,2))</f>
        <v>0</v>
      </c>
      <c r="O11" s="12" t="n">
        <f aca="false">IF(B11="","",M11-N11)</f>
        <v>10400</v>
      </c>
      <c r="P11" s="12" t="n">
        <f aca="false">IF(B11="","",ROUND(I11*Settings!$B$18+J11,2))</f>
        <v>1491.75</v>
      </c>
      <c r="Q11" s="12" t="n">
        <f aca="false">IF(B11="","",ROUND(O11-P11,2))</f>
        <v>8908.25</v>
      </c>
      <c r="R11" s="18" t="n">
        <f aca="false">IF(B11="","",IFERROR(ROUND(Q11/O11*100,2),0))</f>
        <v>85.66</v>
      </c>
      <c r="S11" s="12" t="n">
        <f aca="false">IF(B11="","",IFERROR(ROUND(O11/I11,2),0))</f>
        <v>416</v>
      </c>
      <c r="T11" s="12" t="n">
        <f aca="false">IF(B11="","",ROUND(O11*Settings!$B$19/100,2))</f>
        <v>832</v>
      </c>
      <c r="U11" s="12" t="n">
        <f aca="false">IF(B11="","",ROUND(O11-T11,2))</f>
        <v>9568</v>
      </c>
    </row>
    <row r="12" customFormat="false" ht="15" hidden="false" customHeight="false" outlineLevel="0" collapsed="false">
      <c r="A12" s="16" t="n">
        <v>46175</v>
      </c>
      <c r="B12" s="17" t="s">
        <v>99</v>
      </c>
      <c r="C12" s="17" t="s">
        <v>100</v>
      </c>
      <c r="D12" s="7" t="n">
        <v>45000</v>
      </c>
      <c r="E12" s="18" t="n">
        <f aca="false">IF(B12="","",Settings!$B$8)</f>
        <v>20</v>
      </c>
      <c r="F12" s="8"/>
      <c r="G12" s="18" t="n">
        <f aca="false">IF(B12="","",IF(F12&lt;&gt;"",F12,E12))</f>
        <v>20</v>
      </c>
      <c r="H12" s="8" t="n">
        <v>0</v>
      </c>
      <c r="I12" s="19" t="n">
        <v>30</v>
      </c>
      <c r="J12" s="11" t="n">
        <v>350</v>
      </c>
      <c r="K12" s="17" t="s">
        <v>101</v>
      </c>
      <c r="L12" s="11" t="n">
        <v>0</v>
      </c>
      <c r="M12" s="12" t="n">
        <f aca="false">IF(B12="","",ROUND(D12*G12/100,2))</f>
        <v>9000</v>
      </c>
      <c r="N12" s="12" t="n">
        <f aca="false">IF(B12="","",ROUND(M12*H12/100,2))</f>
        <v>0</v>
      </c>
      <c r="O12" s="12" t="n">
        <f aca="false">IF(B12="","",M12-N12)</f>
        <v>9000</v>
      </c>
      <c r="P12" s="12" t="n">
        <f aca="false">IF(B12="","",ROUND(I12*Settings!$B$18+J12,2))</f>
        <v>1900.1</v>
      </c>
      <c r="Q12" s="12" t="n">
        <f aca="false">IF(B12="","",ROUND(O12-P12,2))</f>
        <v>7099.9</v>
      </c>
      <c r="R12" s="18" t="n">
        <f aca="false">IF(B12="","",IFERROR(ROUND(Q12/O12*100,2),0))</f>
        <v>78.89</v>
      </c>
      <c r="S12" s="12" t="n">
        <f aca="false">IF(B12="","",IFERROR(ROUND(O12/I12,2),0))</f>
        <v>300</v>
      </c>
      <c r="T12" s="12" t="n">
        <f aca="false">IF(B12="","",ROUND(O12*Settings!$B$19/100,2))</f>
        <v>720</v>
      </c>
      <c r="U12" s="12" t="n">
        <f aca="false">IF(B12="","",ROUND(O12-T12,2))</f>
        <v>8280</v>
      </c>
    </row>
    <row r="13" customFormat="false" ht="15" hidden="false" customHeight="false" outlineLevel="0" collapsed="false">
      <c r="A13" s="16"/>
      <c r="B13" s="17"/>
      <c r="C13" s="17"/>
      <c r="D13" s="11"/>
      <c r="E13" s="18" t="str">
        <f aca="false">IF(B13="","",Settings!$B$8)</f>
        <v/>
      </c>
      <c r="F13" s="8"/>
      <c r="G13" s="18" t="str">
        <f aca="false">IF(B13="","",IF(F13&lt;&gt;"",F13,E13))</f>
        <v/>
      </c>
      <c r="H13" s="8"/>
      <c r="I13" s="20"/>
      <c r="J13" s="11"/>
      <c r="K13" s="17"/>
      <c r="L13" s="11"/>
      <c r="M13" s="12" t="str">
        <f aca="false">IF(B13="","",ROUND(D13*G13/100,2))</f>
        <v/>
      </c>
      <c r="N13" s="12" t="str">
        <f aca="false">IF(B13="","",ROUND(M13*H13/100,2))</f>
        <v/>
      </c>
      <c r="O13" s="12" t="str">
        <f aca="false">IF(B13="","",M13-N13)</f>
        <v/>
      </c>
      <c r="P13" s="12" t="str">
        <f aca="false">IF(B13="","",ROUND(I13*Settings!$B$18+J13,2))</f>
        <v/>
      </c>
      <c r="Q13" s="12" t="str">
        <f aca="false">IF(B13="","",ROUND(O13-P13,2))</f>
        <v/>
      </c>
      <c r="R13" s="18" t="str">
        <f aca="false">IF(B13="","",IFERROR(ROUND(Q13/O13*100,2),0))</f>
        <v/>
      </c>
      <c r="S13" s="12" t="str">
        <f aca="false">IF(B13="","",IFERROR(ROUND(O13/I13,2),0))</f>
        <v/>
      </c>
      <c r="T13" s="12" t="str">
        <f aca="false">IF(B13="","",ROUND(O13*Settings!$B$19/100,2))</f>
        <v/>
      </c>
      <c r="U13" s="12" t="str">
        <f aca="false">IF(B13="","",ROUND(O13-T13,2))</f>
        <v/>
      </c>
    </row>
    <row r="14" customFormat="false" ht="15" hidden="false" customHeight="false" outlineLevel="0" collapsed="false">
      <c r="A14" s="16"/>
      <c r="B14" s="17"/>
      <c r="C14" s="17"/>
      <c r="D14" s="11"/>
      <c r="E14" s="18" t="str">
        <f aca="false">IF(B14="","",Settings!$B$8)</f>
        <v/>
      </c>
      <c r="F14" s="8"/>
      <c r="G14" s="18" t="str">
        <f aca="false">IF(B14="","",IF(F14&lt;&gt;"",F14,E14))</f>
        <v/>
      </c>
      <c r="H14" s="8"/>
      <c r="I14" s="20"/>
      <c r="J14" s="11"/>
      <c r="K14" s="17"/>
      <c r="L14" s="11"/>
      <c r="M14" s="12" t="str">
        <f aca="false">IF(B14="","",ROUND(D14*G14/100,2))</f>
        <v/>
      </c>
      <c r="N14" s="12" t="str">
        <f aca="false">IF(B14="","",ROUND(M14*H14/100,2))</f>
        <v/>
      </c>
      <c r="O14" s="12" t="str">
        <f aca="false">IF(B14="","",M14-N14)</f>
        <v/>
      </c>
      <c r="P14" s="12" t="str">
        <f aca="false">IF(B14="","",ROUND(I14*Settings!$B$18+J14,2))</f>
        <v/>
      </c>
      <c r="Q14" s="12" t="str">
        <f aca="false">IF(B14="","",ROUND(O14-P14,2))</f>
        <v/>
      </c>
      <c r="R14" s="18" t="str">
        <f aca="false">IF(B14="","",IFERROR(ROUND(Q14/O14*100,2),0))</f>
        <v/>
      </c>
      <c r="S14" s="12" t="str">
        <f aca="false">IF(B14="","",IFERROR(ROUND(O14/I14,2),0))</f>
        <v/>
      </c>
      <c r="T14" s="12" t="str">
        <f aca="false">IF(B14="","",ROUND(O14*Settings!$B$19/100,2))</f>
        <v/>
      </c>
      <c r="U14" s="12" t="str">
        <f aca="false">IF(B14="","",ROUND(O14-T14,2))</f>
        <v/>
      </c>
    </row>
    <row r="15" customFormat="false" ht="15" hidden="false" customHeight="false" outlineLevel="0" collapsed="false">
      <c r="A15" s="16"/>
      <c r="B15" s="17"/>
      <c r="C15" s="17"/>
      <c r="D15" s="11"/>
      <c r="E15" s="18" t="str">
        <f aca="false">IF(B15="","",Settings!$B$8)</f>
        <v/>
      </c>
      <c r="F15" s="8"/>
      <c r="G15" s="18" t="str">
        <f aca="false">IF(B15="","",IF(F15&lt;&gt;"",F15,E15))</f>
        <v/>
      </c>
      <c r="H15" s="8"/>
      <c r="I15" s="20"/>
      <c r="J15" s="11"/>
      <c r="K15" s="17"/>
      <c r="L15" s="11"/>
      <c r="M15" s="12" t="str">
        <f aca="false">IF(B15="","",ROUND(D15*G15/100,2))</f>
        <v/>
      </c>
      <c r="N15" s="12" t="str">
        <f aca="false">IF(B15="","",ROUND(M15*H15/100,2))</f>
        <v/>
      </c>
      <c r="O15" s="12" t="str">
        <f aca="false">IF(B15="","",M15-N15)</f>
        <v/>
      </c>
      <c r="P15" s="12" t="str">
        <f aca="false">IF(B15="","",ROUND(I15*Settings!$B$18+J15,2))</f>
        <v/>
      </c>
      <c r="Q15" s="12" t="str">
        <f aca="false">IF(B15="","",ROUND(O15-P15,2))</f>
        <v/>
      </c>
      <c r="R15" s="18" t="str">
        <f aca="false">IF(B15="","",IFERROR(ROUND(Q15/O15*100,2),0))</f>
        <v/>
      </c>
      <c r="S15" s="12" t="str">
        <f aca="false">IF(B15="","",IFERROR(ROUND(O15/I15,2),0))</f>
        <v/>
      </c>
      <c r="T15" s="12" t="str">
        <f aca="false">IF(B15="","",ROUND(O15*Settings!$B$19/100,2))</f>
        <v/>
      </c>
      <c r="U15" s="12" t="str">
        <f aca="false">IF(B15="","",ROUND(O15-T15,2))</f>
        <v/>
      </c>
    </row>
    <row r="16" customFormat="false" ht="15" hidden="false" customHeight="false" outlineLevel="0" collapsed="false">
      <c r="A16" s="16"/>
      <c r="B16" s="17"/>
      <c r="C16" s="17"/>
      <c r="D16" s="11"/>
      <c r="E16" s="18" t="str">
        <f aca="false">IF(B16="","",Settings!$B$8)</f>
        <v/>
      </c>
      <c r="F16" s="8"/>
      <c r="G16" s="18" t="str">
        <f aca="false">IF(B16="","",IF(F16&lt;&gt;"",F16,E16))</f>
        <v/>
      </c>
      <c r="H16" s="8"/>
      <c r="I16" s="20"/>
      <c r="J16" s="11"/>
      <c r="K16" s="17"/>
      <c r="L16" s="11"/>
      <c r="M16" s="12" t="str">
        <f aca="false">IF(B16="","",ROUND(D16*G16/100,2))</f>
        <v/>
      </c>
      <c r="N16" s="12" t="str">
        <f aca="false">IF(B16="","",ROUND(M16*H16/100,2))</f>
        <v/>
      </c>
      <c r="O16" s="12" t="str">
        <f aca="false">IF(B16="","",M16-N16)</f>
        <v/>
      </c>
      <c r="P16" s="12" t="str">
        <f aca="false">IF(B16="","",ROUND(I16*Settings!$B$18+J16,2))</f>
        <v/>
      </c>
      <c r="Q16" s="12" t="str">
        <f aca="false">IF(B16="","",ROUND(O16-P16,2))</f>
        <v/>
      </c>
      <c r="R16" s="18" t="str">
        <f aca="false">IF(B16="","",IFERROR(ROUND(Q16/O16*100,2),0))</f>
        <v/>
      </c>
      <c r="S16" s="12" t="str">
        <f aca="false">IF(B16="","",IFERROR(ROUND(O16/I16,2),0))</f>
        <v/>
      </c>
      <c r="T16" s="12" t="str">
        <f aca="false">IF(B16="","",ROUND(O16*Settings!$B$19/100,2))</f>
        <v/>
      </c>
      <c r="U16" s="12" t="str">
        <f aca="false">IF(B16="","",ROUND(O16-T16,2))</f>
        <v/>
      </c>
    </row>
    <row r="17" customFormat="false" ht="15" hidden="false" customHeight="false" outlineLevel="0" collapsed="false">
      <c r="A17" s="16"/>
      <c r="B17" s="17"/>
      <c r="C17" s="17"/>
      <c r="D17" s="11"/>
      <c r="E17" s="18" t="str">
        <f aca="false">IF(B17="","",Settings!$B$8)</f>
        <v/>
      </c>
      <c r="F17" s="8"/>
      <c r="G17" s="18" t="str">
        <f aca="false">IF(B17="","",IF(F17&lt;&gt;"",F17,E17))</f>
        <v/>
      </c>
      <c r="H17" s="8"/>
      <c r="I17" s="20"/>
      <c r="J17" s="11"/>
      <c r="K17" s="17"/>
      <c r="L17" s="11"/>
      <c r="M17" s="12" t="str">
        <f aca="false">IF(B17="","",ROUND(D17*G17/100,2))</f>
        <v/>
      </c>
      <c r="N17" s="12" t="str">
        <f aca="false">IF(B17="","",ROUND(M17*H17/100,2))</f>
        <v/>
      </c>
      <c r="O17" s="12" t="str">
        <f aca="false">IF(B17="","",M17-N17)</f>
        <v/>
      </c>
      <c r="P17" s="12" t="str">
        <f aca="false">IF(B17="","",ROUND(I17*Settings!$B$18+J17,2))</f>
        <v/>
      </c>
      <c r="Q17" s="12" t="str">
        <f aca="false">IF(B17="","",ROUND(O17-P17,2))</f>
        <v/>
      </c>
      <c r="R17" s="18" t="str">
        <f aca="false">IF(B17="","",IFERROR(ROUND(Q17/O17*100,2),0))</f>
        <v/>
      </c>
      <c r="S17" s="12" t="str">
        <f aca="false">IF(B17="","",IFERROR(ROUND(O17/I17,2),0))</f>
        <v/>
      </c>
      <c r="T17" s="12" t="str">
        <f aca="false">IF(B17="","",ROUND(O17*Settings!$B$19/100,2))</f>
        <v/>
      </c>
      <c r="U17" s="12" t="str">
        <f aca="false">IF(B17="","",ROUND(O17-T17,2))</f>
        <v/>
      </c>
    </row>
    <row r="18" customFormat="false" ht="15" hidden="false" customHeight="false" outlineLevel="0" collapsed="false">
      <c r="A18" s="16"/>
      <c r="B18" s="17"/>
      <c r="C18" s="17"/>
      <c r="D18" s="11"/>
      <c r="E18" s="18" t="str">
        <f aca="false">IF(B18="","",Settings!$B$8)</f>
        <v/>
      </c>
      <c r="F18" s="8"/>
      <c r="G18" s="18" t="str">
        <f aca="false">IF(B18="","",IF(F18&lt;&gt;"",F18,E18))</f>
        <v/>
      </c>
      <c r="H18" s="8"/>
      <c r="I18" s="20"/>
      <c r="J18" s="11"/>
      <c r="K18" s="17"/>
      <c r="L18" s="11"/>
      <c r="M18" s="12" t="str">
        <f aca="false">IF(B18="","",ROUND(D18*G18/100,2))</f>
        <v/>
      </c>
      <c r="N18" s="12" t="str">
        <f aca="false">IF(B18="","",ROUND(M18*H18/100,2))</f>
        <v/>
      </c>
      <c r="O18" s="12" t="str">
        <f aca="false">IF(B18="","",M18-N18)</f>
        <v/>
      </c>
      <c r="P18" s="12" t="str">
        <f aca="false">IF(B18="","",ROUND(I18*Settings!$B$18+J18,2))</f>
        <v/>
      </c>
      <c r="Q18" s="12" t="str">
        <f aca="false">IF(B18="","",ROUND(O18-P18,2))</f>
        <v/>
      </c>
      <c r="R18" s="18" t="str">
        <f aca="false">IF(B18="","",IFERROR(ROUND(Q18/O18*100,2),0))</f>
        <v/>
      </c>
      <c r="S18" s="12" t="str">
        <f aca="false">IF(B18="","",IFERROR(ROUND(O18/I18,2),0))</f>
        <v/>
      </c>
      <c r="T18" s="12" t="str">
        <f aca="false">IF(B18="","",ROUND(O18*Settings!$B$19/100,2))</f>
        <v/>
      </c>
      <c r="U18" s="12" t="str">
        <f aca="false">IF(B18="","",ROUND(O18-T18,2))</f>
        <v/>
      </c>
    </row>
    <row r="19" customFormat="false" ht="15" hidden="false" customHeight="false" outlineLevel="0" collapsed="false">
      <c r="A19" s="16"/>
      <c r="B19" s="17"/>
      <c r="C19" s="17"/>
      <c r="D19" s="11"/>
      <c r="E19" s="18" t="str">
        <f aca="false">IF(B19="","",Settings!$B$8)</f>
        <v/>
      </c>
      <c r="F19" s="8"/>
      <c r="G19" s="18" t="str">
        <f aca="false">IF(B19="","",IF(F19&lt;&gt;"",F19,E19))</f>
        <v/>
      </c>
      <c r="H19" s="8"/>
      <c r="I19" s="20"/>
      <c r="J19" s="11"/>
      <c r="K19" s="17"/>
      <c r="L19" s="11"/>
      <c r="M19" s="12" t="str">
        <f aca="false">IF(B19="","",ROUND(D19*G19/100,2))</f>
        <v/>
      </c>
      <c r="N19" s="12" t="str">
        <f aca="false">IF(B19="","",ROUND(M19*H19/100,2))</f>
        <v/>
      </c>
      <c r="O19" s="12" t="str">
        <f aca="false">IF(B19="","",M19-N19)</f>
        <v/>
      </c>
      <c r="P19" s="12" t="str">
        <f aca="false">IF(B19="","",ROUND(I19*Settings!$B$18+J19,2))</f>
        <v/>
      </c>
      <c r="Q19" s="12" t="str">
        <f aca="false">IF(B19="","",ROUND(O19-P19,2))</f>
        <v/>
      </c>
      <c r="R19" s="18" t="str">
        <f aca="false">IF(B19="","",IFERROR(ROUND(Q19/O19*100,2),0))</f>
        <v/>
      </c>
      <c r="S19" s="12" t="str">
        <f aca="false">IF(B19="","",IFERROR(ROUND(O19/I19,2),0))</f>
        <v/>
      </c>
      <c r="T19" s="12" t="str">
        <f aca="false">IF(B19="","",ROUND(O19*Settings!$B$19/100,2))</f>
        <v/>
      </c>
      <c r="U19" s="12" t="str">
        <f aca="false">IF(B19="","",ROUND(O19-T19,2))</f>
        <v/>
      </c>
    </row>
    <row r="20" customFormat="false" ht="15" hidden="false" customHeight="false" outlineLevel="0" collapsed="false">
      <c r="A20" s="16"/>
      <c r="B20" s="17"/>
      <c r="C20" s="17"/>
      <c r="D20" s="11"/>
      <c r="E20" s="18" t="str">
        <f aca="false">IF(B20="","",Settings!$B$8)</f>
        <v/>
      </c>
      <c r="F20" s="8"/>
      <c r="G20" s="18" t="str">
        <f aca="false">IF(B20="","",IF(F20&lt;&gt;"",F20,E20))</f>
        <v/>
      </c>
      <c r="H20" s="8"/>
      <c r="I20" s="20"/>
      <c r="J20" s="11"/>
      <c r="K20" s="17"/>
      <c r="L20" s="11"/>
      <c r="M20" s="12" t="str">
        <f aca="false">IF(B20="","",ROUND(D20*G20/100,2))</f>
        <v/>
      </c>
      <c r="N20" s="12" t="str">
        <f aca="false">IF(B20="","",ROUND(M20*H20/100,2))</f>
        <v/>
      </c>
      <c r="O20" s="12" t="str">
        <f aca="false">IF(B20="","",M20-N20)</f>
        <v/>
      </c>
      <c r="P20" s="12" t="str">
        <f aca="false">IF(B20="","",ROUND(I20*Settings!$B$18+J20,2))</f>
        <v/>
      </c>
      <c r="Q20" s="12" t="str">
        <f aca="false">IF(B20="","",ROUND(O20-P20,2))</f>
        <v/>
      </c>
      <c r="R20" s="18" t="str">
        <f aca="false">IF(B20="","",IFERROR(ROUND(Q20/O20*100,2),0))</f>
        <v/>
      </c>
      <c r="S20" s="12" t="str">
        <f aca="false">IF(B20="","",IFERROR(ROUND(O20/I20,2),0))</f>
        <v/>
      </c>
      <c r="T20" s="12" t="str">
        <f aca="false">IF(B20="","",ROUND(O20*Settings!$B$19/100,2))</f>
        <v/>
      </c>
      <c r="U20" s="12" t="str">
        <f aca="false">IF(B20="","",ROUND(O20-T20,2))</f>
        <v/>
      </c>
    </row>
    <row r="21" customFormat="false" ht="15" hidden="false" customHeight="false" outlineLevel="0" collapsed="false">
      <c r="A21" s="16"/>
      <c r="B21" s="17"/>
      <c r="C21" s="17"/>
      <c r="D21" s="11"/>
      <c r="E21" s="18" t="str">
        <f aca="false">IF(B21="","",Settings!$B$8)</f>
        <v/>
      </c>
      <c r="F21" s="8"/>
      <c r="G21" s="18" t="str">
        <f aca="false">IF(B21="","",IF(F21&lt;&gt;"",F21,E21))</f>
        <v/>
      </c>
      <c r="H21" s="8"/>
      <c r="I21" s="20"/>
      <c r="J21" s="11"/>
      <c r="K21" s="17"/>
      <c r="L21" s="11"/>
      <c r="M21" s="12" t="str">
        <f aca="false">IF(B21="","",ROUND(D21*G21/100,2))</f>
        <v/>
      </c>
      <c r="N21" s="12" t="str">
        <f aca="false">IF(B21="","",ROUND(M21*H21/100,2))</f>
        <v/>
      </c>
      <c r="O21" s="12" t="str">
        <f aca="false">IF(B21="","",M21-N21)</f>
        <v/>
      </c>
      <c r="P21" s="12" t="str">
        <f aca="false">IF(B21="","",ROUND(I21*Settings!$B$18+J21,2))</f>
        <v/>
      </c>
      <c r="Q21" s="12" t="str">
        <f aca="false">IF(B21="","",ROUND(O21-P21,2))</f>
        <v/>
      </c>
      <c r="R21" s="18" t="str">
        <f aca="false">IF(B21="","",IFERROR(ROUND(Q21/O21*100,2),0))</f>
        <v/>
      </c>
      <c r="S21" s="12" t="str">
        <f aca="false">IF(B21="","",IFERROR(ROUND(O21/I21,2),0))</f>
        <v/>
      </c>
      <c r="T21" s="12" t="str">
        <f aca="false">IF(B21="","",ROUND(O21*Settings!$B$19/100,2))</f>
        <v/>
      </c>
      <c r="U21" s="12" t="str">
        <f aca="false">IF(B21="","",ROUND(O21-T21,2))</f>
        <v/>
      </c>
    </row>
    <row r="22" customFormat="false" ht="15" hidden="false" customHeight="false" outlineLevel="0" collapsed="false">
      <c r="A22" s="16"/>
      <c r="B22" s="17"/>
      <c r="C22" s="17"/>
      <c r="D22" s="11"/>
      <c r="E22" s="18" t="str">
        <f aca="false">IF(B22="","",Settings!$B$8)</f>
        <v/>
      </c>
      <c r="F22" s="8"/>
      <c r="G22" s="18" t="str">
        <f aca="false">IF(B22="","",IF(F22&lt;&gt;"",F22,E22))</f>
        <v/>
      </c>
      <c r="H22" s="8"/>
      <c r="I22" s="20"/>
      <c r="J22" s="11"/>
      <c r="K22" s="17"/>
      <c r="L22" s="11"/>
      <c r="M22" s="12" t="str">
        <f aca="false">IF(B22="","",ROUND(D22*G22/100,2))</f>
        <v/>
      </c>
      <c r="N22" s="12" t="str">
        <f aca="false">IF(B22="","",ROUND(M22*H22/100,2))</f>
        <v/>
      </c>
      <c r="O22" s="12" t="str">
        <f aca="false">IF(B22="","",M22-N22)</f>
        <v/>
      </c>
      <c r="P22" s="12" t="str">
        <f aca="false">IF(B22="","",ROUND(I22*Settings!$B$18+J22,2))</f>
        <v/>
      </c>
      <c r="Q22" s="12" t="str">
        <f aca="false">IF(B22="","",ROUND(O22-P22,2))</f>
        <v/>
      </c>
      <c r="R22" s="18" t="str">
        <f aca="false">IF(B22="","",IFERROR(ROUND(Q22/O22*100,2),0))</f>
        <v/>
      </c>
      <c r="S22" s="12" t="str">
        <f aca="false">IF(B22="","",IFERROR(ROUND(O22/I22,2),0))</f>
        <v/>
      </c>
      <c r="T22" s="12" t="str">
        <f aca="false">IF(B22="","",ROUND(O22*Settings!$B$19/100,2))</f>
        <v/>
      </c>
      <c r="U22" s="12" t="str">
        <f aca="false">IF(B22="","",ROUND(O22-T22,2))</f>
        <v/>
      </c>
    </row>
    <row r="23" customFormat="false" ht="15" hidden="false" customHeight="false" outlineLevel="0" collapsed="false">
      <c r="A23" s="16"/>
      <c r="B23" s="17"/>
      <c r="C23" s="17"/>
      <c r="D23" s="11"/>
      <c r="E23" s="18" t="str">
        <f aca="false">IF(B23="","",Settings!$B$8)</f>
        <v/>
      </c>
      <c r="F23" s="8"/>
      <c r="G23" s="18" t="str">
        <f aca="false">IF(B23="","",IF(F23&lt;&gt;"",F23,E23))</f>
        <v/>
      </c>
      <c r="H23" s="8"/>
      <c r="I23" s="20"/>
      <c r="J23" s="11"/>
      <c r="K23" s="17"/>
      <c r="L23" s="11"/>
      <c r="M23" s="12" t="str">
        <f aca="false">IF(B23="","",ROUND(D23*G23/100,2))</f>
        <v/>
      </c>
      <c r="N23" s="12" t="str">
        <f aca="false">IF(B23="","",ROUND(M23*H23/100,2))</f>
        <v/>
      </c>
      <c r="O23" s="12" t="str">
        <f aca="false">IF(B23="","",M23-N23)</f>
        <v/>
      </c>
      <c r="P23" s="12" t="str">
        <f aca="false">IF(B23="","",ROUND(I23*Settings!$B$18+J23,2))</f>
        <v/>
      </c>
      <c r="Q23" s="12" t="str">
        <f aca="false">IF(B23="","",ROUND(O23-P23,2))</f>
        <v/>
      </c>
      <c r="R23" s="18" t="str">
        <f aca="false">IF(B23="","",IFERROR(ROUND(Q23/O23*100,2),0))</f>
        <v/>
      </c>
      <c r="S23" s="12" t="str">
        <f aca="false">IF(B23="","",IFERROR(ROUND(O23/I23,2),0))</f>
        <v/>
      </c>
      <c r="T23" s="12" t="str">
        <f aca="false">IF(B23="","",ROUND(O23*Settings!$B$19/100,2))</f>
        <v/>
      </c>
      <c r="U23" s="12" t="str">
        <f aca="false">IF(B23="","",ROUND(O23-T23,2))</f>
        <v/>
      </c>
    </row>
    <row r="24" customFormat="false" ht="15" hidden="false" customHeight="false" outlineLevel="0" collapsed="false">
      <c r="A24" s="16"/>
      <c r="B24" s="17"/>
      <c r="C24" s="17"/>
      <c r="D24" s="11"/>
      <c r="E24" s="18" t="str">
        <f aca="false">IF(B24="","",Settings!$B$8)</f>
        <v/>
      </c>
      <c r="F24" s="8"/>
      <c r="G24" s="18" t="str">
        <f aca="false">IF(B24="","",IF(F24&lt;&gt;"",F24,E24))</f>
        <v/>
      </c>
      <c r="H24" s="8"/>
      <c r="I24" s="20"/>
      <c r="J24" s="11"/>
      <c r="K24" s="17"/>
      <c r="L24" s="11"/>
      <c r="M24" s="12" t="str">
        <f aca="false">IF(B24="","",ROUND(D24*G24/100,2))</f>
        <v/>
      </c>
      <c r="N24" s="12" t="str">
        <f aca="false">IF(B24="","",ROUND(M24*H24/100,2))</f>
        <v/>
      </c>
      <c r="O24" s="12" t="str">
        <f aca="false">IF(B24="","",M24-N24)</f>
        <v/>
      </c>
      <c r="P24" s="12" t="str">
        <f aca="false">IF(B24="","",ROUND(I24*Settings!$B$18+J24,2))</f>
        <v/>
      </c>
      <c r="Q24" s="12" t="str">
        <f aca="false">IF(B24="","",ROUND(O24-P24,2))</f>
        <v/>
      </c>
      <c r="R24" s="18" t="str">
        <f aca="false">IF(B24="","",IFERROR(ROUND(Q24/O24*100,2),0))</f>
        <v/>
      </c>
      <c r="S24" s="12" t="str">
        <f aca="false">IF(B24="","",IFERROR(ROUND(O24/I24,2),0))</f>
        <v/>
      </c>
      <c r="T24" s="12" t="str">
        <f aca="false">IF(B24="","",ROUND(O24*Settings!$B$19/100,2))</f>
        <v/>
      </c>
      <c r="U24" s="12" t="str">
        <f aca="false">IF(B24="","",ROUND(O24-T24,2))</f>
        <v/>
      </c>
    </row>
    <row r="25" customFormat="false" ht="15" hidden="false" customHeight="false" outlineLevel="0" collapsed="false">
      <c r="A25" s="16"/>
      <c r="B25" s="17"/>
      <c r="C25" s="17"/>
      <c r="D25" s="11"/>
      <c r="E25" s="18" t="str">
        <f aca="false">IF(B25="","",Settings!$B$8)</f>
        <v/>
      </c>
      <c r="F25" s="8"/>
      <c r="G25" s="18" t="str">
        <f aca="false">IF(B25="","",IF(F25&lt;&gt;"",F25,E25))</f>
        <v/>
      </c>
      <c r="H25" s="8"/>
      <c r="I25" s="20"/>
      <c r="J25" s="11"/>
      <c r="K25" s="17"/>
      <c r="L25" s="11"/>
      <c r="M25" s="12" t="str">
        <f aca="false">IF(B25="","",ROUND(D25*G25/100,2))</f>
        <v/>
      </c>
      <c r="N25" s="12" t="str">
        <f aca="false">IF(B25="","",ROUND(M25*H25/100,2))</f>
        <v/>
      </c>
      <c r="O25" s="12" t="str">
        <f aca="false">IF(B25="","",M25-N25)</f>
        <v/>
      </c>
      <c r="P25" s="12" t="str">
        <f aca="false">IF(B25="","",ROUND(I25*Settings!$B$18+J25,2))</f>
        <v/>
      </c>
      <c r="Q25" s="12" t="str">
        <f aca="false">IF(B25="","",ROUND(O25-P25,2))</f>
        <v/>
      </c>
      <c r="R25" s="18" t="str">
        <f aca="false">IF(B25="","",IFERROR(ROUND(Q25/O25*100,2),0))</f>
        <v/>
      </c>
      <c r="S25" s="12" t="str">
        <f aca="false">IF(B25="","",IFERROR(ROUND(O25/I25,2),0))</f>
        <v/>
      </c>
      <c r="T25" s="12" t="str">
        <f aca="false">IF(B25="","",ROUND(O25*Settings!$B$19/100,2))</f>
        <v/>
      </c>
      <c r="U25" s="12" t="str">
        <f aca="false">IF(B25="","",ROUND(O25-T25,2))</f>
        <v/>
      </c>
    </row>
    <row r="26" customFormat="false" ht="15" hidden="false" customHeight="false" outlineLevel="0" collapsed="false">
      <c r="A26" s="16"/>
      <c r="B26" s="17"/>
      <c r="C26" s="17"/>
      <c r="D26" s="11"/>
      <c r="E26" s="18" t="str">
        <f aca="false">IF(B26="","",Settings!$B$8)</f>
        <v/>
      </c>
      <c r="F26" s="8"/>
      <c r="G26" s="18" t="str">
        <f aca="false">IF(B26="","",IF(F26&lt;&gt;"",F26,E26))</f>
        <v/>
      </c>
      <c r="H26" s="8"/>
      <c r="I26" s="20"/>
      <c r="J26" s="11"/>
      <c r="K26" s="17"/>
      <c r="L26" s="11"/>
      <c r="M26" s="12" t="str">
        <f aca="false">IF(B26="","",ROUND(D26*G26/100,2))</f>
        <v/>
      </c>
      <c r="N26" s="12" t="str">
        <f aca="false">IF(B26="","",ROUND(M26*H26/100,2))</f>
        <v/>
      </c>
      <c r="O26" s="12" t="str">
        <f aca="false">IF(B26="","",M26-N26)</f>
        <v/>
      </c>
      <c r="P26" s="12" t="str">
        <f aca="false">IF(B26="","",ROUND(I26*Settings!$B$18+J26,2))</f>
        <v/>
      </c>
      <c r="Q26" s="12" t="str">
        <f aca="false">IF(B26="","",ROUND(O26-P26,2))</f>
        <v/>
      </c>
      <c r="R26" s="18" t="str">
        <f aca="false">IF(B26="","",IFERROR(ROUND(Q26/O26*100,2),0))</f>
        <v/>
      </c>
      <c r="S26" s="12" t="str">
        <f aca="false">IF(B26="","",IFERROR(ROUND(O26/I26,2),0))</f>
        <v/>
      </c>
      <c r="T26" s="12" t="str">
        <f aca="false">IF(B26="","",ROUND(O26*Settings!$B$19/100,2))</f>
        <v/>
      </c>
      <c r="U26" s="12" t="str">
        <f aca="false">IF(B26="","",ROUND(O26-T26,2))</f>
        <v/>
      </c>
    </row>
    <row r="27" customFormat="false" ht="15" hidden="false" customHeight="false" outlineLevel="0" collapsed="false">
      <c r="A27" s="16"/>
      <c r="B27" s="17"/>
      <c r="C27" s="17"/>
      <c r="D27" s="11"/>
      <c r="E27" s="18" t="str">
        <f aca="false">IF(B27="","",Settings!$B$8)</f>
        <v/>
      </c>
      <c r="F27" s="8"/>
      <c r="G27" s="18" t="str">
        <f aca="false">IF(B27="","",IF(F27&lt;&gt;"",F27,E27))</f>
        <v/>
      </c>
      <c r="H27" s="8"/>
      <c r="I27" s="20"/>
      <c r="J27" s="11"/>
      <c r="K27" s="17"/>
      <c r="L27" s="11"/>
      <c r="M27" s="12" t="str">
        <f aca="false">IF(B27="","",ROUND(D27*G27/100,2))</f>
        <v/>
      </c>
      <c r="N27" s="12" t="str">
        <f aca="false">IF(B27="","",ROUND(M27*H27/100,2))</f>
        <v/>
      </c>
      <c r="O27" s="12" t="str">
        <f aca="false">IF(B27="","",M27-N27)</f>
        <v/>
      </c>
      <c r="P27" s="12" t="str">
        <f aca="false">IF(B27="","",ROUND(I27*Settings!$B$18+J27,2))</f>
        <v/>
      </c>
      <c r="Q27" s="12" t="str">
        <f aca="false">IF(B27="","",ROUND(O27-P27,2))</f>
        <v/>
      </c>
      <c r="R27" s="18" t="str">
        <f aca="false">IF(B27="","",IFERROR(ROUND(Q27/O27*100,2),0))</f>
        <v/>
      </c>
      <c r="S27" s="12" t="str">
        <f aca="false">IF(B27="","",IFERROR(ROUND(O27/I27,2),0))</f>
        <v/>
      </c>
      <c r="T27" s="12" t="str">
        <f aca="false">IF(B27="","",ROUND(O27*Settings!$B$19/100,2))</f>
        <v/>
      </c>
      <c r="U27" s="12" t="str">
        <f aca="false">IF(B27="","",ROUND(O27-T27,2))</f>
        <v/>
      </c>
    </row>
    <row r="28" customFormat="false" ht="15" hidden="false" customHeight="false" outlineLevel="0" collapsed="false">
      <c r="A28" s="16"/>
      <c r="B28" s="17"/>
      <c r="C28" s="17"/>
      <c r="D28" s="11"/>
      <c r="E28" s="18" t="str">
        <f aca="false">IF(B28="","",Settings!$B$8)</f>
        <v/>
      </c>
      <c r="F28" s="8"/>
      <c r="G28" s="18" t="str">
        <f aca="false">IF(B28="","",IF(F28&lt;&gt;"",F28,E28))</f>
        <v/>
      </c>
      <c r="H28" s="8"/>
      <c r="I28" s="20"/>
      <c r="J28" s="11"/>
      <c r="K28" s="17"/>
      <c r="L28" s="11"/>
      <c r="M28" s="12" t="str">
        <f aca="false">IF(B28="","",ROUND(D28*G28/100,2))</f>
        <v/>
      </c>
      <c r="N28" s="12" t="str">
        <f aca="false">IF(B28="","",ROUND(M28*H28/100,2))</f>
        <v/>
      </c>
      <c r="O28" s="12" t="str">
        <f aca="false">IF(B28="","",M28-N28)</f>
        <v/>
      </c>
      <c r="P28" s="12" t="str">
        <f aca="false">IF(B28="","",ROUND(I28*Settings!$B$18+J28,2))</f>
        <v/>
      </c>
      <c r="Q28" s="12" t="str">
        <f aca="false">IF(B28="","",ROUND(O28-P28,2))</f>
        <v/>
      </c>
      <c r="R28" s="18" t="str">
        <f aca="false">IF(B28="","",IFERROR(ROUND(Q28/O28*100,2),0))</f>
        <v/>
      </c>
      <c r="S28" s="12" t="str">
        <f aca="false">IF(B28="","",IFERROR(ROUND(O28/I28,2),0))</f>
        <v/>
      </c>
      <c r="T28" s="12" t="str">
        <f aca="false">IF(B28="","",ROUND(O28*Settings!$B$19/100,2))</f>
        <v/>
      </c>
      <c r="U28" s="12" t="str">
        <f aca="false">IF(B28="","",ROUND(O28-T28,2))</f>
        <v/>
      </c>
    </row>
    <row r="29" customFormat="false" ht="15" hidden="false" customHeight="false" outlineLevel="0" collapsed="false">
      <c r="A29" s="16"/>
      <c r="B29" s="17"/>
      <c r="C29" s="17"/>
      <c r="D29" s="11"/>
      <c r="E29" s="18" t="str">
        <f aca="false">IF(B29="","",Settings!$B$8)</f>
        <v/>
      </c>
      <c r="F29" s="8"/>
      <c r="G29" s="18" t="str">
        <f aca="false">IF(B29="","",IF(F29&lt;&gt;"",F29,E29))</f>
        <v/>
      </c>
      <c r="H29" s="8"/>
      <c r="I29" s="20"/>
      <c r="J29" s="11"/>
      <c r="K29" s="17"/>
      <c r="L29" s="11"/>
      <c r="M29" s="12" t="str">
        <f aca="false">IF(B29="","",ROUND(D29*G29/100,2))</f>
        <v/>
      </c>
      <c r="N29" s="12" t="str">
        <f aca="false">IF(B29="","",ROUND(M29*H29/100,2))</f>
        <v/>
      </c>
      <c r="O29" s="12" t="str">
        <f aca="false">IF(B29="","",M29-N29)</f>
        <v/>
      </c>
      <c r="P29" s="12" t="str">
        <f aca="false">IF(B29="","",ROUND(I29*Settings!$B$18+J29,2))</f>
        <v/>
      </c>
      <c r="Q29" s="12" t="str">
        <f aca="false">IF(B29="","",ROUND(O29-P29,2))</f>
        <v/>
      </c>
      <c r="R29" s="18" t="str">
        <f aca="false">IF(B29="","",IFERROR(ROUND(Q29/O29*100,2),0))</f>
        <v/>
      </c>
      <c r="S29" s="12" t="str">
        <f aca="false">IF(B29="","",IFERROR(ROUND(O29/I29,2),0))</f>
        <v/>
      </c>
      <c r="T29" s="12" t="str">
        <f aca="false">IF(B29="","",ROUND(O29*Settings!$B$19/100,2))</f>
        <v/>
      </c>
      <c r="U29" s="12" t="str">
        <f aca="false">IF(B29="","",ROUND(O29-T29,2))</f>
        <v/>
      </c>
    </row>
    <row r="30" customFormat="false" ht="15" hidden="false" customHeight="false" outlineLevel="0" collapsed="false">
      <c r="A30" s="16"/>
      <c r="B30" s="17"/>
      <c r="C30" s="17"/>
      <c r="D30" s="11"/>
      <c r="E30" s="18" t="str">
        <f aca="false">IF(B30="","",Settings!$B$8)</f>
        <v/>
      </c>
      <c r="F30" s="8"/>
      <c r="G30" s="18" t="str">
        <f aca="false">IF(B30="","",IF(F30&lt;&gt;"",F30,E30))</f>
        <v/>
      </c>
      <c r="H30" s="8"/>
      <c r="I30" s="20"/>
      <c r="J30" s="11"/>
      <c r="K30" s="17"/>
      <c r="L30" s="11"/>
      <c r="M30" s="12" t="str">
        <f aca="false">IF(B30="","",ROUND(D30*G30/100,2))</f>
        <v/>
      </c>
      <c r="N30" s="12" t="str">
        <f aca="false">IF(B30="","",ROUND(M30*H30/100,2))</f>
        <v/>
      </c>
      <c r="O30" s="12" t="str">
        <f aca="false">IF(B30="","",M30-N30)</f>
        <v/>
      </c>
      <c r="P30" s="12" t="str">
        <f aca="false">IF(B30="","",ROUND(I30*Settings!$B$18+J30,2))</f>
        <v/>
      </c>
      <c r="Q30" s="12" t="str">
        <f aca="false">IF(B30="","",ROUND(O30-P30,2))</f>
        <v/>
      </c>
      <c r="R30" s="18" t="str">
        <f aca="false">IF(B30="","",IFERROR(ROUND(Q30/O30*100,2),0))</f>
        <v/>
      </c>
      <c r="S30" s="12" t="str">
        <f aca="false">IF(B30="","",IFERROR(ROUND(O30/I30,2),0))</f>
        <v/>
      </c>
      <c r="T30" s="12" t="str">
        <f aca="false">IF(B30="","",ROUND(O30*Settings!$B$19/100,2))</f>
        <v/>
      </c>
      <c r="U30" s="12" t="str">
        <f aca="false">IF(B30="","",ROUND(O30-T30,2))</f>
        <v/>
      </c>
    </row>
    <row r="31" customFormat="false" ht="15" hidden="false" customHeight="false" outlineLevel="0" collapsed="false">
      <c r="A31" s="16"/>
      <c r="B31" s="17"/>
      <c r="C31" s="17"/>
      <c r="D31" s="11"/>
      <c r="E31" s="18" t="str">
        <f aca="false">IF(B31="","",Settings!$B$8)</f>
        <v/>
      </c>
      <c r="F31" s="8"/>
      <c r="G31" s="18" t="str">
        <f aca="false">IF(B31="","",IF(F31&lt;&gt;"",F31,E31))</f>
        <v/>
      </c>
      <c r="H31" s="8"/>
      <c r="I31" s="20"/>
      <c r="J31" s="11"/>
      <c r="K31" s="17"/>
      <c r="L31" s="11"/>
      <c r="M31" s="12" t="str">
        <f aca="false">IF(B31="","",ROUND(D31*G31/100,2))</f>
        <v/>
      </c>
      <c r="N31" s="12" t="str">
        <f aca="false">IF(B31="","",ROUND(M31*H31/100,2))</f>
        <v/>
      </c>
      <c r="O31" s="12" t="str">
        <f aca="false">IF(B31="","",M31-N31)</f>
        <v/>
      </c>
      <c r="P31" s="12" t="str">
        <f aca="false">IF(B31="","",ROUND(I31*Settings!$B$18+J31,2))</f>
        <v/>
      </c>
      <c r="Q31" s="12" t="str">
        <f aca="false">IF(B31="","",ROUND(O31-P31,2))</f>
        <v/>
      </c>
      <c r="R31" s="18" t="str">
        <f aca="false">IF(B31="","",IFERROR(ROUND(Q31/O31*100,2),0))</f>
        <v/>
      </c>
      <c r="S31" s="12" t="str">
        <f aca="false">IF(B31="","",IFERROR(ROUND(O31/I31,2),0))</f>
        <v/>
      </c>
      <c r="T31" s="12" t="str">
        <f aca="false">IF(B31="","",ROUND(O31*Settings!$B$19/100,2))</f>
        <v/>
      </c>
      <c r="U31" s="12" t="str">
        <f aca="false">IF(B31="","",ROUND(O31-T31,2))</f>
        <v/>
      </c>
    </row>
    <row r="32" customFormat="false" ht="15" hidden="false" customHeight="false" outlineLevel="0" collapsed="false">
      <c r="A32" s="16"/>
      <c r="B32" s="17"/>
      <c r="C32" s="17"/>
      <c r="D32" s="11"/>
      <c r="E32" s="18" t="str">
        <f aca="false">IF(B32="","",Settings!$B$8)</f>
        <v/>
      </c>
      <c r="F32" s="8"/>
      <c r="G32" s="18" t="str">
        <f aca="false">IF(B32="","",IF(F32&lt;&gt;"",F32,E32))</f>
        <v/>
      </c>
      <c r="H32" s="8"/>
      <c r="I32" s="20"/>
      <c r="J32" s="11"/>
      <c r="K32" s="17"/>
      <c r="L32" s="11"/>
      <c r="M32" s="12" t="str">
        <f aca="false">IF(B32="","",ROUND(D32*G32/100,2))</f>
        <v/>
      </c>
      <c r="N32" s="12" t="str">
        <f aca="false">IF(B32="","",ROUND(M32*H32/100,2))</f>
        <v/>
      </c>
      <c r="O32" s="12" t="str">
        <f aca="false">IF(B32="","",M32-N32)</f>
        <v/>
      </c>
      <c r="P32" s="12" t="str">
        <f aca="false">IF(B32="","",ROUND(I32*Settings!$B$18+J32,2))</f>
        <v/>
      </c>
      <c r="Q32" s="12" t="str">
        <f aca="false">IF(B32="","",ROUND(O32-P32,2))</f>
        <v/>
      </c>
      <c r="R32" s="18" t="str">
        <f aca="false">IF(B32="","",IFERROR(ROUND(Q32/O32*100,2),0))</f>
        <v/>
      </c>
      <c r="S32" s="12" t="str">
        <f aca="false">IF(B32="","",IFERROR(ROUND(O32/I32,2),0))</f>
        <v/>
      </c>
      <c r="T32" s="12" t="str">
        <f aca="false">IF(B32="","",ROUND(O32*Settings!$B$19/100,2))</f>
        <v/>
      </c>
      <c r="U32" s="12" t="str">
        <f aca="false">IF(B32="","",ROUND(O32-T32,2))</f>
        <v/>
      </c>
    </row>
    <row r="33" customFormat="false" ht="15" hidden="false" customHeight="false" outlineLevel="0" collapsed="false">
      <c r="A33" s="16"/>
      <c r="B33" s="17"/>
      <c r="C33" s="17"/>
      <c r="D33" s="11"/>
      <c r="E33" s="18" t="str">
        <f aca="false">IF(B33="","",Settings!$B$8)</f>
        <v/>
      </c>
      <c r="F33" s="8"/>
      <c r="G33" s="18" t="str">
        <f aca="false">IF(B33="","",IF(F33&lt;&gt;"",F33,E33))</f>
        <v/>
      </c>
      <c r="H33" s="8"/>
      <c r="I33" s="20"/>
      <c r="J33" s="11"/>
      <c r="K33" s="17"/>
      <c r="L33" s="11"/>
      <c r="M33" s="12" t="str">
        <f aca="false">IF(B33="","",ROUND(D33*G33/100,2))</f>
        <v/>
      </c>
      <c r="N33" s="12" t="str">
        <f aca="false">IF(B33="","",ROUND(M33*H33/100,2))</f>
        <v/>
      </c>
      <c r="O33" s="12" t="str">
        <f aca="false">IF(B33="","",M33-N33)</f>
        <v/>
      </c>
      <c r="P33" s="12" t="str">
        <f aca="false">IF(B33="","",ROUND(I33*Settings!$B$18+J33,2))</f>
        <v/>
      </c>
      <c r="Q33" s="12" t="str">
        <f aca="false">IF(B33="","",ROUND(O33-P33,2))</f>
        <v/>
      </c>
      <c r="R33" s="18" t="str">
        <f aca="false">IF(B33="","",IFERROR(ROUND(Q33/O33*100,2),0))</f>
        <v/>
      </c>
      <c r="S33" s="12" t="str">
        <f aca="false">IF(B33="","",IFERROR(ROUND(O33/I33,2),0))</f>
        <v/>
      </c>
      <c r="T33" s="12" t="str">
        <f aca="false">IF(B33="","",ROUND(O33*Settings!$B$19/100,2))</f>
        <v/>
      </c>
      <c r="U33" s="12" t="str">
        <f aca="false">IF(B33="","",ROUND(O33-T33,2))</f>
        <v/>
      </c>
    </row>
    <row r="34" customFormat="false" ht="15" hidden="false" customHeight="false" outlineLevel="0" collapsed="false">
      <c r="A34" s="16"/>
      <c r="B34" s="17"/>
      <c r="C34" s="17"/>
      <c r="D34" s="11"/>
      <c r="E34" s="18" t="str">
        <f aca="false">IF(B34="","",Settings!$B$8)</f>
        <v/>
      </c>
      <c r="F34" s="8"/>
      <c r="G34" s="18" t="str">
        <f aca="false">IF(B34="","",IF(F34&lt;&gt;"",F34,E34))</f>
        <v/>
      </c>
      <c r="H34" s="8"/>
      <c r="I34" s="20"/>
      <c r="J34" s="11"/>
      <c r="K34" s="17"/>
      <c r="L34" s="11"/>
      <c r="M34" s="12" t="str">
        <f aca="false">IF(B34="","",ROUND(D34*G34/100,2))</f>
        <v/>
      </c>
      <c r="N34" s="12" t="str">
        <f aca="false">IF(B34="","",ROUND(M34*H34/100,2))</f>
        <v/>
      </c>
      <c r="O34" s="12" t="str">
        <f aca="false">IF(B34="","",M34-N34)</f>
        <v/>
      </c>
      <c r="P34" s="12" t="str">
        <f aca="false">IF(B34="","",ROUND(I34*Settings!$B$18+J34,2))</f>
        <v/>
      </c>
      <c r="Q34" s="12" t="str">
        <f aca="false">IF(B34="","",ROUND(O34-P34,2))</f>
        <v/>
      </c>
      <c r="R34" s="18" t="str">
        <f aca="false">IF(B34="","",IFERROR(ROUND(Q34/O34*100,2),0))</f>
        <v/>
      </c>
      <c r="S34" s="12" t="str">
        <f aca="false">IF(B34="","",IFERROR(ROUND(O34/I34,2),0))</f>
        <v/>
      </c>
      <c r="T34" s="12" t="str">
        <f aca="false">IF(B34="","",ROUND(O34*Settings!$B$19/100,2))</f>
        <v/>
      </c>
      <c r="U34" s="12" t="str">
        <f aca="false">IF(B34="","",ROUND(O34-T34,2))</f>
        <v/>
      </c>
    </row>
    <row r="35" customFormat="false" ht="15" hidden="false" customHeight="false" outlineLevel="0" collapsed="false">
      <c r="A35" s="5" t="s">
        <v>102</v>
      </c>
      <c r="B35" s="21" t="n">
        <f aca="false">COUNTA(B5:B34)</f>
        <v>8</v>
      </c>
      <c r="D35" s="13" t="n">
        <f aca="false">SUM(D5:D34)</f>
        <v>427000</v>
      </c>
      <c r="I35" s="22" t="n">
        <f aca="false">SUM(I5:I34)</f>
        <v>315</v>
      </c>
      <c r="J35" s="13" t="n">
        <f aca="false">SUM(J5:J34)</f>
        <v>3200</v>
      </c>
      <c r="L35" s="13" t="n">
        <f aca="false">SUM(L5:L34)</f>
        <v>66100</v>
      </c>
      <c r="M35" s="13" t="n">
        <f aca="false">SUM(M5:M34)</f>
        <v>85500</v>
      </c>
      <c r="N35" s="13" t="n">
        <f aca="false">SUM(N5:N34)</f>
        <v>10450</v>
      </c>
      <c r="O35" s="13" t="n">
        <f aca="false">SUM(O5:O34)</f>
        <v>75050</v>
      </c>
      <c r="P35" s="13" t="n">
        <f aca="false">SUM(P5:P34)</f>
        <v>19476.05</v>
      </c>
      <c r="Q35" s="13" t="n">
        <f aca="false">SUM(Q5:Q34)</f>
        <v>55573.95</v>
      </c>
      <c r="R35" s="14" t="n">
        <f aca="false">IFERROR(ROUND(Q35/O35*100,2),0)</f>
        <v>74.05</v>
      </c>
      <c r="S35" s="13" t="n">
        <f aca="false">IFERROR(ROUND(O35/I35,2),0)</f>
        <v>238.25</v>
      </c>
      <c r="T35" s="13" t="n">
        <f aca="false">SUM(T5:T34)</f>
        <v>6004</v>
      </c>
      <c r="U35" s="13" t="n">
        <f aca="false">SUM(U5:U34)</f>
        <v>69046</v>
      </c>
    </row>
  </sheetData>
  <dataValidations count="1">
    <dataValidation allowBlank="true" errorStyle="stop" operator="between" showDropDown="false" showErrorMessage="false" showInputMessage="false" sqref="K5:K3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10"/>
    <col collapsed="false" customWidth="true" hidden="false" outlineLevel="0" max="5" min="4" style="1" width="11"/>
    <col collapsed="false" customWidth="true" hidden="false" outlineLevel="0" max="6" min="6" style="1" width="10"/>
    <col collapsed="false" customWidth="true" hidden="false" outlineLevel="0" max="8" min="7" style="1" width="11"/>
    <col collapsed="false" customWidth="true" hidden="false" outlineLevel="0" max="9" min="9" style="1" width="10"/>
    <col collapsed="false" customWidth="true" hidden="false" outlineLevel="0" max="10" min="10" style="1" width="11"/>
    <col collapsed="false" customWidth="true" hidden="false" outlineLevel="0" max="11" min="11" style="1" width="10"/>
    <col collapsed="false" customWidth="true" hidden="false" outlineLevel="0" max="12" min="12" style="1" width="8"/>
    <col collapsed="false" customWidth="true" hidden="false" outlineLevel="0" max="15" min="13" style="1" width="11"/>
    <col collapsed="false" customWidth="true" hidden="false" outlineLevel="0" max="16" min="16" style="1" width="10"/>
    <col collapsed="false" customWidth="true" hidden="false" outlineLevel="0" max="18" min="17" style="1" width="12"/>
    <col collapsed="false" customWidth="true" hidden="false" outlineLevel="0" max="20" min="19" style="1" width="13"/>
  </cols>
  <sheetData>
    <row r="1" customFormat="false" ht="17.35" hidden="false" customHeight="false" outlineLevel="0" collapsed="false">
      <c r="A1" s="2" t="s">
        <v>103</v>
      </c>
    </row>
    <row r="2" customFormat="false" ht="15" hidden="false" customHeight="false" outlineLevel="0" collapsed="false">
      <c r="A2" s="3" t="s">
        <v>104</v>
      </c>
    </row>
    <row r="4" customFormat="false" ht="52.2" hidden="false" customHeight="false" outlineLevel="0" collapsed="false">
      <c r="A4" s="15" t="s">
        <v>65</v>
      </c>
      <c r="B4" s="15" t="s">
        <v>105</v>
      </c>
      <c r="C4" s="15" t="s">
        <v>106</v>
      </c>
      <c r="D4" s="15" t="s">
        <v>107</v>
      </c>
      <c r="E4" s="15" t="s">
        <v>108</v>
      </c>
      <c r="F4" s="15" t="s">
        <v>109</v>
      </c>
      <c r="G4" s="15" t="s">
        <v>110</v>
      </c>
      <c r="H4" s="15" t="s">
        <v>111</v>
      </c>
      <c r="I4" s="15" t="s">
        <v>112</v>
      </c>
      <c r="J4" s="15" t="s">
        <v>113</v>
      </c>
      <c r="K4" s="15" t="s">
        <v>114</v>
      </c>
      <c r="L4" s="15" t="s">
        <v>115</v>
      </c>
      <c r="M4" s="15" t="s">
        <v>116</v>
      </c>
      <c r="N4" s="15" t="s">
        <v>117</v>
      </c>
      <c r="O4" s="15" t="s">
        <v>118</v>
      </c>
      <c r="P4" s="15" t="s">
        <v>119</v>
      </c>
      <c r="Q4" s="15" t="s">
        <v>120</v>
      </c>
      <c r="R4" s="15" t="s">
        <v>121</v>
      </c>
      <c r="S4" s="15" t="s">
        <v>122</v>
      </c>
      <c r="T4" s="15" t="s">
        <v>123</v>
      </c>
    </row>
    <row r="5" customFormat="false" ht="15" hidden="false" customHeight="false" outlineLevel="0" collapsed="false">
      <c r="A5" s="17" t="s">
        <v>85</v>
      </c>
      <c r="B5" s="17" t="s">
        <v>124</v>
      </c>
      <c r="C5" s="7" t="n">
        <v>20</v>
      </c>
      <c r="D5" s="18" t="n">
        <f aca="false">IF(A5="","",Settings!$B$9)</f>
        <v>18</v>
      </c>
      <c r="E5" s="8"/>
      <c r="F5" s="18" t="n">
        <f aca="false">IF(A5="","",IF(E5&lt;&gt;"",E5,D5))</f>
        <v>18</v>
      </c>
      <c r="G5" s="18" t="n">
        <f aca="false">IF(A5="","",Settings!$B$10)</f>
        <v>55</v>
      </c>
      <c r="H5" s="8"/>
      <c r="I5" s="18" t="n">
        <f aca="false">IF(A5="","",IF(H5&lt;&gt;"",H5,G5))</f>
        <v>55</v>
      </c>
      <c r="J5" s="11"/>
      <c r="K5" s="20" t="n">
        <v>40</v>
      </c>
      <c r="L5" s="20" t="n">
        <v>12</v>
      </c>
      <c r="M5" s="12" t="n">
        <f aca="false">IF(A5="","",IF(N(J5)&gt;0,J5,ROUND(C5*(1+I5/100),2)))</f>
        <v>31</v>
      </c>
      <c r="N5" s="12" t="n">
        <f aca="false">IF(A5="","",ROUND(C5*(1+F5/100),2))</f>
        <v>23.6</v>
      </c>
      <c r="O5" s="12" t="n">
        <f aca="false">IF(A5="","",ROUND(M5-N5,2))</f>
        <v>7.4</v>
      </c>
      <c r="P5" s="18" t="n">
        <f aca="false">IF(A5="","",IFERROR(ROUND(O5/M5*100,2),0))</f>
        <v>23.87</v>
      </c>
      <c r="Q5" s="12" t="n">
        <f aca="false">IF(A5="","",ROUND(M5*K5,2))</f>
        <v>1240</v>
      </c>
      <c r="R5" s="12" t="n">
        <f aca="false">IF(A5="","",ROUND(O5*K5,2))</f>
        <v>296</v>
      </c>
      <c r="S5" s="12" t="n">
        <f aca="false">IF(A5="","",ROUND(R5*L5,2))</f>
        <v>3552</v>
      </c>
      <c r="T5" s="12" t="n">
        <f aca="false">IF(A5="","",ROUND(Q5*L5,2))</f>
        <v>14880</v>
      </c>
    </row>
    <row r="6" customFormat="false" ht="15" hidden="false" customHeight="false" outlineLevel="0" collapsed="false">
      <c r="A6" s="17" t="s">
        <v>85</v>
      </c>
      <c r="B6" s="17" t="s">
        <v>125</v>
      </c>
      <c r="C6" s="7" t="n">
        <v>22</v>
      </c>
      <c r="D6" s="18" t="n">
        <f aca="false">IF(A6="","",Settings!$B$9)</f>
        <v>18</v>
      </c>
      <c r="E6" s="8"/>
      <c r="F6" s="18" t="n">
        <f aca="false">IF(A6="","",IF(E6&lt;&gt;"",E6,D6))</f>
        <v>18</v>
      </c>
      <c r="G6" s="18" t="n">
        <f aca="false">IF(A6="","",Settings!$B$10)</f>
        <v>55</v>
      </c>
      <c r="H6" s="8"/>
      <c r="I6" s="18" t="n">
        <f aca="false">IF(A6="","",IF(H6&lt;&gt;"",H6,G6))</f>
        <v>55</v>
      </c>
      <c r="J6" s="11"/>
      <c r="K6" s="20" t="n">
        <v>40</v>
      </c>
      <c r="L6" s="20" t="n">
        <v>26</v>
      </c>
      <c r="M6" s="12" t="n">
        <f aca="false">IF(A6="","",IF(N(J6)&gt;0,J6,ROUND(C6*(1+I6/100),2)))</f>
        <v>34.1</v>
      </c>
      <c r="N6" s="12" t="n">
        <f aca="false">IF(A6="","",ROUND(C6*(1+F6/100),2))</f>
        <v>25.96</v>
      </c>
      <c r="O6" s="12" t="n">
        <f aca="false">IF(A6="","",ROUND(M6-N6,2))</f>
        <v>8.14</v>
      </c>
      <c r="P6" s="18" t="n">
        <f aca="false">IF(A6="","",IFERROR(ROUND(O6/M6*100,2),0))</f>
        <v>23.87</v>
      </c>
      <c r="Q6" s="12" t="n">
        <f aca="false">IF(A6="","",ROUND(M6*K6,2))</f>
        <v>1364</v>
      </c>
      <c r="R6" s="12" t="n">
        <f aca="false">IF(A6="","",ROUND(O6*K6,2))</f>
        <v>325.6</v>
      </c>
      <c r="S6" s="12" t="n">
        <f aca="false">IF(A6="","",ROUND(R6*L6,2))</f>
        <v>8465.6</v>
      </c>
      <c r="T6" s="12" t="n">
        <f aca="false">IF(A6="","",ROUND(Q6*L6,2))</f>
        <v>35464</v>
      </c>
    </row>
    <row r="7" customFormat="false" ht="15" hidden="false" customHeight="false" outlineLevel="0" collapsed="false">
      <c r="A7" s="17" t="s">
        <v>88</v>
      </c>
      <c r="B7" s="17" t="s">
        <v>126</v>
      </c>
      <c r="C7" s="7" t="n">
        <v>19</v>
      </c>
      <c r="D7" s="18" t="n">
        <f aca="false">IF(A7="","",Settings!$B$9)</f>
        <v>18</v>
      </c>
      <c r="E7" s="8"/>
      <c r="F7" s="18" t="n">
        <f aca="false">IF(A7="","",IF(E7&lt;&gt;"",E7,D7))</f>
        <v>18</v>
      </c>
      <c r="G7" s="18" t="n">
        <f aca="false">IF(A7="","",Settings!$B$10)</f>
        <v>55</v>
      </c>
      <c r="H7" s="8"/>
      <c r="I7" s="18" t="n">
        <f aca="false">IF(A7="","",IF(H7&lt;&gt;"",H7,G7))</f>
        <v>55</v>
      </c>
      <c r="J7" s="11"/>
      <c r="K7" s="20" t="n">
        <v>30</v>
      </c>
      <c r="L7" s="20" t="n">
        <v>8</v>
      </c>
      <c r="M7" s="12" t="n">
        <f aca="false">IF(A7="","",IF(N(J7)&gt;0,J7,ROUND(C7*(1+I7/100),2)))</f>
        <v>29.45</v>
      </c>
      <c r="N7" s="12" t="n">
        <f aca="false">IF(A7="","",ROUND(C7*(1+F7/100),2))</f>
        <v>22.42</v>
      </c>
      <c r="O7" s="12" t="n">
        <f aca="false">IF(A7="","",ROUND(M7-N7,2))</f>
        <v>7.03</v>
      </c>
      <c r="P7" s="18" t="n">
        <f aca="false">IF(A7="","",IFERROR(ROUND(O7/M7*100,2),0))</f>
        <v>23.87</v>
      </c>
      <c r="Q7" s="12" t="n">
        <f aca="false">IF(A7="","",ROUND(M7*K7,2))</f>
        <v>883.5</v>
      </c>
      <c r="R7" s="12" t="n">
        <f aca="false">IF(A7="","",ROUND(O7*K7,2))</f>
        <v>210.9</v>
      </c>
      <c r="S7" s="12" t="n">
        <f aca="false">IF(A7="","",ROUND(R7*L7,2))</f>
        <v>1687.2</v>
      </c>
      <c r="T7" s="12" t="n">
        <f aca="false">IF(A7="","",ROUND(Q7*L7,2))</f>
        <v>7068</v>
      </c>
    </row>
    <row r="8" customFormat="false" ht="15" hidden="false" customHeight="false" outlineLevel="0" collapsed="false">
      <c r="A8" s="17" t="s">
        <v>90</v>
      </c>
      <c r="B8" s="17" t="s">
        <v>127</v>
      </c>
      <c r="C8" s="7" t="n">
        <v>30</v>
      </c>
      <c r="D8" s="18" t="n">
        <f aca="false">IF(A8="","",Settings!$B$9)</f>
        <v>18</v>
      </c>
      <c r="E8" s="8"/>
      <c r="F8" s="18" t="n">
        <f aca="false">IF(A8="","",IF(E8&lt;&gt;"",E8,D8))</f>
        <v>18</v>
      </c>
      <c r="G8" s="18" t="n">
        <f aca="false">IF(A8="","",Settings!$B$10)</f>
        <v>55</v>
      </c>
      <c r="H8" s="8"/>
      <c r="I8" s="18" t="n">
        <f aca="false">IF(A8="","",IF(H8&lt;&gt;"",H8,G8))</f>
        <v>55</v>
      </c>
      <c r="J8" s="11" t="n">
        <v>44</v>
      </c>
      <c r="K8" s="20" t="n">
        <v>37.5</v>
      </c>
      <c r="L8" s="20" t="n">
        <v>20</v>
      </c>
      <c r="M8" s="12" t="n">
        <f aca="false">IF(A8="","",IF(N(J8)&gt;0,J8,ROUND(C8*(1+I8/100),2)))</f>
        <v>44</v>
      </c>
      <c r="N8" s="12" t="n">
        <f aca="false">IF(A8="","",ROUND(C8*(1+F8/100),2))</f>
        <v>35.4</v>
      </c>
      <c r="O8" s="12" t="n">
        <f aca="false">IF(A8="","",ROUND(M8-N8,2))</f>
        <v>8.6</v>
      </c>
      <c r="P8" s="18" t="n">
        <f aca="false">IF(A8="","",IFERROR(ROUND(O8/M8*100,2),0))</f>
        <v>19.55</v>
      </c>
      <c r="Q8" s="12" t="n">
        <f aca="false">IF(A8="","",ROUND(M8*K8,2))</f>
        <v>1650</v>
      </c>
      <c r="R8" s="12" t="n">
        <f aca="false">IF(A8="","",ROUND(O8*K8,2))</f>
        <v>322.5</v>
      </c>
      <c r="S8" s="12" t="n">
        <f aca="false">IF(A8="","",ROUND(R8*L8,2))</f>
        <v>6450</v>
      </c>
      <c r="T8" s="12" t="n">
        <f aca="false">IF(A8="","",ROUND(Q8*L8,2))</f>
        <v>33000</v>
      </c>
    </row>
    <row r="9" customFormat="false" ht="15" hidden="false" customHeight="false" outlineLevel="0" collapsed="false">
      <c r="A9" s="17" t="s">
        <v>92</v>
      </c>
      <c r="B9" s="17" t="s">
        <v>128</v>
      </c>
      <c r="C9" s="7" t="n">
        <v>18</v>
      </c>
      <c r="D9" s="18" t="n">
        <f aca="false">IF(A9="","",Settings!$B$9)</f>
        <v>18</v>
      </c>
      <c r="E9" s="8"/>
      <c r="F9" s="18" t="n">
        <f aca="false">IF(A9="","",IF(E9&lt;&gt;"",E9,D9))</f>
        <v>18</v>
      </c>
      <c r="G9" s="18" t="n">
        <f aca="false">IF(A9="","",Settings!$B$10)</f>
        <v>55</v>
      </c>
      <c r="H9" s="8"/>
      <c r="I9" s="18" t="n">
        <f aca="false">IF(A9="","",IF(H9&lt;&gt;"",H9,G9))</f>
        <v>55</v>
      </c>
      <c r="J9" s="11"/>
      <c r="K9" s="20" t="n">
        <v>40</v>
      </c>
      <c r="L9" s="20" t="n">
        <v>16</v>
      </c>
      <c r="M9" s="12" t="n">
        <f aca="false">IF(A9="","",IF(N(J9)&gt;0,J9,ROUND(C9*(1+I9/100),2)))</f>
        <v>27.9</v>
      </c>
      <c r="N9" s="12" t="n">
        <f aca="false">IF(A9="","",ROUND(C9*(1+F9/100),2))</f>
        <v>21.24</v>
      </c>
      <c r="O9" s="12" t="n">
        <f aca="false">IF(A9="","",ROUND(M9-N9,2))</f>
        <v>6.66</v>
      </c>
      <c r="P9" s="18" t="n">
        <f aca="false">IF(A9="","",IFERROR(ROUND(O9/M9*100,2),0))</f>
        <v>23.87</v>
      </c>
      <c r="Q9" s="12" t="n">
        <f aca="false">IF(A9="","",ROUND(M9*K9,2))</f>
        <v>1116</v>
      </c>
      <c r="R9" s="12" t="n">
        <f aca="false">IF(A9="","",ROUND(O9*K9,2))</f>
        <v>266.4</v>
      </c>
      <c r="S9" s="12" t="n">
        <f aca="false">IF(A9="","",ROUND(R9*L9,2))</f>
        <v>4262.4</v>
      </c>
      <c r="T9" s="12" t="n">
        <f aca="false">IF(A9="","",ROUND(Q9*L9,2))</f>
        <v>17856</v>
      </c>
    </row>
    <row r="10" customFormat="false" ht="15" hidden="false" customHeight="false" outlineLevel="0" collapsed="false">
      <c r="A10" s="17" t="s">
        <v>94</v>
      </c>
      <c r="B10" s="17" t="s">
        <v>129</v>
      </c>
      <c r="C10" s="7" t="n">
        <v>45</v>
      </c>
      <c r="D10" s="18" t="n">
        <f aca="false">IF(A10="","",Settings!$B$9)</f>
        <v>18</v>
      </c>
      <c r="E10" s="8" t="n">
        <v>12</v>
      </c>
      <c r="F10" s="18" t="n">
        <f aca="false">IF(A10="","",IF(E10&lt;&gt;"",E10,D10))</f>
        <v>12</v>
      </c>
      <c r="G10" s="18" t="n">
        <f aca="false">IF(A10="","",Settings!$B$10)</f>
        <v>55</v>
      </c>
      <c r="H10" s="8" t="n">
        <v>40</v>
      </c>
      <c r="I10" s="18" t="n">
        <f aca="false">IF(A10="","",IF(H10&lt;&gt;"",H10,G10))</f>
        <v>40</v>
      </c>
      <c r="J10" s="11"/>
      <c r="K10" s="20" t="n">
        <v>37.5</v>
      </c>
      <c r="L10" s="20" t="n">
        <v>24</v>
      </c>
      <c r="M10" s="12" t="n">
        <f aca="false">IF(A10="","",IF(N(J10)&gt;0,J10,ROUND(C10*(1+I10/100),2)))</f>
        <v>63</v>
      </c>
      <c r="N10" s="12" t="n">
        <f aca="false">IF(A10="","",ROUND(C10*(1+F10/100),2))</f>
        <v>50.4</v>
      </c>
      <c r="O10" s="12" t="n">
        <f aca="false">IF(A10="","",ROUND(M10-N10,2))</f>
        <v>12.6</v>
      </c>
      <c r="P10" s="18" t="n">
        <f aca="false">IF(A10="","",IFERROR(ROUND(O10/M10*100,2),0))</f>
        <v>20</v>
      </c>
      <c r="Q10" s="12" t="n">
        <f aca="false">IF(A10="","",ROUND(M10*K10,2))</f>
        <v>2362.5</v>
      </c>
      <c r="R10" s="12" t="n">
        <f aca="false">IF(A10="","",ROUND(O10*K10,2))</f>
        <v>472.5</v>
      </c>
      <c r="S10" s="12" t="n">
        <f aca="false">IF(A10="","",ROUND(R10*L10,2))</f>
        <v>11340</v>
      </c>
      <c r="T10" s="12" t="n">
        <f aca="false">IF(A10="","",ROUND(Q10*L10,2))</f>
        <v>56700</v>
      </c>
    </row>
    <row r="11" customFormat="false" ht="15" hidden="false" customHeight="false" outlineLevel="0" collapsed="false">
      <c r="A11" s="17" t="s">
        <v>99</v>
      </c>
      <c r="B11" s="17" t="s">
        <v>130</v>
      </c>
      <c r="C11" s="7" t="n">
        <v>25</v>
      </c>
      <c r="D11" s="18" t="n">
        <f aca="false">IF(A11="","",Settings!$B$9)</f>
        <v>18</v>
      </c>
      <c r="E11" s="8"/>
      <c r="F11" s="18" t="n">
        <f aca="false">IF(A11="","",IF(E11&lt;&gt;"",E11,D11))</f>
        <v>18</v>
      </c>
      <c r="G11" s="18" t="n">
        <f aca="false">IF(A11="","",Settings!$B$10)</f>
        <v>55</v>
      </c>
      <c r="H11" s="8" t="n">
        <v>25</v>
      </c>
      <c r="I11" s="18" t="n">
        <f aca="false">IF(A11="","",IF(H11&lt;&gt;"",H11,G11))</f>
        <v>25</v>
      </c>
      <c r="J11" s="11"/>
      <c r="K11" s="20" t="n">
        <v>35</v>
      </c>
      <c r="L11" s="20" t="n">
        <v>10</v>
      </c>
      <c r="M11" s="12" t="n">
        <f aca="false">IF(A11="","",IF(N(J11)&gt;0,J11,ROUND(C11*(1+I11/100),2)))</f>
        <v>31.25</v>
      </c>
      <c r="N11" s="12" t="n">
        <f aca="false">IF(A11="","",ROUND(C11*(1+F11/100),2))</f>
        <v>29.5</v>
      </c>
      <c r="O11" s="12" t="n">
        <f aca="false">IF(A11="","",ROUND(M11-N11,2))</f>
        <v>1.75</v>
      </c>
      <c r="P11" s="18" t="n">
        <f aca="false">IF(A11="","",IFERROR(ROUND(O11/M11*100,2),0))</f>
        <v>5.6</v>
      </c>
      <c r="Q11" s="12" t="n">
        <f aca="false">IF(A11="","",ROUND(M11*K11,2))</f>
        <v>1093.75</v>
      </c>
      <c r="R11" s="12" t="n">
        <f aca="false">IF(A11="","",ROUND(O11*K11,2))</f>
        <v>61.25</v>
      </c>
      <c r="S11" s="12" t="n">
        <f aca="false">IF(A11="","",ROUND(R11*L11,2))</f>
        <v>612.5</v>
      </c>
      <c r="T11" s="12" t="n">
        <f aca="false">IF(A11="","",ROUND(Q11*L11,2))</f>
        <v>10937.5</v>
      </c>
    </row>
    <row r="12" customFormat="false" ht="15" hidden="false" customHeight="false" outlineLevel="0" collapsed="false">
      <c r="A12" s="17" t="s">
        <v>96</v>
      </c>
      <c r="B12" s="17" t="s">
        <v>131</v>
      </c>
      <c r="C12" s="7" t="n">
        <v>24</v>
      </c>
      <c r="D12" s="18" t="n">
        <f aca="false">IF(A12="","",Settings!$B$9)</f>
        <v>18</v>
      </c>
      <c r="E12" s="8"/>
      <c r="F12" s="18" t="n">
        <f aca="false">IF(A12="","",IF(E12&lt;&gt;"",E12,D12))</f>
        <v>18</v>
      </c>
      <c r="G12" s="18" t="n">
        <f aca="false">IF(A12="","",Settings!$B$10)</f>
        <v>55</v>
      </c>
      <c r="H12" s="8"/>
      <c r="I12" s="18" t="n">
        <f aca="false">IF(A12="","",IF(H12&lt;&gt;"",H12,G12))</f>
        <v>55</v>
      </c>
      <c r="J12" s="11"/>
      <c r="K12" s="20" t="n">
        <v>37.5</v>
      </c>
      <c r="L12" s="20" t="n">
        <v>6</v>
      </c>
      <c r="M12" s="12" t="n">
        <f aca="false">IF(A12="","",IF(N(J12)&gt;0,J12,ROUND(C12*(1+I12/100),2)))</f>
        <v>37.2</v>
      </c>
      <c r="N12" s="12" t="n">
        <f aca="false">IF(A12="","",ROUND(C12*(1+F12/100),2))</f>
        <v>28.32</v>
      </c>
      <c r="O12" s="12" t="n">
        <f aca="false">IF(A12="","",ROUND(M12-N12,2))</f>
        <v>8.88</v>
      </c>
      <c r="P12" s="18" t="n">
        <f aca="false">IF(A12="","",IFERROR(ROUND(O12/M12*100,2),0))</f>
        <v>23.87</v>
      </c>
      <c r="Q12" s="12" t="n">
        <f aca="false">IF(A12="","",ROUND(M12*K12,2))</f>
        <v>1395</v>
      </c>
      <c r="R12" s="12" t="n">
        <f aca="false">IF(A12="","",ROUND(O12*K12,2))</f>
        <v>333</v>
      </c>
      <c r="S12" s="12" t="n">
        <f aca="false">IF(A12="","",ROUND(R12*L12,2))</f>
        <v>1998</v>
      </c>
      <c r="T12" s="12" t="n">
        <f aca="false">IF(A12="","",ROUND(Q12*L12,2))</f>
        <v>8370</v>
      </c>
    </row>
    <row r="13" customFormat="false" ht="15" hidden="false" customHeight="false" outlineLevel="0" collapsed="false">
      <c r="A13" s="17"/>
      <c r="B13" s="17"/>
      <c r="C13" s="11"/>
      <c r="D13" s="18" t="str">
        <f aca="false">IF(A13="","",Settings!$B$9)</f>
        <v/>
      </c>
      <c r="E13" s="8"/>
      <c r="F13" s="18" t="str">
        <f aca="false">IF(A13="","",IF(E13&lt;&gt;"",E13,D13))</f>
        <v/>
      </c>
      <c r="G13" s="18" t="str">
        <f aca="false">IF(A13="","",Settings!$B$10)</f>
        <v/>
      </c>
      <c r="H13" s="8"/>
      <c r="I13" s="18" t="str">
        <f aca="false">IF(A13="","",IF(H13&lt;&gt;"",H13,G13))</f>
        <v/>
      </c>
      <c r="J13" s="11"/>
      <c r="K13" s="20"/>
      <c r="L13" s="20"/>
      <c r="M13" s="12" t="str">
        <f aca="false">IF(A13="","",IF(N(J13)&gt;0,J13,ROUND(C13*(1+I13/100),2)))</f>
        <v/>
      </c>
      <c r="N13" s="12" t="str">
        <f aca="false">IF(A13="","",ROUND(C13*(1+F13/100),2))</f>
        <v/>
      </c>
      <c r="O13" s="12" t="str">
        <f aca="false">IF(A13="","",ROUND(M13-N13,2))</f>
        <v/>
      </c>
      <c r="P13" s="18" t="str">
        <f aca="false">IF(A13="","",IFERROR(ROUND(O13/M13*100,2),0))</f>
        <v/>
      </c>
      <c r="Q13" s="12" t="str">
        <f aca="false">IF(A13="","",ROUND(M13*K13,2))</f>
        <v/>
      </c>
      <c r="R13" s="12" t="str">
        <f aca="false">IF(A13="","",ROUND(O13*K13,2))</f>
        <v/>
      </c>
      <c r="S13" s="12" t="str">
        <f aca="false">IF(A13="","",ROUND(R13*L13,2))</f>
        <v/>
      </c>
      <c r="T13" s="12" t="str">
        <f aca="false">IF(A13="","",ROUND(Q13*L13,2))</f>
        <v/>
      </c>
    </row>
    <row r="14" customFormat="false" ht="15" hidden="false" customHeight="false" outlineLevel="0" collapsed="false">
      <c r="A14" s="17"/>
      <c r="B14" s="17"/>
      <c r="C14" s="11"/>
      <c r="D14" s="18" t="str">
        <f aca="false">IF(A14="","",Settings!$B$9)</f>
        <v/>
      </c>
      <c r="E14" s="8"/>
      <c r="F14" s="18" t="str">
        <f aca="false">IF(A14="","",IF(E14&lt;&gt;"",E14,D14))</f>
        <v/>
      </c>
      <c r="G14" s="18" t="str">
        <f aca="false">IF(A14="","",Settings!$B$10)</f>
        <v/>
      </c>
      <c r="H14" s="8"/>
      <c r="I14" s="18" t="str">
        <f aca="false">IF(A14="","",IF(H14&lt;&gt;"",H14,G14))</f>
        <v/>
      </c>
      <c r="J14" s="11"/>
      <c r="K14" s="20"/>
      <c r="L14" s="20"/>
      <c r="M14" s="12" t="str">
        <f aca="false">IF(A14="","",IF(N(J14)&gt;0,J14,ROUND(C14*(1+I14/100),2)))</f>
        <v/>
      </c>
      <c r="N14" s="12" t="str">
        <f aca="false">IF(A14="","",ROUND(C14*(1+F14/100),2))</f>
        <v/>
      </c>
      <c r="O14" s="12" t="str">
        <f aca="false">IF(A14="","",ROUND(M14-N14,2))</f>
        <v/>
      </c>
      <c r="P14" s="18" t="str">
        <f aca="false">IF(A14="","",IFERROR(ROUND(O14/M14*100,2),0))</f>
        <v/>
      </c>
      <c r="Q14" s="12" t="str">
        <f aca="false">IF(A14="","",ROUND(M14*K14,2))</f>
        <v/>
      </c>
      <c r="R14" s="12" t="str">
        <f aca="false">IF(A14="","",ROUND(O14*K14,2))</f>
        <v/>
      </c>
      <c r="S14" s="12" t="str">
        <f aca="false">IF(A14="","",ROUND(R14*L14,2))</f>
        <v/>
      </c>
      <c r="T14" s="12" t="str">
        <f aca="false">IF(A14="","",ROUND(Q14*L14,2))</f>
        <v/>
      </c>
    </row>
    <row r="15" customFormat="false" ht="15" hidden="false" customHeight="false" outlineLevel="0" collapsed="false">
      <c r="A15" s="17"/>
      <c r="B15" s="17"/>
      <c r="C15" s="11"/>
      <c r="D15" s="18" t="str">
        <f aca="false">IF(A15="","",Settings!$B$9)</f>
        <v/>
      </c>
      <c r="E15" s="8"/>
      <c r="F15" s="18" t="str">
        <f aca="false">IF(A15="","",IF(E15&lt;&gt;"",E15,D15))</f>
        <v/>
      </c>
      <c r="G15" s="18" t="str">
        <f aca="false">IF(A15="","",Settings!$B$10)</f>
        <v/>
      </c>
      <c r="H15" s="8"/>
      <c r="I15" s="18" t="str">
        <f aca="false">IF(A15="","",IF(H15&lt;&gt;"",H15,G15))</f>
        <v/>
      </c>
      <c r="J15" s="11"/>
      <c r="K15" s="20"/>
      <c r="L15" s="20"/>
      <c r="M15" s="12" t="str">
        <f aca="false">IF(A15="","",IF(N(J15)&gt;0,J15,ROUND(C15*(1+I15/100),2)))</f>
        <v/>
      </c>
      <c r="N15" s="12" t="str">
        <f aca="false">IF(A15="","",ROUND(C15*(1+F15/100),2))</f>
        <v/>
      </c>
      <c r="O15" s="12" t="str">
        <f aca="false">IF(A15="","",ROUND(M15-N15,2))</f>
        <v/>
      </c>
      <c r="P15" s="18" t="str">
        <f aca="false">IF(A15="","",IFERROR(ROUND(O15/M15*100,2),0))</f>
        <v/>
      </c>
      <c r="Q15" s="12" t="str">
        <f aca="false">IF(A15="","",ROUND(M15*K15,2))</f>
        <v/>
      </c>
      <c r="R15" s="12" t="str">
        <f aca="false">IF(A15="","",ROUND(O15*K15,2))</f>
        <v/>
      </c>
      <c r="S15" s="12" t="str">
        <f aca="false">IF(A15="","",ROUND(R15*L15,2))</f>
        <v/>
      </c>
      <c r="T15" s="12" t="str">
        <f aca="false">IF(A15="","",ROUND(Q15*L15,2))</f>
        <v/>
      </c>
    </row>
    <row r="16" customFormat="false" ht="15" hidden="false" customHeight="false" outlineLevel="0" collapsed="false">
      <c r="A16" s="17"/>
      <c r="B16" s="17"/>
      <c r="C16" s="11"/>
      <c r="D16" s="18" t="str">
        <f aca="false">IF(A16="","",Settings!$B$9)</f>
        <v/>
      </c>
      <c r="E16" s="8"/>
      <c r="F16" s="18" t="str">
        <f aca="false">IF(A16="","",IF(E16&lt;&gt;"",E16,D16))</f>
        <v/>
      </c>
      <c r="G16" s="18" t="str">
        <f aca="false">IF(A16="","",Settings!$B$10)</f>
        <v/>
      </c>
      <c r="H16" s="8"/>
      <c r="I16" s="18" t="str">
        <f aca="false">IF(A16="","",IF(H16&lt;&gt;"",H16,G16))</f>
        <v/>
      </c>
      <c r="J16" s="11"/>
      <c r="K16" s="20"/>
      <c r="L16" s="20"/>
      <c r="M16" s="12" t="str">
        <f aca="false">IF(A16="","",IF(N(J16)&gt;0,J16,ROUND(C16*(1+I16/100),2)))</f>
        <v/>
      </c>
      <c r="N16" s="12" t="str">
        <f aca="false">IF(A16="","",ROUND(C16*(1+F16/100),2))</f>
        <v/>
      </c>
      <c r="O16" s="12" t="str">
        <f aca="false">IF(A16="","",ROUND(M16-N16,2))</f>
        <v/>
      </c>
      <c r="P16" s="18" t="str">
        <f aca="false">IF(A16="","",IFERROR(ROUND(O16/M16*100,2),0))</f>
        <v/>
      </c>
      <c r="Q16" s="12" t="str">
        <f aca="false">IF(A16="","",ROUND(M16*K16,2))</f>
        <v/>
      </c>
      <c r="R16" s="12" t="str">
        <f aca="false">IF(A16="","",ROUND(O16*K16,2))</f>
        <v/>
      </c>
      <c r="S16" s="12" t="str">
        <f aca="false">IF(A16="","",ROUND(R16*L16,2))</f>
        <v/>
      </c>
      <c r="T16" s="12" t="str">
        <f aca="false">IF(A16="","",ROUND(Q16*L16,2))</f>
        <v/>
      </c>
    </row>
    <row r="17" customFormat="false" ht="15" hidden="false" customHeight="false" outlineLevel="0" collapsed="false">
      <c r="A17" s="17"/>
      <c r="B17" s="17"/>
      <c r="C17" s="11"/>
      <c r="D17" s="18" t="str">
        <f aca="false">IF(A17="","",Settings!$B$9)</f>
        <v/>
      </c>
      <c r="E17" s="8"/>
      <c r="F17" s="18" t="str">
        <f aca="false">IF(A17="","",IF(E17&lt;&gt;"",E17,D17))</f>
        <v/>
      </c>
      <c r="G17" s="18" t="str">
        <f aca="false">IF(A17="","",Settings!$B$10)</f>
        <v/>
      </c>
      <c r="H17" s="8"/>
      <c r="I17" s="18" t="str">
        <f aca="false">IF(A17="","",IF(H17&lt;&gt;"",H17,G17))</f>
        <v/>
      </c>
      <c r="J17" s="11"/>
      <c r="K17" s="20"/>
      <c r="L17" s="20"/>
      <c r="M17" s="12" t="str">
        <f aca="false">IF(A17="","",IF(N(J17)&gt;0,J17,ROUND(C17*(1+I17/100),2)))</f>
        <v/>
      </c>
      <c r="N17" s="12" t="str">
        <f aca="false">IF(A17="","",ROUND(C17*(1+F17/100),2))</f>
        <v/>
      </c>
      <c r="O17" s="12" t="str">
        <f aca="false">IF(A17="","",ROUND(M17-N17,2))</f>
        <v/>
      </c>
      <c r="P17" s="18" t="str">
        <f aca="false">IF(A17="","",IFERROR(ROUND(O17/M17*100,2),0))</f>
        <v/>
      </c>
      <c r="Q17" s="12" t="str">
        <f aca="false">IF(A17="","",ROUND(M17*K17,2))</f>
        <v/>
      </c>
      <c r="R17" s="12" t="str">
        <f aca="false">IF(A17="","",ROUND(O17*K17,2))</f>
        <v/>
      </c>
      <c r="S17" s="12" t="str">
        <f aca="false">IF(A17="","",ROUND(R17*L17,2))</f>
        <v/>
      </c>
      <c r="T17" s="12" t="str">
        <f aca="false">IF(A17="","",ROUND(Q17*L17,2))</f>
        <v/>
      </c>
    </row>
    <row r="18" customFormat="false" ht="15" hidden="false" customHeight="false" outlineLevel="0" collapsed="false">
      <c r="A18" s="17"/>
      <c r="B18" s="17"/>
      <c r="C18" s="11"/>
      <c r="D18" s="18" t="str">
        <f aca="false">IF(A18="","",Settings!$B$9)</f>
        <v/>
      </c>
      <c r="E18" s="8"/>
      <c r="F18" s="18" t="str">
        <f aca="false">IF(A18="","",IF(E18&lt;&gt;"",E18,D18))</f>
        <v/>
      </c>
      <c r="G18" s="18" t="str">
        <f aca="false">IF(A18="","",Settings!$B$10)</f>
        <v/>
      </c>
      <c r="H18" s="8"/>
      <c r="I18" s="18" t="str">
        <f aca="false">IF(A18="","",IF(H18&lt;&gt;"",H18,G18))</f>
        <v/>
      </c>
      <c r="J18" s="11"/>
      <c r="K18" s="20"/>
      <c r="L18" s="20"/>
      <c r="M18" s="12" t="str">
        <f aca="false">IF(A18="","",IF(N(J18)&gt;0,J18,ROUND(C18*(1+I18/100),2)))</f>
        <v/>
      </c>
      <c r="N18" s="12" t="str">
        <f aca="false">IF(A18="","",ROUND(C18*(1+F18/100),2))</f>
        <v/>
      </c>
      <c r="O18" s="12" t="str">
        <f aca="false">IF(A18="","",ROUND(M18-N18,2))</f>
        <v/>
      </c>
      <c r="P18" s="18" t="str">
        <f aca="false">IF(A18="","",IFERROR(ROUND(O18/M18*100,2),0))</f>
        <v/>
      </c>
      <c r="Q18" s="12" t="str">
        <f aca="false">IF(A18="","",ROUND(M18*K18,2))</f>
        <v/>
      </c>
      <c r="R18" s="12" t="str">
        <f aca="false">IF(A18="","",ROUND(O18*K18,2))</f>
        <v/>
      </c>
      <c r="S18" s="12" t="str">
        <f aca="false">IF(A18="","",ROUND(R18*L18,2))</f>
        <v/>
      </c>
      <c r="T18" s="12" t="str">
        <f aca="false">IF(A18="","",ROUND(Q18*L18,2))</f>
        <v/>
      </c>
    </row>
    <row r="19" customFormat="false" ht="15" hidden="false" customHeight="false" outlineLevel="0" collapsed="false">
      <c r="A19" s="17"/>
      <c r="B19" s="17"/>
      <c r="C19" s="11"/>
      <c r="D19" s="18" t="str">
        <f aca="false">IF(A19="","",Settings!$B$9)</f>
        <v/>
      </c>
      <c r="E19" s="8"/>
      <c r="F19" s="18" t="str">
        <f aca="false">IF(A19="","",IF(E19&lt;&gt;"",E19,D19))</f>
        <v/>
      </c>
      <c r="G19" s="18" t="str">
        <f aca="false">IF(A19="","",Settings!$B$10)</f>
        <v/>
      </c>
      <c r="H19" s="8"/>
      <c r="I19" s="18" t="str">
        <f aca="false">IF(A19="","",IF(H19&lt;&gt;"",H19,G19))</f>
        <v/>
      </c>
      <c r="J19" s="11"/>
      <c r="K19" s="20"/>
      <c r="L19" s="20"/>
      <c r="M19" s="12" t="str">
        <f aca="false">IF(A19="","",IF(N(J19)&gt;0,J19,ROUND(C19*(1+I19/100),2)))</f>
        <v/>
      </c>
      <c r="N19" s="12" t="str">
        <f aca="false">IF(A19="","",ROUND(C19*(1+F19/100),2))</f>
        <v/>
      </c>
      <c r="O19" s="12" t="str">
        <f aca="false">IF(A19="","",ROUND(M19-N19,2))</f>
        <v/>
      </c>
      <c r="P19" s="18" t="str">
        <f aca="false">IF(A19="","",IFERROR(ROUND(O19/M19*100,2),0))</f>
        <v/>
      </c>
      <c r="Q19" s="12" t="str">
        <f aca="false">IF(A19="","",ROUND(M19*K19,2))</f>
        <v/>
      </c>
      <c r="R19" s="12" t="str">
        <f aca="false">IF(A19="","",ROUND(O19*K19,2))</f>
        <v/>
      </c>
      <c r="S19" s="12" t="str">
        <f aca="false">IF(A19="","",ROUND(R19*L19,2))</f>
        <v/>
      </c>
      <c r="T19" s="12" t="str">
        <f aca="false">IF(A19="","",ROUND(Q19*L19,2))</f>
        <v/>
      </c>
    </row>
    <row r="20" customFormat="false" ht="15" hidden="false" customHeight="false" outlineLevel="0" collapsed="false">
      <c r="A20" s="17"/>
      <c r="B20" s="17"/>
      <c r="C20" s="11"/>
      <c r="D20" s="18" t="str">
        <f aca="false">IF(A20="","",Settings!$B$9)</f>
        <v/>
      </c>
      <c r="E20" s="8"/>
      <c r="F20" s="18" t="str">
        <f aca="false">IF(A20="","",IF(E20&lt;&gt;"",E20,D20))</f>
        <v/>
      </c>
      <c r="G20" s="18" t="str">
        <f aca="false">IF(A20="","",Settings!$B$10)</f>
        <v/>
      </c>
      <c r="H20" s="8"/>
      <c r="I20" s="18" t="str">
        <f aca="false">IF(A20="","",IF(H20&lt;&gt;"",H20,G20))</f>
        <v/>
      </c>
      <c r="J20" s="11"/>
      <c r="K20" s="20"/>
      <c r="L20" s="20"/>
      <c r="M20" s="12" t="str">
        <f aca="false">IF(A20="","",IF(N(J20)&gt;0,J20,ROUND(C20*(1+I20/100),2)))</f>
        <v/>
      </c>
      <c r="N20" s="12" t="str">
        <f aca="false">IF(A20="","",ROUND(C20*(1+F20/100),2))</f>
        <v/>
      </c>
      <c r="O20" s="12" t="str">
        <f aca="false">IF(A20="","",ROUND(M20-N20,2))</f>
        <v/>
      </c>
      <c r="P20" s="18" t="str">
        <f aca="false">IF(A20="","",IFERROR(ROUND(O20/M20*100,2),0))</f>
        <v/>
      </c>
      <c r="Q20" s="12" t="str">
        <f aca="false">IF(A20="","",ROUND(M20*K20,2))</f>
        <v/>
      </c>
      <c r="R20" s="12" t="str">
        <f aca="false">IF(A20="","",ROUND(O20*K20,2))</f>
        <v/>
      </c>
      <c r="S20" s="12" t="str">
        <f aca="false">IF(A20="","",ROUND(R20*L20,2))</f>
        <v/>
      </c>
      <c r="T20" s="12" t="str">
        <f aca="false">IF(A20="","",ROUND(Q20*L20,2))</f>
        <v/>
      </c>
    </row>
    <row r="21" customFormat="false" ht="15" hidden="false" customHeight="false" outlineLevel="0" collapsed="false">
      <c r="A21" s="17"/>
      <c r="B21" s="17"/>
      <c r="C21" s="11"/>
      <c r="D21" s="18" t="str">
        <f aca="false">IF(A21="","",Settings!$B$9)</f>
        <v/>
      </c>
      <c r="E21" s="8"/>
      <c r="F21" s="18" t="str">
        <f aca="false">IF(A21="","",IF(E21&lt;&gt;"",E21,D21))</f>
        <v/>
      </c>
      <c r="G21" s="18" t="str">
        <f aca="false">IF(A21="","",Settings!$B$10)</f>
        <v/>
      </c>
      <c r="H21" s="8"/>
      <c r="I21" s="18" t="str">
        <f aca="false">IF(A21="","",IF(H21&lt;&gt;"",H21,G21))</f>
        <v/>
      </c>
      <c r="J21" s="11"/>
      <c r="K21" s="20"/>
      <c r="L21" s="20"/>
      <c r="M21" s="12" t="str">
        <f aca="false">IF(A21="","",IF(N(J21)&gt;0,J21,ROUND(C21*(1+I21/100),2)))</f>
        <v/>
      </c>
      <c r="N21" s="12" t="str">
        <f aca="false">IF(A21="","",ROUND(C21*(1+F21/100),2))</f>
        <v/>
      </c>
      <c r="O21" s="12" t="str">
        <f aca="false">IF(A21="","",ROUND(M21-N21,2))</f>
        <v/>
      </c>
      <c r="P21" s="18" t="str">
        <f aca="false">IF(A21="","",IFERROR(ROUND(O21/M21*100,2),0))</f>
        <v/>
      </c>
      <c r="Q21" s="12" t="str">
        <f aca="false">IF(A21="","",ROUND(M21*K21,2))</f>
        <v/>
      </c>
      <c r="R21" s="12" t="str">
        <f aca="false">IF(A21="","",ROUND(O21*K21,2))</f>
        <v/>
      </c>
      <c r="S21" s="12" t="str">
        <f aca="false">IF(A21="","",ROUND(R21*L21,2))</f>
        <v/>
      </c>
      <c r="T21" s="12" t="str">
        <f aca="false">IF(A21="","",ROUND(Q21*L21,2))</f>
        <v/>
      </c>
    </row>
    <row r="22" customFormat="false" ht="15" hidden="false" customHeight="false" outlineLevel="0" collapsed="false">
      <c r="A22" s="17"/>
      <c r="B22" s="17"/>
      <c r="C22" s="11"/>
      <c r="D22" s="18" t="str">
        <f aca="false">IF(A22="","",Settings!$B$9)</f>
        <v/>
      </c>
      <c r="E22" s="8"/>
      <c r="F22" s="18" t="str">
        <f aca="false">IF(A22="","",IF(E22&lt;&gt;"",E22,D22))</f>
        <v/>
      </c>
      <c r="G22" s="18" t="str">
        <f aca="false">IF(A22="","",Settings!$B$10)</f>
        <v/>
      </c>
      <c r="H22" s="8"/>
      <c r="I22" s="18" t="str">
        <f aca="false">IF(A22="","",IF(H22&lt;&gt;"",H22,G22))</f>
        <v/>
      </c>
      <c r="J22" s="11"/>
      <c r="K22" s="20"/>
      <c r="L22" s="20"/>
      <c r="M22" s="12" t="str">
        <f aca="false">IF(A22="","",IF(N(J22)&gt;0,J22,ROUND(C22*(1+I22/100),2)))</f>
        <v/>
      </c>
      <c r="N22" s="12" t="str">
        <f aca="false">IF(A22="","",ROUND(C22*(1+F22/100),2))</f>
        <v/>
      </c>
      <c r="O22" s="12" t="str">
        <f aca="false">IF(A22="","",ROUND(M22-N22,2))</f>
        <v/>
      </c>
      <c r="P22" s="18" t="str">
        <f aca="false">IF(A22="","",IFERROR(ROUND(O22/M22*100,2),0))</f>
        <v/>
      </c>
      <c r="Q22" s="12" t="str">
        <f aca="false">IF(A22="","",ROUND(M22*K22,2))</f>
        <v/>
      </c>
      <c r="R22" s="12" t="str">
        <f aca="false">IF(A22="","",ROUND(O22*K22,2))</f>
        <v/>
      </c>
      <c r="S22" s="12" t="str">
        <f aca="false">IF(A22="","",ROUND(R22*L22,2))</f>
        <v/>
      </c>
      <c r="T22" s="12" t="str">
        <f aca="false">IF(A22="","",ROUND(Q22*L22,2))</f>
        <v/>
      </c>
    </row>
    <row r="23" customFormat="false" ht="15" hidden="false" customHeight="false" outlineLevel="0" collapsed="false">
      <c r="A23" s="17"/>
      <c r="B23" s="17"/>
      <c r="C23" s="11"/>
      <c r="D23" s="18" t="str">
        <f aca="false">IF(A23="","",Settings!$B$9)</f>
        <v/>
      </c>
      <c r="E23" s="8"/>
      <c r="F23" s="18" t="str">
        <f aca="false">IF(A23="","",IF(E23&lt;&gt;"",E23,D23))</f>
        <v/>
      </c>
      <c r="G23" s="18" t="str">
        <f aca="false">IF(A23="","",Settings!$B$10)</f>
        <v/>
      </c>
      <c r="H23" s="8"/>
      <c r="I23" s="18" t="str">
        <f aca="false">IF(A23="","",IF(H23&lt;&gt;"",H23,G23))</f>
        <v/>
      </c>
      <c r="J23" s="11"/>
      <c r="K23" s="20"/>
      <c r="L23" s="20"/>
      <c r="M23" s="12" t="str">
        <f aca="false">IF(A23="","",IF(N(J23)&gt;0,J23,ROUND(C23*(1+I23/100),2)))</f>
        <v/>
      </c>
      <c r="N23" s="12" t="str">
        <f aca="false">IF(A23="","",ROUND(C23*(1+F23/100),2))</f>
        <v/>
      </c>
      <c r="O23" s="12" t="str">
        <f aca="false">IF(A23="","",ROUND(M23-N23,2))</f>
        <v/>
      </c>
      <c r="P23" s="18" t="str">
        <f aca="false">IF(A23="","",IFERROR(ROUND(O23/M23*100,2),0))</f>
        <v/>
      </c>
      <c r="Q23" s="12" t="str">
        <f aca="false">IF(A23="","",ROUND(M23*K23,2))</f>
        <v/>
      </c>
      <c r="R23" s="12" t="str">
        <f aca="false">IF(A23="","",ROUND(O23*K23,2))</f>
        <v/>
      </c>
      <c r="S23" s="12" t="str">
        <f aca="false">IF(A23="","",ROUND(R23*L23,2))</f>
        <v/>
      </c>
      <c r="T23" s="12" t="str">
        <f aca="false">IF(A23="","",ROUND(Q23*L23,2))</f>
        <v/>
      </c>
    </row>
    <row r="24" customFormat="false" ht="15" hidden="false" customHeight="false" outlineLevel="0" collapsed="false">
      <c r="A24" s="17"/>
      <c r="B24" s="17"/>
      <c r="C24" s="11"/>
      <c r="D24" s="18" t="str">
        <f aca="false">IF(A24="","",Settings!$B$9)</f>
        <v/>
      </c>
      <c r="E24" s="8"/>
      <c r="F24" s="18" t="str">
        <f aca="false">IF(A24="","",IF(E24&lt;&gt;"",E24,D24))</f>
        <v/>
      </c>
      <c r="G24" s="18" t="str">
        <f aca="false">IF(A24="","",Settings!$B$10)</f>
        <v/>
      </c>
      <c r="H24" s="8"/>
      <c r="I24" s="18" t="str">
        <f aca="false">IF(A24="","",IF(H24&lt;&gt;"",H24,G24))</f>
        <v/>
      </c>
      <c r="J24" s="11"/>
      <c r="K24" s="20"/>
      <c r="L24" s="20"/>
      <c r="M24" s="12" t="str">
        <f aca="false">IF(A24="","",IF(N(J24)&gt;0,J24,ROUND(C24*(1+I24/100),2)))</f>
        <v/>
      </c>
      <c r="N24" s="12" t="str">
        <f aca="false">IF(A24="","",ROUND(C24*(1+F24/100),2))</f>
        <v/>
      </c>
      <c r="O24" s="12" t="str">
        <f aca="false">IF(A24="","",ROUND(M24-N24,2))</f>
        <v/>
      </c>
      <c r="P24" s="18" t="str">
        <f aca="false">IF(A24="","",IFERROR(ROUND(O24/M24*100,2),0))</f>
        <v/>
      </c>
      <c r="Q24" s="12" t="str">
        <f aca="false">IF(A24="","",ROUND(M24*K24,2))</f>
        <v/>
      </c>
      <c r="R24" s="12" t="str">
        <f aca="false">IF(A24="","",ROUND(O24*K24,2))</f>
        <v/>
      </c>
      <c r="S24" s="12" t="str">
        <f aca="false">IF(A24="","",ROUND(R24*L24,2))</f>
        <v/>
      </c>
      <c r="T24" s="12" t="str">
        <f aca="false">IF(A24="","",ROUND(Q24*L24,2))</f>
        <v/>
      </c>
    </row>
    <row r="25" customFormat="false" ht="15" hidden="false" customHeight="false" outlineLevel="0" collapsed="false">
      <c r="A25" s="17"/>
      <c r="B25" s="17"/>
      <c r="C25" s="11"/>
      <c r="D25" s="18" t="str">
        <f aca="false">IF(A25="","",Settings!$B$9)</f>
        <v/>
      </c>
      <c r="E25" s="8"/>
      <c r="F25" s="18" t="str">
        <f aca="false">IF(A25="","",IF(E25&lt;&gt;"",E25,D25))</f>
        <v/>
      </c>
      <c r="G25" s="18" t="str">
        <f aca="false">IF(A25="","",Settings!$B$10)</f>
        <v/>
      </c>
      <c r="H25" s="8"/>
      <c r="I25" s="18" t="str">
        <f aca="false">IF(A25="","",IF(H25&lt;&gt;"",H25,G25))</f>
        <v/>
      </c>
      <c r="J25" s="11"/>
      <c r="K25" s="20"/>
      <c r="L25" s="20"/>
      <c r="M25" s="12" t="str">
        <f aca="false">IF(A25="","",IF(N(J25)&gt;0,J25,ROUND(C25*(1+I25/100),2)))</f>
        <v/>
      </c>
      <c r="N25" s="12" t="str">
        <f aca="false">IF(A25="","",ROUND(C25*(1+F25/100),2))</f>
        <v/>
      </c>
      <c r="O25" s="12" t="str">
        <f aca="false">IF(A25="","",ROUND(M25-N25,2))</f>
        <v/>
      </c>
      <c r="P25" s="18" t="str">
        <f aca="false">IF(A25="","",IFERROR(ROUND(O25/M25*100,2),0))</f>
        <v/>
      </c>
      <c r="Q25" s="12" t="str">
        <f aca="false">IF(A25="","",ROUND(M25*K25,2))</f>
        <v/>
      </c>
      <c r="R25" s="12" t="str">
        <f aca="false">IF(A25="","",ROUND(O25*K25,2))</f>
        <v/>
      </c>
      <c r="S25" s="12" t="str">
        <f aca="false">IF(A25="","",ROUND(R25*L25,2))</f>
        <v/>
      </c>
      <c r="T25" s="12" t="str">
        <f aca="false">IF(A25="","",ROUND(Q25*L25,2))</f>
        <v/>
      </c>
    </row>
    <row r="26" customFormat="false" ht="15" hidden="false" customHeight="false" outlineLevel="0" collapsed="false">
      <c r="A26" s="17"/>
      <c r="B26" s="17"/>
      <c r="C26" s="11"/>
      <c r="D26" s="18" t="str">
        <f aca="false">IF(A26="","",Settings!$B$9)</f>
        <v/>
      </c>
      <c r="E26" s="8"/>
      <c r="F26" s="18" t="str">
        <f aca="false">IF(A26="","",IF(E26&lt;&gt;"",E26,D26))</f>
        <v/>
      </c>
      <c r="G26" s="18" t="str">
        <f aca="false">IF(A26="","",Settings!$B$10)</f>
        <v/>
      </c>
      <c r="H26" s="8"/>
      <c r="I26" s="18" t="str">
        <f aca="false">IF(A26="","",IF(H26&lt;&gt;"",H26,G26))</f>
        <v/>
      </c>
      <c r="J26" s="11"/>
      <c r="K26" s="20"/>
      <c r="L26" s="20"/>
      <c r="M26" s="12" t="str">
        <f aca="false">IF(A26="","",IF(N(J26)&gt;0,J26,ROUND(C26*(1+I26/100),2)))</f>
        <v/>
      </c>
      <c r="N26" s="12" t="str">
        <f aca="false">IF(A26="","",ROUND(C26*(1+F26/100),2))</f>
        <v/>
      </c>
      <c r="O26" s="12" t="str">
        <f aca="false">IF(A26="","",ROUND(M26-N26,2))</f>
        <v/>
      </c>
      <c r="P26" s="18" t="str">
        <f aca="false">IF(A26="","",IFERROR(ROUND(O26/M26*100,2),0))</f>
        <v/>
      </c>
      <c r="Q26" s="12" t="str">
        <f aca="false">IF(A26="","",ROUND(M26*K26,2))</f>
        <v/>
      </c>
      <c r="R26" s="12" t="str">
        <f aca="false">IF(A26="","",ROUND(O26*K26,2))</f>
        <v/>
      </c>
      <c r="S26" s="12" t="str">
        <f aca="false">IF(A26="","",ROUND(R26*L26,2))</f>
        <v/>
      </c>
      <c r="T26" s="12" t="str">
        <f aca="false">IF(A26="","",ROUND(Q26*L26,2))</f>
        <v/>
      </c>
    </row>
    <row r="27" customFormat="false" ht="15" hidden="false" customHeight="false" outlineLevel="0" collapsed="false">
      <c r="A27" s="17"/>
      <c r="B27" s="17"/>
      <c r="C27" s="11"/>
      <c r="D27" s="18" t="str">
        <f aca="false">IF(A27="","",Settings!$B$9)</f>
        <v/>
      </c>
      <c r="E27" s="8"/>
      <c r="F27" s="18" t="str">
        <f aca="false">IF(A27="","",IF(E27&lt;&gt;"",E27,D27))</f>
        <v/>
      </c>
      <c r="G27" s="18" t="str">
        <f aca="false">IF(A27="","",Settings!$B$10)</f>
        <v/>
      </c>
      <c r="H27" s="8"/>
      <c r="I27" s="18" t="str">
        <f aca="false">IF(A27="","",IF(H27&lt;&gt;"",H27,G27))</f>
        <v/>
      </c>
      <c r="J27" s="11"/>
      <c r="K27" s="20"/>
      <c r="L27" s="20"/>
      <c r="M27" s="12" t="str">
        <f aca="false">IF(A27="","",IF(N(J27)&gt;0,J27,ROUND(C27*(1+I27/100),2)))</f>
        <v/>
      </c>
      <c r="N27" s="12" t="str">
        <f aca="false">IF(A27="","",ROUND(C27*(1+F27/100),2))</f>
        <v/>
      </c>
      <c r="O27" s="12" t="str">
        <f aca="false">IF(A27="","",ROUND(M27-N27,2))</f>
        <v/>
      </c>
      <c r="P27" s="18" t="str">
        <f aca="false">IF(A27="","",IFERROR(ROUND(O27/M27*100,2),0))</f>
        <v/>
      </c>
      <c r="Q27" s="12" t="str">
        <f aca="false">IF(A27="","",ROUND(M27*K27,2))</f>
        <v/>
      </c>
      <c r="R27" s="12" t="str">
        <f aca="false">IF(A27="","",ROUND(O27*K27,2))</f>
        <v/>
      </c>
      <c r="S27" s="12" t="str">
        <f aca="false">IF(A27="","",ROUND(R27*L27,2))</f>
        <v/>
      </c>
      <c r="T27" s="12" t="str">
        <f aca="false">IF(A27="","",ROUND(Q27*L27,2))</f>
        <v/>
      </c>
    </row>
    <row r="28" customFormat="false" ht="15" hidden="false" customHeight="false" outlineLevel="0" collapsed="false">
      <c r="A28" s="17"/>
      <c r="B28" s="17"/>
      <c r="C28" s="11"/>
      <c r="D28" s="18" t="str">
        <f aca="false">IF(A28="","",Settings!$B$9)</f>
        <v/>
      </c>
      <c r="E28" s="8"/>
      <c r="F28" s="18" t="str">
        <f aca="false">IF(A28="","",IF(E28&lt;&gt;"",E28,D28))</f>
        <v/>
      </c>
      <c r="G28" s="18" t="str">
        <f aca="false">IF(A28="","",Settings!$B$10)</f>
        <v/>
      </c>
      <c r="H28" s="8"/>
      <c r="I28" s="18" t="str">
        <f aca="false">IF(A28="","",IF(H28&lt;&gt;"",H28,G28))</f>
        <v/>
      </c>
      <c r="J28" s="11"/>
      <c r="K28" s="20"/>
      <c r="L28" s="20"/>
      <c r="M28" s="12" t="str">
        <f aca="false">IF(A28="","",IF(N(J28)&gt;0,J28,ROUND(C28*(1+I28/100),2)))</f>
        <v/>
      </c>
      <c r="N28" s="12" t="str">
        <f aca="false">IF(A28="","",ROUND(C28*(1+F28/100),2))</f>
        <v/>
      </c>
      <c r="O28" s="12" t="str">
        <f aca="false">IF(A28="","",ROUND(M28-N28,2))</f>
        <v/>
      </c>
      <c r="P28" s="18" t="str">
        <f aca="false">IF(A28="","",IFERROR(ROUND(O28/M28*100,2),0))</f>
        <v/>
      </c>
      <c r="Q28" s="12" t="str">
        <f aca="false">IF(A28="","",ROUND(M28*K28,2))</f>
        <v/>
      </c>
      <c r="R28" s="12" t="str">
        <f aca="false">IF(A28="","",ROUND(O28*K28,2))</f>
        <v/>
      </c>
      <c r="S28" s="12" t="str">
        <f aca="false">IF(A28="","",ROUND(R28*L28,2))</f>
        <v/>
      </c>
      <c r="T28" s="12" t="str">
        <f aca="false">IF(A28="","",ROUND(Q28*L28,2))</f>
        <v/>
      </c>
    </row>
    <row r="29" customFormat="false" ht="15" hidden="false" customHeight="false" outlineLevel="0" collapsed="false">
      <c r="A29" s="17"/>
      <c r="B29" s="17"/>
      <c r="C29" s="11"/>
      <c r="D29" s="18" t="str">
        <f aca="false">IF(A29="","",Settings!$B$9)</f>
        <v/>
      </c>
      <c r="E29" s="8"/>
      <c r="F29" s="18" t="str">
        <f aca="false">IF(A29="","",IF(E29&lt;&gt;"",E29,D29))</f>
        <v/>
      </c>
      <c r="G29" s="18" t="str">
        <f aca="false">IF(A29="","",Settings!$B$10)</f>
        <v/>
      </c>
      <c r="H29" s="8"/>
      <c r="I29" s="18" t="str">
        <f aca="false">IF(A29="","",IF(H29&lt;&gt;"",H29,G29))</f>
        <v/>
      </c>
      <c r="J29" s="11"/>
      <c r="K29" s="20"/>
      <c r="L29" s="20"/>
      <c r="M29" s="12" t="str">
        <f aca="false">IF(A29="","",IF(N(J29)&gt;0,J29,ROUND(C29*(1+I29/100),2)))</f>
        <v/>
      </c>
      <c r="N29" s="12" t="str">
        <f aca="false">IF(A29="","",ROUND(C29*(1+F29/100),2))</f>
        <v/>
      </c>
      <c r="O29" s="12" t="str">
        <f aca="false">IF(A29="","",ROUND(M29-N29,2))</f>
        <v/>
      </c>
      <c r="P29" s="18" t="str">
        <f aca="false">IF(A29="","",IFERROR(ROUND(O29/M29*100,2),0))</f>
        <v/>
      </c>
      <c r="Q29" s="12" t="str">
        <f aca="false">IF(A29="","",ROUND(M29*K29,2))</f>
        <v/>
      </c>
      <c r="R29" s="12" t="str">
        <f aca="false">IF(A29="","",ROUND(O29*K29,2))</f>
        <v/>
      </c>
      <c r="S29" s="12" t="str">
        <f aca="false">IF(A29="","",ROUND(R29*L29,2))</f>
        <v/>
      </c>
      <c r="T29" s="12" t="str">
        <f aca="false">IF(A29="","",ROUND(Q29*L29,2))</f>
        <v/>
      </c>
    </row>
    <row r="30" customFormat="false" ht="15" hidden="false" customHeight="false" outlineLevel="0" collapsed="false">
      <c r="A30" s="17"/>
      <c r="B30" s="17"/>
      <c r="C30" s="11"/>
      <c r="D30" s="18" t="str">
        <f aca="false">IF(A30="","",Settings!$B$9)</f>
        <v/>
      </c>
      <c r="E30" s="8"/>
      <c r="F30" s="18" t="str">
        <f aca="false">IF(A30="","",IF(E30&lt;&gt;"",E30,D30))</f>
        <v/>
      </c>
      <c r="G30" s="18" t="str">
        <f aca="false">IF(A30="","",Settings!$B$10)</f>
        <v/>
      </c>
      <c r="H30" s="8"/>
      <c r="I30" s="18" t="str">
        <f aca="false">IF(A30="","",IF(H30&lt;&gt;"",H30,G30))</f>
        <v/>
      </c>
      <c r="J30" s="11"/>
      <c r="K30" s="20"/>
      <c r="L30" s="20"/>
      <c r="M30" s="12" t="str">
        <f aca="false">IF(A30="","",IF(N(J30)&gt;0,J30,ROUND(C30*(1+I30/100),2)))</f>
        <v/>
      </c>
      <c r="N30" s="12" t="str">
        <f aca="false">IF(A30="","",ROUND(C30*(1+F30/100),2))</f>
        <v/>
      </c>
      <c r="O30" s="12" t="str">
        <f aca="false">IF(A30="","",ROUND(M30-N30,2))</f>
        <v/>
      </c>
      <c r="P30" s="18" t="str">
        <f aca="false">IF(A30="","",IFERROR(ROUND(O30/M30*100,2),0))</f>
        <v/>
      </c>
      <c r="Q30" s="12" t="str">
        <f aca="false">IF(A30="","",ROUND(M30*K30,2))</f>
        <v/>
      </c>
      <c r="R30" s="12" t="str">
        <f aca="false">IF(A30="","",ROUND(O30*K30,2))</f>
        <v/>
      </c>
      <c r="S30" s="12" t="str">
        <f aca="false">IF(A30="","",ROUND(R30*L30,2))</f>
        <v/>
      </c>
      <c r="T30" s="12" t="str">
        <f aca="false">IF(A30="","",ROUND(Q30*L30,2))</f>
        <v/>
      </c>
    </row>
    <row r="31" customFormat="false" ht="15" hidden="false" customHeight="false" outlineLevel="0" collapsed="false">
      <c r="A31" s="17"/>
      <c r="B31" s="17"/>
      <c r="C31" s="11"/>
      <c r="D31" s="18" t="str">
        <f aca="false">IF(A31="","",Settings!$B$9)</f>
        <v/>
      </c>
      <c r="E31" s="8"/>
      <c r="F31" s="18" t="str">
        <f aca="false">IF(A31="","",IF(E31&lt;&gt;"",E31,D31))</f>
        <v/>
      </c>
      <c r="G31" s="18" t="str">
        <f aca="false">IF(A31="","",Settings!$B$10)</f>
        <v/>
      </c>
      <c r="H31" s="8"/>
      <c r="I31" s="18" t="str">
        <f aca="false">IF(A31="","",IF(H31&lt;&gt;"",H31,G31))</f>
        <v/>
      </c>
      <c r="J31" s="11"/>
      <c r="K31" s="20"/>
      <c r="L31" s="20"/>
      <c r="M31" s="12" t="str">
        <f aca="false">IF(A31="","",IF(N(J31)&gt;0,J31,ROUND(C31*(1+I31/100),2)))</f>
        <v/>
      </c>
      <c r="N31" s="12" t="str">
        <f aca="false">IF(A31="","",ROUND(C31*(1+F31/100),2))</f>
        <v/>
      </c>
      <c r="O31" s="12" t="str">
        <f aca="false">IF(A31="","",ROUND(M31-N31,2))</f>
        <v/>
      </c>
      <c r="P31" s="18" t="str">
        <f aca="false">IF(A31="","",IFERROR(ROUND(O31/M31*100,2),0))</f>
        <v/>
      </c>
      <c r="Q31" s="12" t="str">
        <f aca="false">IF(A31="","",ROUND(M31*K31,2))</f>
        <v/>
      </c>
      <c r="R31" s="12" t="str">
        <f aca="false">IF(A31="","",ROUND(O31*K31,2))</f>
        <v/>
      </c>
      <c r="S31" s="12" t="str">
        <f aca="false">IF(A31="","",ROUND(R31*L31,2))</f>
        <v/>
      </c>
      <c r="T31" s="12" t="str">
        <f aca="false">IF(A31="","",ROUND(Q31*L31,2))</f>
        <v/>
      </c>
    </row>
    <row r="32" customFormat="false" ht="15" hidden="false" customHeight="false" outlineLevel="0" collapsed="false">
      <c r="A32" s="17"/>
      <c r="B32" s="17"/>
      <c r="C32" s="11"/>
      <c r="D32" s="18" t="str">
        <f aca="false">IF(A32="","",Settings!$B$9)</f>
        <v/>
      </c>
      <c r="E32" s="8"/>
      <c r="F32" s="18" t="str">
        <f aca="false">IF(A32="","",IF(E32&lt;&gt;"",E32,D32))</f>
        <v/>
      </c>
      <c r="G32" s="18" t="str">
        <f aca="false">IF(A32="","",Settings!$B$10)</f>
        <v/>
      </c>
      <c r="H32" s="8"/>
      <c r="I32" s="18" t="str">
        <f aca="false">IF(A32="","",IF(H32&lt;&gt;"",H32,G32))</f>
        <v/>
      </c>
      <c r="J32" s="11"/>
      <c r="K32" s="20"/>
      <c r="L32" s="20"/>
      <c r="M32" s="12" t="str">
        <f aca="false">IF(A32="","",IF(N(J32)&gt;0,J32,ROUND(C32*(1+I32/100),2)))</f>
        <v/>
      </c>
      <c r="N32" s="12" t="str">
        <f aca="false">IF(A32="","",ROUND(C32*(1+F32/100),2))</f>
        <v/>
      </c>
      <c r="O32" s="12" t="str">
        <f aca="false">IF(A32="","",ROUND(M32-N32,2))</f>
        <v/>
      </c>
      <c r="P32" s="18" t="str">
        <f aca="false">IF(A32="","",IFERROR(ROUND(O32/M32*100,2),0))</f>
        <v/>
      </c>
      <c r="Q32" s="12" t="str">
        <f aca="false">IF(A32="","",ROUND(M32*K32,2))</f>
        <v/>
      </c>
      <c r="R32" s="12" t="str">
        <f aca="false">IF(A32="","",ROUND(O32*K32,2))</f>
        <v/>
      </c>
      <c r="S32" s="12" t="str">
        <f aca="false">IF(A32="","",ROUND(R32*L32,2))</f>
        <v/>
      </c>
      <c r="T32" s="12" t="str">
        <f aca="false">IF(A32="","",ROUND(Q32*L32,2))</f>
        <v/>
      </c>
    </row>
    <row r="33" customFormat="false" ht="15" hidden="false" customHeight="false" outlineLevel="0" collapsed="false">
      <c r="A33" s="17"/>
      <c r="B33" s="17"/>
      <c r="C33" s="11"/>
      <c r="D33" s="18" t="str">
        <f aca="false">IF(A33="","",Settings!$B$9)</f>
        <v/>
      </c>
      <c r="E33" s="8"/>
      <c r="F33" s="18" t="str">
        <f aca="false">IF(A33="","",IF(E33&lt;&gt;"",E33,D33))</f>
        <v/>
      </c>
      <c r="G33" s="18" t="str">
        <f aca="false">IF(A33="","",Settings!$B$10)</f>
        <v/>
      </c>
      <c r="H33" s="8"/>
      <c r="I33" s="18" t="str">
        <f aca="false">IF(A33="","",IF(H33&lt;&gt;"",H33,G33))</f>
        <v/>
      </c>
      <c r="J33" s="11"/>
      <c r="K33" s="20"/>
      <c r="L33" s="20"/>
      <c r="M33" s="12" t="str">
        <f aca="false">IF(A33="","",IF(N(J33)&gt;0,J33,ROUND(C33*(1+I33/100),2)))</f>
        <v/>
      </c>
      <c r="N33" s="12" t="str">
        <f aca="false">IF(A33="","",ROUND(C33*(1+F33/100),2))</f>
        <v/>
      </c>
      <c r="O33" s="12" t="str">
        <f aca="false">IF(A33="","",ROUND(M33-N33,2))</f>
        <v/>
      </c>
      <c r="P33" s="18" t="str">
        <f aca="false">IF(A33="","",IFERROR(ROUND(O33/M33*100,2),0))</f>
        <v/>
      </c>
      <c r="Q33" s="12" t="str">
        <f aca="false">IF(A33="","",ROUND(M33*K33,2))</f>
        <v/>
      </c>
      <c r="R33" s="12" t="str">
        <f aca="false">IF(A33="","",ROUND(O33*K33,2))</f>
        <v/>
      </c>
      <c r="S33" s="12" t="str">
        <f aca="false">IF(A33="","",ROUND(R33*L33,2))</f>
        <v/>
      </c>
      <c r="T33" s="12" t="str">
        <f aca="false">IF(A33="","",ROUND(Q33*L33,2))</f>
        <v/>
      </c>
    </row>
    <row r="34" customFormat="false" ht="15" hidden="false" customHeight="false" outlineLevel="0" collapsed="false">
      <c r="A34" s="17"/>
      <c r="B34" s="17"/>
      <c r="C34" s="11"/>
      <c r="D34" s="18" t="str">
        <f aca="false">IF(A34="","",Settings!$B$9)</f>
        <v/>
      </c>
      <c r="E34" s="8"/>
      <c r="F34" s="18" t="str">
        <f aca="false">IF(A34="","",IF(E34&lt;&gt;"",E34,D34))</f>
        <v/>
      </c>
      <c r="G34" s="18" t="str">
        <f aca="false">IF(A34="","",Settings!$B$10)</f>
        <v/>
      </c>
      <c r="H34" s="8"/>
      <c r="I34" s="18" t="str">
        <f aca="false">IF(A34="","",IF(H34&lt;&gt;"",H34,G34))</f>
        <v/>
      </c>
      <c r="J34" s="11"/>
      <c r="K34" s="20"/>
      <c r="L34" s="20"/>
      <c r="M34" s="12" t="str">
        <f aca="false">IF(A34="","",IF(N(J34)&gt;0,J34,ROUND(C34*(1+I34/100),2)))</f>
        <v/>
      </c>
      <c r="N34" s="12" t="str">
        <f aca="false">IF(A34="","",ROUND(C34*(1+F34/100),2))</f>
        <v/>
      </c>
      <c r="O34" s="12" t="str">
        <f aca="false">IF(A34="","",ROUND(M34-N34,2))</f>
        <v/>
      </c>
      <c r="P34" s="18" t="str">
        <f aca="false">IF(A34="","",IFERROR(ROUND(O34/M34*100,2),0))</f>
        <v/>
      </c>
      <c r="Q34" s="12" t="str">
        <f aca="false">IF(A34="","",ROUND(M34*K34,2))</f>
        <v/>
      </c>
      <c r="R34" s="12" t="str">
        <f aca="false">IF(A34="","",ROUND(O34*K34,2))</f>
        <v/>
      </c>
      <c r="S34" s="12" t="str">
        <f aca="false">IF(A34="","",ROUND(R34*L34,2))</f>
        <v/>
      </c>
      <c r="T34" s="12" t="str">
        <f aca="false">IF(A34="","",ROUND(Q34*L34,2))</f>
        <v/>
      </c>
    </row>
    <row r="35" customFormat="false" ht="15" hidden="false" customHeight="false" outlineLevel="0" collapsed="false">
      <c r="A35" s="5" t="s">
        <v>102</v>
      </c>
      <c r="B35" s="23" t="n">
        <f aca="false">COUNTA(A5:A34)</f>
        <v>8</v>
      </c>
      <c r="P35" s="14" t="n">
        <f aca="false">IFERROR(ROUND(R35/Q35*100,2),0)</f>
        <v>20.61</v>
      </c>
      <c r="Q35" s="13" t="n">
        <f aca="false">SUM(Q5:Q34)</f>
        <v>11104.75</v>
      </c>
      <c r="R35" s="13" t="n">
        <f aca="false">SUM(R5:R34)</f>
        <v>2288.15</v>
      </c>
      <c r="S35" s="13" t="n">
        <f aca="false">SUM(S5:S34)</f>
        <v>38367.7</v>
      </c>
      <c r="T35" s="13" t="n">
        <f aca="false">SUM(T5:T34)</f>
        <v>184275.5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13"/>
    <col collapsed="false" customWidth="true" hidden="false" outlineLevel="0" max="3" min="3" style="1" width="12"/>
    <col collapsed="false" customWidth="true" hidden="false" outlineLevel="0" max="4" min="4" style="1" width="11"/>
    <col collapsed="false" customWidth="true" hidden="false" outlineLevel="0" max="5" min="5" style="1" width="13"/>
    <col collapsed="false" customWidth="true" hidden="false" outlineLevel="0" max="8" min="6" style="1" width="12"/>
    <col collapsed="false" customWidth="true" hidden="false" outlineLevel="0" max="10" min="9" style="1" width="10"/>
    <col collapsed="false" customWidth="true" hidden="false" outlineLevel="0" max="11" min="11" style="1" width="11"/>
    <col collapsed="false" customWidth="true" hidden="false" outlineLevel="0" max="13" min="12" style="1" width="10"/>
    <col collapsed="false" customWidth="true" hidden="false" outlineLevel="0" max="14" min="14" style="1" width="13"/>
    <col collapsed="false" customWidth="true" hidden="false" outlineLevel="0" max="16" min="15" style="1" width="12"/>
    <col collapsed="false" customWidth="true" hidden="false" outlineLevel="0" max="20" min="17" style="1" width="10"/>
    <col collapsed="false" customWidth="true" hidden="false" outlineLevel="0" max="21" min="21" style="1" width="12"/>
  </cols>
  <sheetData>
    <row r="1" customFormat="false" ht="17.35" hidden="false" customHeight="false" outlineLevel="0" collapsed="false">
      <c r="A1" s="2" t="s">
        <v>132</v>
      </c>
    </row>
    <row r="2" customFormat="false" ht="15" hidden="false" customHeight="false" outlineLevel="0" collapsed="false">
      <c r="A2" s="3" t="s">
        <v>133</v>
      </c>
    </row>
    <row r="4" customFormat="false" ht="52.2" hidden="false" customHeight="false" outlineLevel="0" collapsed="false">
      <c r="A4" s="15" t="s">
        <v>134</v>
      </c>
      <c r="B4" s="15" t="s">
        <v>135</v>
      </c>
      <c r="C4" s="15" t="s">
        <v>136</v>
      </c>
      <c r="D4" s="15" t="s">
        <v>137</v>
      </c>
      <c r="E4" s="15" t="s">
        <v>138</v>
      </c>
      <c r="F4" s="15" t="s">
        <v>139</v>
      </c>
      <c r="G4" s="15" t="s">
        <v>140</v>
      </c>
      <c r="H4" s="15" t="s">
        <v>141</v>
      </c>
      <c r="I4" s="15" t="s">
        <v>142</v>
      </c>
      <c r="J4" s="15" t="s">
        <v>143</v>
      </c>
      <c r="K4" s="15" t="s">
        <v>144</v>
      </c>
      <c r="L4" s="15" t="s">
        <v>145</v>
      </c>
      <c r="M4" s="15" t="s">
        <v>146</v>
      </c>
      <c r="N4" s="15" t="s">
        <v>147</v>
      </c>
      <c r="O4" s="15" t="s">
        <v>148</v>
      </c>
      <c r="P4" s="15" t="s">
        <v>149</v>
      </c>
      <c r="Q4" s="15" t="s">
        <v>150</v>
      </c>
      <c r="R4" s="15" t="s">
        <v>151</v>
      </c>
      <c r="S4" s="15" t="s">
        <v>152</v>
      </c>
      <c r="T4" s="15" t="s">
        <v>153</v>
      </c>
      <c r="U4" s="15" t="s">
        <v>154</v>
      </c>
    </row>
    <row r="5" customFormat="false" ht="15" hidden="false" customHeight="false" outlineLevel="0" collapsed="false">
      <c r="A5" s="24" t="n">
        <v>46023</v>
      </c>
      <c r="B5" s="25" t="n">
        <f aca="false">IF(A5="","",COUNTIFS('Perm Placements'!$A$5:$A$34,"&gt;="&amp;A5,'Perm Placements'!$A$5:$A$34,"&lt;"&amp;DATE(YEAR(A5),MONTH(A5)+1,1)))</f>
        <v>2</v>
      </c>
      <c r="C5" s="10"/>
      <c r="D5" s="25" t="n">
        <f aca="false">IF(A5="","",IF(C5&lt;&gt;"",C5,B5))</f>
        <v>2</v>
      </c>
      <c r="E5" s="12" t="n">
        <f aca="false">IF(A5="","",ROUND(SUMIFS('Perm Placements'!$O$5:$O$34,'Perm Placements'!$A$5:$A$34,"&gt;="&amp;A5,'Perm Placements'!$A$5:$A$34,"&lt;"&amp;DATE(YEAR(A5),MONTH(A5)+1,1)),2))</f>
        <v>19350</v>
      </c>
      <c r="F5" s="11"/>
      <c r="G5" s="12" t="n">
        <f aca="false">IF(A5="","",IF(F5&lt;&gt;"",F5,E5))</f>
        <v>19350</v>
      </c>
      <c r="H5" s="7" t="n">
        <v>14000</v>
      </c>
      <c r="I5" s="6" t="n">
        <v>12</v>
      </c>
      <c r="J5" s="6" t="n">
        <v>5</v>
      </c>
      <c r="K5" s="10" t="n">
        <v>30</v>
      </c>
      <c r="L5" s="10" t="n">
        <v>14</v>
      </c>
      <c r="M5" s="10" t="n">
        <v>160</v>
      </c>
      <c r="N5" s="12" t="n">
        <f aca="false">IF(A5="","",ROUND(G5+H5,2))</f>
        <v>33350</v>
      </c>
      <c r="O5" s="12" t="n">
        <f aca="false">IF(A5="","",ROUND(Settings!$B$16/12,2))</f>
        <v>31000</v>
      </c>
      <c r="P5" s="12" t="n">
        <f aca="false">IF(A5="","",ROUND(N5-O5,2))</f>
        <v>2350</v>
      </c>
      <c r="Q5" s="18" t="n">
        <f aca="false">IF(A5="","",IFERROR(ROUND(J5/I5*100,2),0))</f>
        <v>41.67</v>
      </c>
      <c r="R5" s="26" t="n">
        <f aca="false">IF(A5="","",IFERROR(ROUND(M5/J5,2),0))</f>
        <v>32</v>
      </c>
      <c r="S5" s="26" t="n">
        <f aca="false">IF(A5="","",IFERROR(ROUND(K5/J5,2),0))</f>
        <v>6</v>
      </c>
      <c r="T5" s="18" t="n">
        <f aca="false">IF(A5="","",IFERROR(ROUND(J5/L5*100,2),0))</f>
        <v>35.71</v>
      </c>
      <c r="U5" s="12" t="n">
        <f aca="false">IF(A5="","",IFERROR(ROUND(N5/Settings!$B$2,2),0))</f>
        <v>8337.5</v>
      </c>
    </row>
    <row r="6" customFormat="false" ht="15" hidden="false" customHeight="false" outlineLevel="0" collapsed="false">
      <c r="A6" s="24" t="n">
        <v>46054</v>
      </c>
      <c r="B6" s="25" t="n">
        <f aca="false">IF(A6="","",COUNTIFS('Perm Placements'!$A$5:$A$34,"&gt;="&amp;A6,'Perm Placements'!$A$5:$A$34,"&lt;"&amp;DATE(YEAR(A6),MONTH(A6)+1,1)))</f>
        <v>1</v>
      </c>
      <c r="C6" s="10"/>
      <c r="D6" s="25" t="n">
        <f aca="false">IF(A6="","",IF(C6&lt;&gt;"",C6,B6))</f>
        <v>1</v>
      </c>
      <c r="E6" s="12" t="n">
        <f aca="false">IF(A6="","",ROUND(SUMIFS('Perm Placements'!$O$5:$O$34,'Perm Placements'!$A$5:$A$34,"&gt;="&amp;A6,'Perm Placements'!$A$5:$A$34,"&lt;"&amp;DATE(YEAR(A6),MONTH(A6)+1,1)),2))</f>
        <v>18700</v>
      </c>
      <c r="F6" s="11"/>
      <c r="G6" s="12" t="n">
        <f aca="false">IF(A6="","",IF(F6&lt;&gt;"",F6,E6))</f>
        <v>18700</v>
      </c>
      <c r="H6" s="11" t="n">
        <v>15500</v>
      </c>
      <c r="I6" s="10" t="n">
        <v>10</v>
      </c>
      <c r="J6" s="10" t="n">
        <v>4</v>
      </c>
      <c r="K6" s="10" t="n">
        <v>26</v>
      </c>
      <c r="L6" s="10" t="n">
        <v>11</v>
      </c>
      <c r="M6" s="10" t="n">
        <v>140</v>
      </c>
      <c r="N6" s="12" t="n">
        <f aca="false">IF(A6="","",ROUND(G6+H6,2))</f>
        <v>34200</v>
      </c>
      <c r="O6" s="12" t="n">
        <f aca="false">IF(A6="","",ROUND(Settings!$B$16/12,2))</f>
        <v>31000</v>
      </c>
      <c r="P6" s="12" t="n">
        <f aca="false">IF(A6="","",ROUND(N6-O6,2))</f>
        <v>3200</v>
      </c>
      <c r="Q6" s="18" t="n">
        <f aca="false">IF(A6="","",IFERROR(ROUND(J6/I6*100,2),0))</f>
        <v>40</v>
      </c>
      <c r="R6" s="26" t="n">
        <f aca="false">IF(A6="","",IFERROR(ROUND(M6/J6,2),0))</f>
        <v>35</v>
      </c>
      <c r="S6" s="26" t="n">
        <f aca="false">IF(A6="","",IFERROR(ROUND(K6/J6,2),0))</f>
        <v>6.5</v>
      </c>
      <c r="T6" s="18" t="n">
        <f aca="false">IF(A6="","",IFERROR(ROUND(J6/L6*100,2),0))</f>
        <v>36.36</v>
      </c>
      <c r="U6" s="12" t="n">
        <f aca="false">IF(A6="","",IFERROR(ROUND(N6/Settings!$B$2,2),0))</f>
        <v>8550</v>
      </c>
    </row>
    <row r="7" customFormat="false" ht="15" hidden="false" customHeight="false" outlineLevel="0" collapsed="false">
      <c r="A7" s="24" t="n">
        <v>46082</v>
      </c>
      <c r="B7" s="25" t="n">
        <f aca="false">IF(A7="","",COUNTIFS('Perm Placements'!$A$5:$A$34,"&gt;="&amp;A7,'Perm Placements'!$A$5:$A$34,"&lt;"&amp;DATE(YEAR(A7),MONTH(A7)+1,1)))</f>
        <v>1</v>
      </c>
      <c r="C7" s="10"/>
      <c r="D7" s="25" t="n">
        <f aca="false">IF(A7="","",IF(C7&lt;&gt;"",C7,B7))</f>
        <v>1</v>
      </c>
      <c r="E7" s="12" t="n">
        <f aca="false">IF(A7="","",ROUND(SUMIFS('Perm Placements'!$O$5:$O$34,'Perm Placements'!$A$5:$A$34,"&gt;="&amp;A7,'Perm Placements'!$A$5:$A$34,"&lt;"&amp;DATE(YEAR(A7),MONTH(A7)+1,1)),2))</f>
        <v>4800</v>
      </c>
      <c r="F7" s="11"/>
      <c r="G7" s="12" t="n">
        <f aca="false">IF(A7="","",IF(F7&lt;&gt;"",F7,E7))</f>
        <v>4800</v>
      </c>
      <c r="H7" s="11" t="n">
        <v>16200</v>
      </c>
      <c r="I7" s="10" t="n">
        <v>14</v>
      </c>
      <c r="J7" s="10" t="n">
        <v>6</v>
      </c>
      <c r="K7" s="10" t="n">
        <v>38</v>
      </c>
      <c r="L7" s="10" t="n">
        <v>17</v>
      </c>
      <c r="M7" s="10" t="n">
        <v>198</v>
      </c>
      <c r="N7" s="12" t="n">
        <f aca="false">IF(A7="","",ROUND(G7+H7,2))</f>
        <v>21000</v>
      </c>
      <c r="O7" s="12" t="n">
        <f aca="false">IF(A7="","",ROUND(Settings!$B$16/12,2))</f>
        <v>31000</v>
      </c>
      <c r="P7" s="12" t="n">
        <f aca="false">IF(A7="","",ROUND(N7-O7,2))</f>
        <v>-10000</v>
      </c>
      <c r="Q7" s="18" t="n">
        <f aca="false">IF(A7="","",IFERROR(ROUND(J7/I7*100,2),0))</f>
        <v>42.86</v>
      </c>
      <c r="R7" s="26" t="n">
        <f aca="false">IF(A7="","",IFERROR(ROUND(M7/J7,2),0))</f>
        <v>33</v>
      </c>
      <c r="S7" s="26" t="n">
        <f aca="false">IF(A7="","",IFERROR(ROUND(K7/J7,2),0))</f>
        <v>6.33</v>
      </c>
      <c r="T7" s="18" t="n">
        <f aca="false">IF(A7="","",IFERROR(ROUND(J7/L7*100,2),0))</f>
        <v>35.29</v>
      </c>
      <c r="U7" s="12" t="n">
        <f aca="false">IF(A7="","",IFERROR(ROUND(N7/Settings!$B$2,2),0))</f>
        <v>5250</v>
      </c>
    </row>
    <row r="8" customFormat="false" ht="15" hidden="false" customHeight="false" outlineLevel="0" collapsed="false">
      <c r="A8" s="24" t="n">
        <v>46113</v>
      </c>
      <c r="B8" s="25" t="n">
        <f aca="false">IF(A8="","",COUNTIFS('Perm Placements'!$A$5:$A$34,"&gt;="&amp;A8,'Perm Placements'!$A$5:$A$34,"&lt;"&amp;DATE(YEAR(A8),MONTH(A8)+1,1)))</f>
        <v>2</v>
      </c>
      <c r="C8" s="10"/>
      <c r="D8" s="25" t="n">
        <f aca="false">IF(A8="","",IF(C8&lt;&gt;"",C8,B8))</f>
        <v>2</v>
      </c>
      <c r="E8" s="12" t="n">
        <f aca="false">IF(A8="","",ROUND(SUMIFS('Perm Placements'!$O$5:$O$34,'Perm Placements'!$A$5:$A$34,"&gt;="&amp;A8,'Perm Placements'!$A$5:$A$34,"&lt;"&amp;DATE(YEAR(A8),MONTH(A8)+1,1)),2))</f>
        <v>12800</v>
      </c>
      <c r="F8" s="11"/>
      <c r="G8" s="12" t="n">
        <f aca="false">IF(A8="","",IF(F8&lt;&gt;"",F8,E8))</f>
        <v>12800</v>
      </c>
      <c r="H8" s="11" t="n">
        <v>15800</v>
      </c>
      <c r="I8" s="10" t="n">
        <v>11</v>
      </c>
      <c r="J8" s="10" t="n">
        <v>6</v>
      </c>
      <c r="K8" s="10" t="n">
        <v>33</v>
      </c>
      <c r="L8" s="10" t="n">
        <v>15</v>
      </c>
      <c r="M8" s="10" t="n">
        <v>174</v>
      </c>
      <c r="N8" s="12" t="n">
        <f aca="false">IF(A8="","",ROUND(G8+H8,2))</f>
        <v>28600</v>
      </c>
      <c r="O8" s="12" t="n">
        <f aca="false">IF(A8="","",ROUND(Settings!$B$16/12,2))</f>
        <v>31000</v>
      </c>
      <c r="P8" s="12" t="n">
        <f aca="false">IF(A8="","",ROUND(N8-O8,2))</f>
        <v>-2400</v>
      </c>
      <c r="Q8" s="18" t="n">
        <f aca="false">IF(A8="","",IFERROR(ROUND(J8/I8*100,2),0))</f>
        <v>54.55</v>
      </c>
      <c r="R8" s="26" t="n">
        <f aca="false">IF(A8="","",IFERROR(ROUND(M8/J8,2),0))</f>
        <v>29</v>
      </c>
      <c r="S8" s="26" t="n">
        <f aca="false">IF(A8="","",IFERROR(ROUND(K8/J8,2),0))</f>
        <v>5.5</v>
      </c>
      <c r="T8" s="18" t="n">
        <f aca="false">IF(A8="","",IFERROR(ROUND(J8/L8*100,2),0))</f>
        <v>40</v>
      </c>
      <c r="U8" s="12" t="n">
        <f aca="false">IF(A8="","",IFERROR(ROUND(N8/Settings!$B$2,2),0))</f>
        <v>7150</v>
      </c>
    </row>
    <row r="9" customFormat="false" ht="15" hidden="false" customHeight="false" outlineLevel="0" collapsed="false">
      <c r="A9" s="24" t="n">
        <v>46143</v>
      </c>
      <c r="B9" s="25" t="n">
        <f aca="false">IF(A9="","",COUNTIFS('Perm Placements'!$A$5:$A$34,"&gt;="&amp;A9,'Perm Placements'!$A$5:$A$34,"&lt;"&amp;DATE(YEAR(A9),MONTH(A9)+1,1)))</f>
        <v>1</v>
      </c>
      <c r="C9" s="10"/>
      <c r="D9" s="25" t="n">
        <f aca="false">IF(A9="","",IF(C9&lt;&gt;"",C9,B9))</f>
        <v>1</v>
      </c>
      <c r="E9" s="12" t="n">
        <f aca="false">IF(A9="","",ROUND(SUMIFS('Perm Placements'!$O$5:$O$34,'Perm Placements'!$A$5:$A$34,"&gt;="&amp;A9,'Perm Placements'!$A$5:$A$34,"&lt;"&amp;DATE(YEAR(A9),MONTH(A9)+1,1)),2))</f>
        <v>10400</v>
      </c>
      <c r="F9" s="11"/>
      <c r="G9" s="12" t="n">
        <f aca="false">IF(A9="","",IF(F9&lt;&gt;"",F9,E9))</f>
        <v>10400</v>
      </c>
      <c r="H9" s="11" t="n">
        <v>17100</v>
      </c>
      <c r="I9" s="10" t="n">
        <v>13</v>
      </c>
      <c r="J9" s="10" t="n">
        <v>5</v>
      </c>
      <c r="K9" s="10" t="n">
        <v>35</v>
      </c>
      <c r="L9" s="10" t="n">
        <v>13</v>
      </c>
      <c r="M9" s="10" t="n">
        <v>165</v>
      </c>
      <c r="N9" s="12" t="n">
        <f aca="false">IF(A9="","",ROUND(G9+H9,2))</f>
        <v>27500</v>
      </c>
      <c r="O9" s="12" t="n">
        <f aca="false">IF(A9="","",ROUND(Settings!$B$16/12,2))</f>
        <v>31000</v>
      </c>
      <c r="P9" s="12" t="n">
        <f aca="false">IF(A9="","",ROUND(N9-O9,2))</f>
        <v>-3500</v>
      </c>
      <c r="Q9" s="18" t="n">
        <f aca="false">IF(A9="","",IFERROR(ROUND(J9/I9*100,2),0))</f>
        <v>38.46</v>
      </c>
      <c r="R9" s="26" t="n">
        <f aca="false">IF(A9="","",IFERROR(ROUND(M9/J9,2),0))</f>
        <v>33</v>
      </c>
      <c r="S9" s="26" t="n">
        <f aca="false">IF(A9="","",IFERROR(ROUND(K9/J9,2),0))</f>
        <v>7</v>
      </c>
      <c r="T9" s="18" t="n">
        <f aca="false">IF(A9="","",IFERROR(ROUND(J9/L9*100,2),0))</f>
        <v>38.46</v>
      </c>
      <c r="U9" s="12" t="n">
        <f aca="false">IF(A9="","",IFERROR(ROUND(N9/Settings!$B$2,2),0))</f>
        <v>6875</v>
      </c>
    </row>
    <row r="10" customFormat="false" ht="15" hidden="false" customHeight="false" outlineLevel="0" collapsed="false">
      <c r="A10" s="24" t="n">
        <v>46174</v>
      </c>
      <c r="B10" s="25" t="n">
        <f aca="false">IF(A10="","",COUNTIFS('Perm Placements'!$A$5:$A$34,"&gt;="&amp;A10,'Perm Placements'!$A$5:$A$34,"&lt;"&amp;DATE(YEAR(A10),MONTH(A10)+1,1)))</f>
        <v>1</v>
      </c>
      <c r="C10" s="10"/>
      <c r="D10" s="25" t="n">
        <f aca="false">IF(A10="","",IF(C10&lt;&gt;"",C10,B10))</f>
        <v>1</v>
      </c>
      <c r="E10" s="12" t="n">
        <f aca="false">IF(A10="","",ROUND(SUMIFS('Perm Placements'!$O$5:$O$34,'Perm Placements'!$A$5:$A$34,"&gt;="&amp;A10,'Perm Placements'!$A$5:$A$34,"&lt;"&amp;DATE(YEAR(A10),MONTH(A10)+1,1)),2))</f>
        <v>9000</v>
      </c>
      <c r="F10" s="11"/>
      <c r="G10" s="12" t="n">
        <f aca="false">IF(A10="","",IF(F10&lt;&gt;"",F10,E10))</f>
        <v>9000</v>
      </c>
      <c r="H10" s="11" t="n">
        <v>16400</v>
      </c>
      <c r="I10" s="10" t="n">
        <v>12</v>
      </c>
      <c r="J10" s="10" t="n">
        <v>5</v>
      </c>
      <c r="K10" s="10" t="n">
        <v>29</v>
      </c>
      <c r="L10" s="10" t="n">
        <v>12</v>
      </c>
      <c r="M10" s="10" t="n">
        <v>150</v>
      </c>
      <c r="N10" s="12" t="n">
        <f aca="false">IF(A10="","",ROUND(G10+H10,2))</f>
        <v>25400</v>
      </c>
      <c r="O10" s="12" t="n">
        <f aca="false">IF(A10="","",ROUND(Settings!$B$16/12,2))</f>
        <v>31000</v>
      </c>
      <c r="P10" s="12" t="n">
        <f aca="false">IF(A10="","",ROUND(N10-O10,2))</f>
        <v>-5600</v>
      </c>
      <c r="Q10" s="18" t="n">
        <f aca="false">IF(A10="","",IFERROR(ROUND(J10/I10*100,2),0))</f>
        <v>41.67</v>
      </c>
      <c r="R10" s="26" t="n">
        <f aca="false">IF(A10="","",IFERROR(ROUND(M10/J10,2),0))</f>
        <v>30</v>
      </c>
      <c r="S10" s="26" t="n">
        <f aca="false">IF(A10="","",IFERROR(ROUND(K10/J10,2),0))</f>
        <v>5.8</v>
      </c>
      <c r="T10" s="18" t="n">
        <f aca="false">IF(A10="","",IFERROR(ROUND(J10/L10*100,2),0))</f>
        <v>41.67</v>
      </c>
      <c r="U10" s="12" t="n">
        <f aca="false">IF(A10="","",IFERROR(ROUND(N10/Settings!$B$2,2),0))</f>
        <v>6350</v>
      </c>
    </row>
    <row r="11" customFormat="false" ht="15" hidden="false" customHeight="false" outlineLevel="0" collapsed="false">
      <c r="A11" s="24"/>
      <c r="B11" s="25" t="str">
        <f aca="false">IF(A11="","",COUNTIFS('Perm Placements'!$A$5:$A$34,"&gt;="&amp;A11,'Perm Placements'!$A$5:$A$34,"&lt;"&amp;DATE(YEAR(A11),MONTH(A11)+1,1)))</f>
        <v/>
      </c>
      <c r="C11" s="10"/>
      <c r="D11" s="25" t="str">
        <f aca="false">IF(A11="","",IF(C11&lt;&gt;"",C11,B11))</f>
        <v/>
      </c>
      <c r="E11" s="12" t="str">
        <f aca="false">IF(A11="","",ROUND(SUMIFS('Perm Placements'!$O$5:$O$34,'Perm Placements'!$A$5:$A$34,"&gt;="&amp;A11,'Perm Placements'!$A$5:$A$34,"&lt;"&amp;DATE(YEAR(A11),MONTH(A11)+1,1)),2))</f>
        <v/>
      </c>
      <c r="F11" s="11"/>
      <c r="G11" s="12" t="str">
        <f aca="false">IF(A11="","",IF(F11&lt;&gt;"",F11,E11))</f>
        <v/>
      </c>
      <c r="H11" s="11"/>
      <c r="I11" s="10"/>
      <c r="J11" s="10"/>
      <c r="K11" s="10"/>
      <c r="L11" s="10"/>
      <c r="M11" s="10"/>
      <c r="N11" s="12" t="str">
        <f aca="false">IF(A11="","",ROUND(G11+H11,2))</f>
        <v/>
      </c>
      <c r="O11" s="12" t="str">
        <f aca="false">IF(A11="","",ROUND(Settings!$B$16/12,2))</f>
        <v/>
      </c>
      <c r="P11" s="12" t="str">
        <f aca="false">IF(A11="","",ROUND(N11-O11,2))</f>
        <v/>
      </c>
      <c r="Q11" s="18" t="str">
        <f aca="false">IF(A11="","",IFERROR(ROUND(J11/I11*100,2),0))</f>
        <v/>
      </c>
      <c r="R11" s="26" t="str">
        <f aca="false">IF(A11="","",IFERROR(ROUND(M11/J11,2),0))</f>
        <v/>
      </c>
      <c r="S11" s="26" t="str">
        <f aca="false">IF(A11="","",IFERROR(ROUND(K11/J11,2),0))</f>
        <v/>
      </c>
      <c r="T11" s="18" t="str">
        <f aca="false">IF(A11="","",IFERROR(ROUND(J11/L11*100,2),0))</f>
        <v/>
      </c>
      <c r="U11" s="12" t="str">
        <f aca="false">IF(A11="","",IFERROR(ROUND(N11/Settings!$B$2,2),0))</f>
        <v/>
      </c>
    </row>
    <row r="12" customFormat="false" ht="15" hidden="false" customHeight="false" outlineLevel="0" collapsed="false">
      <c r="A12" s="24"/>
      <c r="B12" s="25" t="str">
        <f aca="false">IF(A12="","",COUNTIFS('Perm Placements'!$A$5:$A$34,"&gt;="&amp;A12,'Perm Placements'!$A$5:$A$34,"&lt;"&amp;DATE(YEAR(A12),MONTH(A12)+1,1)))</f>
        <v/>
      </c>
      <c r="C12" s="10"/>
      <c r="D12" s="25" t="str">
        <f aca="false">IF(A12="","",IF(C12&lt;&gt;"",C12,B12))</f>
        <v/>
      </c>
      <c r="E12" s="12" t="str">
        <f aca="false">IF(A12="","",ROUND(SUMIFS('Perm Placements'!$O$5:$O$34,'Perm Placements'!$A$5:$A$34,"&gt;="&amp;A12,'Perm Placements'!$A$5:$A$34,"&lt;"&amp;DATE(YEAR(A12),MONTH(A12)+1,1)),2))</f>
        <v/>
      </c>
      <c r="F12" s="11"/>
      <c r="G12" s="12" t="str">
        <f aca="false">IF(A12="","",IF(F12&lt;&gt;"",F12,E12))</f>
        <v/>
      </c>
      <c r="H12" s="11"/>
      <c r="I12" s="10"/>
      <c r="J12" s="10"/>
      <c r="K12" s="10"/>
      <c r="L12" s="10"/>
      <c r="M12" s="10"/>
      <c r="N12" s="12" t="str">
        <f aca="false">IF(A12="","",ROUND(G12+H12,2))</f>
        <v/>
      </c>
      <c r="O12" s="12" t="str">
        <f aca="false">IF(A12="","",ROUND(Settings!$B$16/12,2))</f>
        <v/>
      </c>
      <c r="P12" s="12" t="str">
        <f aca="false">IF(A12="","",ROUND(N12-O12,2))</f>
        <v/>
      </c>
      <c r="Q12" s="18" t="str">
        <f aca="false">IF(A12="","",IFERROR(ROUND(J12/I12*100,2),0))</f>
        <v/>
      </c>
      <c r="R12" s="26" t="str">
        <f aca="false">IF(A12="","",IFERROR(ROUND(M12/J12,2),0))</f>
        <v/>
      </c>
      <c r="S12" s="26" t="str">
        <f aca="false">IF(A12="","",IFERROR(ROUND(K12/J12,2),0))</f>
        <v/>
      </c>
      <c r="T12" s="18" t="str">
        <f aca="false">IF(A12="","",IFERROR(ROUND(J12/L12*100,2),0))</f>
        <v/>
      </c>
      <c r="U12" s="12" t="str">
        <f aca="false">IF(A12="","",IFERROR(ROUND(N12/Settings!$B$2,2),0))</f>
        <v/>
      </c>
    </row>
    <row r="13" customFormat="false" ht="15" hidden="false" customHeight="false" outlineLevel="0" collapsed="false">
      <c r="A13" s="24"/>
      <c r="B13" s="25" t="str">
        <f aca="false">IF(A13="","",COUNTIFS('Perm Placements'!$A$5:$A$34,"&gt;="&amp;A13,'Perm Placements'!$A$5:$A$34,"&lt;"&amp;DATE(YEAR(A13),MONTH(A13)+1,1)))</f>
        <v/>
      </c>
      <c r="C13" s="10"/>
      <c r="D13" s="25" t="str">
        <f aca="false">IF(A13="","",IF(C13&lt;&gt;"",C13,B13))</f>
        <v/>
      </c>
      <c r="E13" s="12" t="str">
        <f aca="false">IF(A13="","",ROUND(SUMIFS('Perm Placements'!$O$5:$O$34,'Perm Placements'!$A$5:$A$34,"&gt;="&amp;A13,'Perm Placements'!$A$5:$A$34,"&lt;"&amp;DATE(YEAR(A13),MONTH(A13)+1,1)),2))</f>
        <v/>
      </c>
      <c r="F13" s="11"/>
      <c r="G13" s="12" t="str">
        <f aca="false">IF(A13="","",IF(F13&lt;&gt;"",F13,E13))</f>
        <v/>
      </c>
      <c r="H13" s="11"/>
      <c r="I13" s="10"/>
      <c r="J13" s="10"/>
      <c r="K13" s="10"/>
      <c r="L13" s="10"/>
      <c r="M13" s="10"/>
      <c r="N13" s="12" t="str">
        <f aca="false">IF(A13="","",ROUND(G13+H13,2))</f>
        <v/>
      </c>
      <c r="O13" s="12" t="str">
        <f aca="false">IF(A13="","",ROUND(Settings!$B$16/12,2))</f>
        <v/>
      </c>
      <c r="P13" s="12" t="str">
        <f aca="false">IF(A13="","",ROUND(N13-O13,2))</f>
        <v/>
      </c>
      <c r="Q13" s="18" t="str">
        <f aca="false">IF(A13="","",IFERROR(ROUND(J13/I13*100,2),0))</f>
        <v/>
      </c>
      <c r="R13" s="26" t="str">
        <f aca="false">IF(A13="","",IFERROR(ROUND(M13/J13,2),0))</f>
        <v/>
      </c>
      <c r="S13" s="26" t="str">
        <f aca="false">IF(A13="","",IFERROR(ROUND(K13/J13,2),0))</f>
        <v/>
      </c>
      <c r="T13" s="18" t="str">
        <f aca="false">IF(A13="","",IFERROR(ROUND(J13/L13*100,2),0))</f>
        <v/>
      </c>
      <c r="U13" s="12" t="str">
        <f aca="false">IF(A13="","",IFERROR(ROUND(N13/Settings!$B$2,2),0))</f>
        <v/>
      </c>
    </row>
    <row r="14" customFormat="false" ht="15" hidden="false" customHeight="false" outlineLevel="0" collapsed="false">
      <c r="A14" s="24"/>
      <c r="B14" s="25" t="str">
        <f aca="false">IF(A14="","",COUNTIFS('Perm Placements'!$A$5:$A$34,"&gt;="&amp;A14,'Perm Placements'!$A$5:$A$34,"&lt;"&amp;DATE(YEAR(A14),MONTH(A14)+1,1)))</f>
        <v/>
      </c>
      <c r="C14" s="10"/>
      <c r="D14" s="25" t="str">
        <f aca="false">IF(A14="","",IF(C14&lt;&gt;"",C14,B14))</f>
        <v/>
      </c>
      <c r="E14" s="12" t="str">
        <f aca="false">IF(A14="","",ROUND(SUMIFS('Perm Placements'!$O$5:$O$34,'Perm Placements'!$A$5:$A$34,"&gt;="&amp;A14,'Perm Placements'!$A$5:$A$34,"&lt;"&amp;DATE(YEAR(A14),MONTH(A14)+1,1)),2))</f>
        <v/>
      </c>
      <c r="F14" s="11"/>
      <c r="G14" s="12" t="str">
        <f aca="false">IF(A14="","",IF(F14&lt;&gt;"",F14,E14))</f>
        <v/>
      </c>
      <c r="H14" s="11"/>
      <c r="I14" s="10"/>
      <c r="J14" s="10"/>
      <c r="K14" s="10"/>
      <c r="L14" s="10"/>
      <c r="M14" s="10"/>
      <c r="N14" s="12" t="str">
        <f aca="false">IF(A14="","",ROUND(G14+H14,2))</f>
        <v/>
      </c>
      <c r="O14" s="12" t="str">
        <f aca="false">IF(A14="","",ROUND(Settings!$B$16/12,2))</f>
        <v/>
      </c>
      <c r="P14" s="12" t="str">
        <f aca="false">IF(A14="","",ROUND(N14-O14,2))</f>
        <v/>
      </c>
      <c r="Q14" s="18" t="str">
        <f aca="false">IF(A14="","",IFERROR(ROUND(J14/I14*100,2),0))</f>
        <v/>
      </c>
      <c r="R14" s="26" t="str">
        <f aca="false">IF(A14="","",IFERROR(ROUND(M14/J14,2),0))</f>
        <v/>
      </c>
      <c r="S14" s="26" t="str">
        <f aca="false">IF(A14="","",IFERROR(ROUND(K14/J14,2),0))</f>
        <v/>
      </c>
      <c r="T14" s="18" t="str">
        <f aca="false">IF(A14="","",IFERROR(ROUND(J14/L14*100,2),0))</f>
        <v/>
      </c>
      <c r="U14" s="12" t="str">
        <f aca="false">IF(A14="","",IFERROR(ROUND(N14/Settings!$B$2,2),0))</f>
        <v/>
      </c>
    </row>
    <row r="15" customFormat="false" ht="15" hidden="false" customHeight="false" outlineLevel="0" collapsed="false">
      <c r="A15" s="24"/>
      <c r="B15" s="25" t="str">
        <f aca="false">IF(A15="","",COUNTIFS('Perm Placements'!$A$5:$A$34,"&gt;="&amp;A15,'Perm Placements'!$A$5:$A$34,"&lt;"&amp;DATE(YEAR(A15),MONTH(A15)+1,1)))</f>
        <v/>
      </c>
      <c r="C15" s="10"/>
      <c r="D15" s="25" t="str">
        <f aca="false">IF(A15="","",IF(C15&lt;&gt;"",C15,B15))</f>
        <v/>
      </c>
      <c r="E15" s="12" t="str">
        <f aca="false">IF(A15="","",ROUND(SUMIFS('Perm Placements'!$O$5:$O$34,'Perm Placements'!$A$5:$A$34,"&gt;="&amp;A15,'Perm Placements'!$A$5:$A$34,"&lt;"&amp;DATE(YEAR(A15),MONTH(A15)+1,1)),2))</f>
        <v/>
      </c>
      <c r="F15" s="11"/>
      <c r="G15" s="12" t="str">
        <f aca="false">IF(A15="","",IF(F15&lt;&gt;"",F15,E15))</f>
        <v/>
      </c>
      <c r="H15" s="11"/>
      <c r="I15" s="10"/>
      <c r="J15" s="10"/>
      <c r="K15" s="10"/>
      <c r="L15" s="10"/>
      <c r="M15" s="10"/>
      <c r="N15" s="12" t="str">
        <f aca="false">IF(A15="","",ROUND(G15+H15,2))</f>
        <v/>
      </c>
      <c r="O15" s="12" t="str">
        <f aca="false">IF(A15="","",ROUND(Settings!$B$16/12,2))</f>
        <v/>
      </c>
      <c r="P15" s="12" t="str">
        <f aca="false">IF(A15="","",ROUND(N15-O15,2))</f>
        <v/>
      </c>
      <c r="Q15" s="18" t="str">
        <f aca="false">IF(A15="","",IFERROR(ROUND(J15/I15*100,2),0))</f>
        <v/>
      </c>
      <c r="R15" s="26" t="str">
        <f aca="false">IF(A15="","",IFERROR(ROUND(M15/J15,2),0))</f>
        <v/>
      </c>
      <c r="S15" s="26" t="str">
        <f aca="false">IF(A15="","",IFERROR(ROUND(K15/J15,2),0))</f>
        <v/>
      </c>
      <c r="T15" s="18" t="str">
        <f aca="false">IF(A15="","",IFERROR(ROUND(J15/L15*100,2),0))</f>
        <v/>
      </c>
      <c r="U15" s="12" t="str">
        <f aca="false">IF(A15="","",IFERROR(ROUND(N15/Settings!$B$2,2),0))</f>
        <v/>
      </c>
    </row>
    <row r="16" customFormat="false" ht="15" hidden="false" customHeight="false" outlineLevel="0" collapsed="false">
      <c r="A16" s="24"/>
      <c r="B16" s="25" t="str">
        <f aca="false">IF(A16="","",COUNTIFS('Perm Placements'!$A$5:$A$34,"&gt;="&amp;A16,'Perm Placements'!$A$5:$A$34,"&lt;"&amp;DATE(YEAR(A16),MONTH(A16)+1,1)))</f>
        <v/>
      </c>
      <c r="C16" s="10"/>
      <c r="D16" s="25" t="str">
        <f aca="false">IF(A16="","",IF(C16&lt;&gt;"",C16,B16))</f>
        <v/>
      </c>
      <c r="E16" s="12" t="str">
        <f aca="false">IF(A16="","",ROUND(SUMIFS('Perm Placements'!$O$5:$O$34,'Perm Placements'!$A$5:$A$34,"&gt;="&amp;A16,'Perm Placements'!$A$5:$A$34,"&lt;"&amp;DATE(YEAR(A16),MONTH(A16)+1,1)),2))</f>
        <v/>
      </c>
      <c r="F16" s="11"/>
      <c r="G16" s="12" t="str">
        <f aca="false">IF(A16="","",IF(F16&lt;&gt;"",F16,E16))</f>
        <v/>
      </c>
      <c r="H16" s="11"/>
      <c r="I16" s="10"/>
      <c r="J16" s="10"/>
      <c r="K16" s="10"/>
      <c r="L16" s="10"/>
      <c r="M16" s="10"/>
      <c r="N16" s="12" t="str">
        <f aca="false">IF(A16="","",ROUND(G16+H16,2))</f>
        <v/>
      </c>
      <c r="O16" s="12" t="str">
        <f aca="false">IF(A16="","",ROUND(Settings!$B$16/12,2))</f>
        <v/>
      </c>
      <c r="P16" s="12" t="str">
        <f aca="false">IF(A16="","",ROUND(N16-O16,2))</f>
        <v/>
      </c>
      <c r="Q16" s="18" t="str">
        <f aca="false">IF(A16="","",IFERROR(ROUND(J16/I16*100,2),0))</f>
        <v/>
      </c>
      <c r="R16" s="26" t="str">
        <f aca="false">IF(A16="","",IFERROR(ROUND(M16/J16,2),0))</f>
        <v/>
      </c>
      <c r="S16" s="26" t="str">
        <f aca="false">IF(A16="","",IFERROR(ROUND(K16/J16,2),0))</f>
        <v/>
      </c>
      <c r="T16" s="18" t="str">
        <f aca="false">IF(A16="","",IFERROR(ROUND(J16/L16*100,2),0))</f>
        <v/>
      </c>
      <c r="U16" s="12" t="str">
        <f aca="false">IF(A16="","",IFERROR(ROUND(N16/Settings!$B$2,2),0))</f>
        <v/>
      </c>
    </row>
    <row r="17" customFormat="false" ht="15" hidden="false" customHeight="false" outlineLevel="0" collapsed="false">
      <c r="A17" s="5" t="s">
        <v>102</v>
      </c>
      <c r="D17" s="27" t="n">
        <f aca="false">SUM(D5:D16)</f>
        <v>8</v>
      </c>
      <c r="G17" s="13" t="n">
        <f aca="false">SUM(G5:G16)</f>
        <v>75050</v>
      </c>
      <c r="H17" s="13" t="n">
        <f aca="false">SUM(H5:H16)</f>
        <v>95000</v>
      </c>
      <c r="I17" s="27" t="n">
        <f aca="false">SUM(I5:I16)</f>
        <v>72</v>
      </c>
      <c r="J17" s="27" t="n">
        <f aca="false">SUM(J5:J16)</f>
        <v>31</v>
      </c>
      <c r="K17" s="27" t="n">
        <f aca="false">SUM(K5:K16)</f>
        <v>191</v>
      </c>
      <c r="L17" s="27" t="n">
        <f aca="false">SUM(L5:L16)</f>
        <v>82</v>
      </c>
      <c r="M17" s="27" t="n">
        <f aca="false">SUM(M5:M16)</f>
        <v>987</v>
      </c>
      <c r="N17" s="13" t="n">
        <f aca="false">SUM(N5:N16)</f>
        <v>170050</v>
      </c>
      <c r="O17" s="13" t="n">
        <f aca="false">SUM(O5:O16)</f>
        <v>186000</v>
      </c>
      <c r="P17" s="13" t="n">
        <f aca="false">SUM(P5:P16)</f>
        <v>-15950</v>
      </c>
      <c r="Q17" s="14" t="n">
        <f aca="false">IFERROR(ROUND(J17/I17*100,2),0)</f>
        <v>43.06</v>
      </c>
      <c r="R17" s="28" t="n">
        <f aca="false">IFERROR(ROUND(M17/J17,2),0)</f>
        <v>31.84</v>
      </c>
      <c r="S17" s="28" t="n">
        <f aca="false">IFERROR(ROUND(K17/J17,2),0)</f>
        <v>6.16</v>
      </c>
      <c r="T17" s="14" t="n">
        <f aca="false">IFERROR(ROUND(J17/L17*100,2),0)</f>
        <v>37.8</v>
      </c>
      <c r="U17" s="13" t="n">
        <f aca="false">IFERROR(ROUND(N17/Settings!$B$2,2),0)</f>
        <v>42512.5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3" min="2" style="1" width="12"/>
    <col collapsed="false" customWidth="true" hidden="false" outlineLevel="0" max="5" min="4" style="1" width="11"/>
    <col collapsed="false" customWidth="true" hidden="false" outlineLevel="0" max="6" min="6" style="1" width="10"/>
    <col collapsed="false" customWidth="true" hidden="false" outlineLevel="0" max="8" min="7" style="1" width="11"/>
    <col collapsed="false" customWidth="true" hidden="false" outlineLevel="0" max="9" min="9" style="1" width="10"/>
    <col collapsed="false" customWidth="true" hidden="false" outlineLevel="0" max="11" min="10" style="1" width="11"/>
    <col collapsed="false" customWidth="true" hidden="false" outlineLevel="0" max="12" min="12" style="1" width="10"/>
    <col collapsed="false" customWidth="true" hidden="false" outlineLevel="0" max="13" min="13" style="1" width="14"/>
    <col collapsed="false" customWidth="true" hidden="false" outlineLevel="0" max="18" min="14" style="1" width="12"/>
  </cols>
  <sheetData>
    <row r="1" customFormat="false" ht="17.35" hidden="false" customHeight="false" outlineLevel="0" collapsed="false">
      <c r="A1" s="2" t="s">
        <v>155</v>
      </c>
    </row>
    <row r="2" customFormat="false" ht="15" hidden="false" customHeight="false" outlineLevel="0" collapsed="false">
      <c r="A2" s="3" t="s">
        <v>156</v>
      </c>
    </row>
    <row r="4" customFormat="false" ht="52.2" hidden="false" customHeight="false" outlineLevel="0" collapsed="false">
      <c r="A4" s="15" t="s">
        <v>157</v>
      </c>
      <c r="B4" s="15" t="s">
        <v>158</v>
      </c>
      <c r="C4" s="15" t="s">
        <v>78</v>
      </c>
      <c r="D4" s="15" t="s">
        <v>159</v>
      </c>
      <c r="E4" s="15" t="s">
        <v>160</v>
      </c>
      <c r="F4" s="15" t="s">
        <v>161</v>
      </c>
      <c r="G4" s="15" t="s">
        <v>162</v>
      </c>
      <c r="H4" s="15" t="s">
        <v>163</v>
      </c>
      <c r="I4" s="15" t="s">
        <v>164</v>
      </c>
      <c r="J4" s="15" t="s">
        <v>165</v>
      </c>
      <c r="K4" s="15" t="s">
        <v>166</v>
      </c>
      <c r="L4" s="15" t="s">
        <v>167</v>
      </c>
      <c r="M4" s="15" t="s">
        <v>168</v>
      </c>
      <c r="N4" s="15" t="s">
        <v>169</v>
      </c>
      <c r="O4" s="15" t="s">
        <v>170</v>
      </c>
      <c r="P4" s="15" t="s">
        <v>171</v>
      </c>
      <c r="Q4" s="15" t="s">
        <v>172</v>
      </c>
      <c r="R4" s="15" t="s">
        <v>173</v>
      </c>
    </row>
    <row r="5" customFormat="false" ht="15" hidden="false" customHeight="false" outlineLevel="0" collapsed="false">
      <c r="A5" s="17" t="s">
        <v>174</v>
      </c>
      <c r="B5" s="16" t="n">
        <v>46034</v>
      </c>
      <c r="C5" s="7" t="n">
        <v>9750</v>
      </c>
      <c r="D5" s="25" t="n">
        <f aca="false">IF(A5="","",Settings!$B$11)</f>
        <v>90</v>
      </c>
      <c r="E5" s="10"/>
      <c r="F5" s="25" t="n">
        <f aca="false">IF(A5="","",IF(E5&lt;&gt;"",E5,D5))</f>
        <v>90</v>
      </c>
      <c r="G5" s="18" t="n">
        <f aca="false">IF(A5="","",Settings!$B$12)</f>
        <v>8</v>
      </c>
      <c r="H5" s="8"/>
      <c r="I5" s="18" t="n">
        <f aca="false">IF(A5="","",IF(H5&lt;&gt;"",H5,G5))</f>
        <v>8</v>
      </c>
      <c r="J5" s="18" t="n">
        <f aca="false">IF(A5="","",Settings!$B$13)</f>
        <v>100</v>
      </c>
      <c r="K5" s="8"/>
      <c r="L5" s="18" t="n">
        <f aca="false">IF(A5="","",IF(K5&lt;&gt;"",K5,J5))</f>
        <v>100</v>
      </c>
      <c r="M5" s="17" t="s">
        <v>175</v>
      </c>
      <c r="N5" s="29" t="n">
        <f aca="false">IF(A5="","",B5+F5)</f>
        <v>46124</v>
      </c>
      <c r="O5" s="12" t="n">
        <f aca="false">IF(A5="","",ROUND(C5*L5*I5/10000,2))</f>
        <v>780</v>
      </c>
      <c r="P5" s="12" t="n">
        <f aca="false">IF(A5="","",IF(M5="retained",O5,0))</f>
        <v>780</v>
      </c>
      <c r="Q5" s="12" t="n">
        <f aca="false">IF(A5="","",IF(M5="fell off",ROUND(C5*L5/100,2),0))</f>
        <v>0</v>
      </c>
      <c r="R5" s="12" t="n">
        <f aca="false">IF(A5="","",IF(M5="in guarantee",O5,0))</f>
        <v>0</v>
      </c>
    </row>
    <row r="6" customFormat="false" ht="15" hidden="false" customHeight="false" outlineLevel="0" collapsed="false">
      <c r="A6" s="17" t="s">
        <v>176</v>
      </c>
      <c r="B6" s="16" t="n">
        <v>46048</v>
      </c>
      <c r="C6" s="7" t="n">
        <v>9600</v>
      </c>
      <c r="D6" s="25" t="n">
        <f aca="false">IF(A6="","",Settings!$B$11)</f>
        <v>90</v>
      </c>
      <c r="E6" s="10"/>
      <c r="F6" s="25" t="n">
        <f aca="false">IF(A6="","",IF(E6&lt;&gt;"",E6,D6))</f>
        <v>90</v>
      </c>
      <c r="G6" s="18" t="n">
        <f aca="false">IF(A6="","",Settings!$B$12)</f>
        <v>8</v>
      </c>
      <c r="H6" s="8"/>
      <c r="I6" s="18" t="n">
        <f aca="false">IF(A6="","",IF(H6&lt;&gt;"",H6,G6))</f>
        <v>8</v>
      </c>
      <c r="J6" s="18" t="n">
        <f aca="false">IF(A6="","",Settings!$B$13)</f>
        <v>100</v>
      </c>
      <c r="K6" s="8"/>
      <c r="L6" s="18" t="n">
        <f aca="false">IF(A6="","",IF(K6&lt;&gt;"",K6,J6))</f>
        <v>100</v>
      </c>
      <c r="M6" s="17" t="s">
        <v>175</v>
      </c>
      <c r="N6" s="29" t="n">
        <f aca="false">IF(A6="","",B6+F6)</f>
        <v>46138</v>
      </c>
      <c r="O6" s="12" t="n">
        <f aca="false">IF(A6="","",ROUND(C6*L6*I6/10000,2))</f>
        <v>768</v>
      </c>
      <c r="P6" s="12" t="n">
        <f aca="false">IF(A6="","",IF(M6="retained",O6,0))</f>
        <v>768</v>
      </c>
      <c r="Q6" s="12" t="n">
        <f aca="false">IF(A6="","",IF(M6="fell off",ROUND(C6*L6/100,2),0))</f>
        <v>0</v>
      </c>
      <c r="R6" s="12" t="n">
        <f aca="false">IF(A6="","",IF(M6="in guarantee",O6,0))</f>
        <v>0</v>
      </c>
    </row>
    <row r="7" customFormat="false" ht="15" hidden="false" customHeight="false" outlineLevel="0" collapsed="false">
      <c r="A7" s="17" t="s">
        <v>177</v>
      </c>
      <c r="B7" s="16" t="n">
        <v>46062</v>
      </c>
      <c r="C7" s="7" t="n">
        <v>18700</v>
      </c>
      <c r="D7" s="25" t="n">
        <f aca="false">IF(A7="","",Settings!$B$11)</f>
        <v>90</v>
      </c>
      <c r="E7" s="10"/>
      <c r="F7" s="25" t="n">
        <f aca="false">IF(A7="","",IF(E7&lt;&gt;"",E7,D7))</f>
        <v>90</v>
      </c>
      <c r="G7" s="18" t="n">
        <f aca="false">IF(A7="","",Settings!$B$12)</f>
        <v>8</v>
      </c>
      <c r="H7" s="8"/>
      <c r="I7" s="18" t="n">
        <f aca="false">IF(A7="","",IF(H7&lt;&gt;"",H7,G7))</f>
        <v>8</v>
      </c>
      <c r="J7" s="18" t="n">
        <f aca="false">IF(A7="","",Settings!$B$13)</f>
        <v>100</v>
      </c>
      <c r="K7" s="8" t="n">
        <v>50</v>
      </c>
      <c r="L7" s="18" t="n">
        <f aca="false">IF(A7="","",IF(K7&lt;&gt;"",K7,J7))</f>
        <v>50</v>
      </c>
      <c r="M7" s="17" t="s">
        <v>178</v>
      </c>
      <c r="N7" s="29" t="n">
        <f aca="false">IF(A7="","",B7+F7)</f>
        <v>46152</v>
      </c>
      <c r="O7" s="12" t="n">
        <f aca="false">IF(A7="","",ROUND(C7*L7*I7/10000,2))</f>
        <v>748</v>
      </c>
      <c r="P7" s="12" t="n">
        <f aca="false">IF(A7="","",IF(M7="retained",O7,0))</f>
        <v>0</v>
      </c>
      <c r="Q7" s="12" t="n">
        <f aca="false">IF(A7="","",IF(M7="fell off",ROUND(C7*L7/100,2),0))</f>
        <v>9350</v>
      </c>
      <c r="R7" s="12" t="n">
        <f aca="false">IF(A7="","",IF(M7="in guarantee",O7,0))</f>
        <v>0</v>
      </c>
    </row>
    <row r="8" customFormat="false" ht="15" hidden="false" customHeight="false" outlineLevel="0" collapsed="false">
      <c r="A8" s="17" t="s">
        <v>179</v>
      </c>
      <c r="B8" s="16" t="n">
        <v>46119</v>
      </c>
      <c r="C8" s="7" t="n">
        <v>7200</v>
      </c>
      <c r="D8" s="25" t="n">
        <f aca="false">IF(A8="","",Settings!$B$11)</f>
        <v>90</v>
      </c>
      <c r="E8" s="10"/>
      <c r="F8" s="25" t="n">
        <f aca="false">IF(A8="","",IF(E8&lt;&gt;"",E8,D8))</f>
        <v>90</v>
      </c>
      <c r="G8" s="18" t="n">
        <f aca="false">IF(A8="","",Settings!$B$12)</f>
        <v>8</v>
      </c>
      <c r="H8" s="8" t="n">
        <v>12</v>
      </c>
      <c r="I8" s="18" t="n">
        <f aca="false">IF(A8="","",IF(H8&lt;&gt;"",H8,G8))</f>
        <v>12</v>
      </c>
      <c r="J8" s="18" t="n">
        <f aca="false">IF(A8="","",Settings!$B$13)</f>
        <v>100</v>
      </c>
      <c r="K8" s="8"/>
      <c r="L8" s="18" t="n">
        <f aca="false">IF(A8="","",IF(K8&lt;&gt;"",K8,J8))</f>
        <v>100</v>
      </c>
      <c r="M8" s="17" t="s">
        <v>175</v>
      </c>
      <c r="N8" s="29" t="n">
        <f aca="false">IF(A8="","",B8+F8)</f>
        <v>46209</v>
      </c>
      <c r="O8" s="12" t="n">
        <f aca="false">IF(A8="","",ROUND(C8*L8*I8/10000,2))</f>
        <v>864</v>
      </c>
      <c r="P8" s="12" t="n">
        <f aca="false">IF(A8="","",IF(M8="retained",O8,0))</f>
        <v>864</v>
      </c>
      <c r="Q8" s="12" t="n">
        <f aca="false">IF(A8="","",IF(M8="fell off",ROUND(C8*L8/100,2),0))</f>
        <v>0</v>
      </c>
      <c r="R8" s="12" t="n">
        <f aca="false">IF(A8="","",IF(M8="in guarantee",O8,0))</f>
        <v>0</v>
      </c>
    </row>
    <row r="9" customFormat="false" ht="15" hidden="false" customHeight="false" outlineLevel="0" collapsed="false">
      <c r="A9" s="17" t="s">
        <v>180</v>
      </c>
      <c r="B9" s="16" t="n">
        <v>46156</v>
      </c>
      <c r="C9" s="7" t="n">
        <v>10400</v>
      </c>
      <c r="D9" s="25" t="n">
        <f aca="false">IF(A9="","",Settings!$B$11)</f>
        <v>90</v>
      </c>
      <c r="E9" s="10" t="n">
        <v>180</v>
      </c>
      <c r="F9" s="25" t="n">
        <f aca="false">IF(A9="","",IF(E9&lt;&gt;"",E9,D9))</f>
        <v>180</v>
      </c>
      <c r="G9" s="18" t="n">
        <f aca="false">IF(A9="","",Settings!$B$12)</f>
        <v>8</v>
      </c>
      <c r="H9" s="8"/>
      <c r="I9" s="18" t="n">
        <f aca="false">IF(A9="","",IF(H9&lt;&gt;"",H9,G9))</f>
        <v>8</v>
      </c>
      <c r="J9" s="18" t="n">
        <f aca="false">IF(A9="","",Settings!$B$13)</f>
        <v>100</v>
      </c>
      <c r="K9" s="8"/>
      <c r="L9" s="18" t="n">
        <f aca="false">IF(A9="","",IF(K9&lt;&gt;"",K9,J9))</f>
        <v>100</v>
      </c>
      <c r="M9" s="17" t="s">
        <v>181</v>
      </c>
      <c r="N9" s="29" t="n">
        <f aca="false">IF(A9="","",B9+F9)</f>
        <v>46336</v>
      </c>
      <c r="O9" s="12" t="n">
        <f aca="false">IF(A9="","",ROUND(C9*L9*I9/10000,2))</f>
        <v>832</v>
      </c>
      <c r="P9" s="12" t="n">
        <f aca="false">IF(A9="","",IF(M9="retained",O9,0))</f>
        <v>0</v>
      </c>
      <c r="Q9" s="12" t="n">
        <f aca="false">IF(A9="","",IF(M9="fell off",ROUND(C9*L9/100,2),0))</f>
        <v>0</v>
      </c>
      <c r="R9" s="12" t="n">
        <f aca="false">IF(A9="","",IF(M9="in guarantee",O9,0))</f>
        <v>832</v>
      </c>
    </row>
    <row r="10" customFormat="false" ht="15" hidden="false" customHeight="false" outlineLevel="0" collapsed="false">
      <c r="A10" s="17" t="s">
        <v>182</v>
      </c>
      <c r="B10" s="16" t="n">
        <v>46175</v>
      </c>
      <c r="C10" s="7" t="n">
        <v>9000</v>
      </c>
      <c r="D10" s="25" t="n">
        <f aca="false">IF(A10="","",Settings!$B$11)</f>
        <v>90</v>
      </c>
      <c r="E10" s="10" t="n">
        <v>180</v>
      </c>
      <c r="F10" s="25" t="n">
        <f aca="false">IF(A10="","",IF(E10&lt;&gt;"",E10,D10))</f>
        <v>180</v>
      </c>
      <c r="G10" s="18" t="n">
        <f aca="false">IF(A10="","",Settings!$B$12)</f>
        <v>8</v>
      </c>
      <c r="H10" s="8"/>
      <c r="I10" s="18" t="n">
        <f aca="false">IF(A10="","",IF(H10&lt;&gt;"",H10,G10))</f>
        <v>8</v>
      </c>
      <c r="J10" s="18" t="n">
        <f aca="false">IF(A10="","",Settings!$B$13)</f>
        <v>100</v>
      </c>
      <c r="K10" s="8"/>
      <c r="L10" s="18" t="n">
        <f aca="false">IF(A10="","",IF(K10&lt;&gt;"",K10,J10))</f>
        <v>100</v>
      </c>
      <c r="M10" s="17" t="s">
        <v>181</v>
      </c>
      <c r="N10" s="29" t="n">
        <f aca="false">IF(A10="","",B10+F10)</f>
        <v>46355</v>
      </c>
      <c r="O10" s="12" t="n">
        <f aca="false">IF(A10="","",ROUND(C10*L10*I10/10000,2))</f>
        <v>720</v>
      </c>
      <c r="P10" s="12" t="n">
        <f aca="false">IF(A10="","",IF(M10="retained",O10,0))</f>
        <v>0</v>
      </c>
      <c r="Q10" s="12" t="n">
        <f aca="false">IF(A10="","",IF(M10="fell off",ROUND(C10*L10/100,2),0))</f>
        <v>0</v>
      </c>
      <c r="R10" s="12" t="n">
        <f aca="false">IF(A10="","",IF(M10="in guarantee",O10,0))</f>
        <v>720</v>
      </c>
    </row>
    <row r="11" customFormat="false" ht="15" hidden="false" customHeight="false" outlineLevel="0" collapsed="false">
      <c r="A11" s="17"/>
      <c r="B11" s="16"/>
      <c r="C11" s="11"/>
      <c r="D11" s="25" t="str">
        <f aca="false">IF(A11="","",Settings!$B$11)</f>
        <v/>
      </c>
      <c r="E11" s="10"/>
      <c r="F11" s="25" t="str">
        <f aca="false">IF(A11="","",IF(E11&lt;&gt;"",E11,D11))</f>
        <v/>
      </c>
      <c r="G11" s="18" t="str">
        <f aca="false">IF(A11="","",Settings!$B$12)</f>
        <v/>
      </c>
      <c r="H11" s="8"/>
      <c r="I11" s="18" t="str">
        <f aca="false">IF(A11="","",IF(H11&lt;&gt;"",H11,G11))</f>
        <v/>
      </c>
      <c r="J11" s="18" t="str">
        <f aca="false">IF(A11="","",Settings!$B$13)</f>
        <v/>
      </c>
      <c r="K11" s="8"/>
      <c r="L11" s="18" t="str">
        <f aca="false">IF(A11="","",IF(K11&lt;&gt;"",K11,J11))</f>
        <v/>
      </c>
      <c r="M11" s="17"/>
      <c r="N11" s="29" t="str">
        <f aca="false">IF(A11="","",B11+F11)</f>
        <v/>
      </c>
      <c r="O11" s="12" t="str">
        <f aca="false">IF(A11="","",ROUND(C11*L11*I11/10000,2))</f>
        <v/>
      </c>
      <c r="P11" s="12" t="str">
        <f aca="false">IF(A11="","",IF(M11="retained",O11,0))</f>
        <v/>
      </c>
      <c r="Q11" s="12" t="str">
        <f aca="false">IF(A11="","",IF(M11="fell off",ROUND(C11*L11/100,2),0))</f>
        <v/>
      </c>
      <c r="R11" s="12" t="str">
        <f aca="false">IF(A11="","",IF(M11="in guarantee",O11,0))</f>
        <v/>
      </c>
    </row>
    <row r="12" customFormat="false" ht="15" hidden="false" customHeight="false" outlineLevel="0" collapsed="false">
      <c r="A12" s="17"/>
      <c r="B12" s="16"/>
      <c r="C12" s="11"/>
      <c r="D12" s="25" t="str">
        <f aca="false">IF(A12="","",Settings!$B$11)</f>
        <v/>
      </c>
      <c r="E12" s="10"/>
      <c r="F12" s="25" t="str">
        <f aca="false">IF(A12="","",IF(E12&lt;&gt;"",E12,D12))</f>
        <v/>
      </c>
      <c r="G12" s="18" t="str">
        <f aca="false">IF(A12="","",Settings!$B$12)</f>
        <v/>
      </c>
      <c r="H12" s="8"/>
      <c r="I12" s="18" t="str">
        <f aca="false">IF(A12="","",IF(H12&lt;&gt;"",H12,G12))</f>
        <v/>
      </c>
      <c r="J12" s="18" t="str">
        <f aca="false">IF(A12="","",Settings!$B$13)</f>
        <v/>
      </c>
      <c r="K12" s="8"/>
      <c r="L12" s="18" t="str">
        <f aca="false">IF(A12="","",IF(K12&lt;&gt;"",K12,J12))</f>
        <v/>
      </c>
      <c r="M12" s="17"/>
      <c r="N12" s="29" t="str">
        <f aca="false">IF(A12="","",B12+F12)</f>
        <v/>
      </c>
      <c r="O12" s="12" t="str">
        <f aca="false">IF(A12="","",ROUND(C12*L12*I12/10000,2))</f>
        <v/>
      </c>
      <c r="P12" s="12" t="str">
        <f aca="false">IF(A12="","",IF(M12="retained",O12,0))</f>
        <v/>
      </c>
      <c r="Q12" s="12" t="str">
        <f aca="false">IF(A12="","",IF(M12="fell off",ROUND(C12*L12/100,2),0))</f>
        <v/>
      </c>
      <c r="R12" s="12" t="str">
        <f aca="false">IF(A12="","",IF(M12="in guarantee",O12,0))</f>
        <v/>
      </c>
    </row>
    <row r="13" customFormat="false" ht="15" hidden="false" customHeight="false" outlineLevel="0" collapsed="false">
      <c r="A13" s="17"/>
      <c r="B13" s="16"/>
      <c r="C13" s="11"/>
      <c r="D13" s="25" t="str">
        <f aca="false">IF(A13="","",Settings!$B$11)</f>
        <v/>
      </c>
      <c r="E13" s="10"/>
      <c r="F13" s="25" t="str">
        <f aca="false">IF(A13="","",IF(E13&lt;&gt;"",E13,D13))</f>
        <v/>
      </c>
      <c r="G13" s="18" t="str">
        <f aca="false">IF(A13="","",Settings!$B$12)</f>
        <v/>
      </c>
      <c r="H13" s="8"/>
      <c r="I13" s="18" t="str">
        <f aca="false">IF(A13="","",IF(H13&lt;&gt;"",H13,G13))</f>
        <v/>
      </c>
      <c r="J13" s="18" t="str">
        <f aca="false">IF(A13="","",Settings!$B$13)</f>
        <v/>
      </c>
      <c r="K13" s="8"/>
      <c r="L13" s="18" t="str">
        <f aca="false">IF(A13="","",IF(K13&lt;&gt;"",K13,J13))</f>
        <v/>
      </c>
      <c r="M13" s="17"/>
      <c r="N13" s="29" t="str">
        <f aca="false">IF(A13="","",B13+F13)</f>
        <v/>
      </c>
      <c r="O13" s="12" t="str">
        <f aca="false">IF(A13="","",ROUND(C13*L13*I13/10000,2))</f>
        <v/>
      </c>
      <c r="P13" s="12" t="str">
        <f aca="false">IF(A13="","",IF(M13="retained",O13,0))</f>
        <v/>
      </c>
      <c r="Q13" s="12" t="str">
        <f aca="false">IF(A13="","",IF(M13="fell off",ROUND(C13*L13/100,2),0))</f>
        <v/>
      </c>
      <c r="R13" s="12" t="str">
        <f aca="false">IF(A13="","",IF(M13="in guarantee",O13,0))</f>
        <v/>
      </c>
    </row>
    <row r="14" customFormat="false" ht="15" hidden="false" customHeight="false" outlineLevel="0" collapsed="false">
      <c r="A14" s="17"/>
      <c r="B14" s="16"/>
      <c r="C14" s="11"/>
      <c r="D14" s="25" t="str">
        <f aca="false">IF(A14="","",Settings!$B$11)</f>
        <v/>
      </c>
      <c r="E14" s="10"/>
      <c r="F14" s="25" t="str">
        <f aca="false">IF(A14="","",IF(E14&lt;&gt;"",E14,D14))</f>
        <v/>
      </c>
      <c r="G14" s="18" t="str">
        <f aca="false">IF(A14="","",Settings!$B$12)</f>
        <v/>
      </c>
      <c r="H14" s="8"/>
      <c r="I14" s="18" t="str">
        <f aca="false">IF(A14="","",IF(H14&lt;&gt;"",H14,G14))</f>
        <v/>
      </c>
      <c r="J14" s="18" t="str">
        <f aca="false">IF(A14="","",Settings!$B$13)</f>
        <v/>
      </c>
      <c r="K14" s="8"/>
      <c r="L14" s="18" t="str">
        <f aca="false">IF(A14="","",IF(K14&lt;&gt;"",K14,J14))</f>
        <v/>
      </c>
      <c r="M14" s="17"/>
      <c r="N14" s="29" t="str">
        <f aca="false">IF(A14="","",B14+F14)</f>
        <v/>
      </c>
      <c r="O14" s="12" t="str">
        <f aca="false">IF(A14="","",ROUND(C14*L14*I14/10000,2))</f>
        <v/>
      </c>
      <c r="P14" s="12" t="str">
        <f aca="false">IF(A14="","",IF(M14="retained",O14,0))</f>
        <v/>
      </c>
      <c r="Q14" s="12" t="str">
        <f aca="false">IF(A14="","",IF(M14="fell off",ROUND(C14*L14/100,2),0))</f>
        <v/>
      </c>
      <c r="R14" s="12" t="str">
        <f aca="false">IF(A14="","",IF(M14="in guarantee",O14,0))</f>
        <v/>
      </c>
    </row>
    <row r="15" customFormat="false" ht="15" hidden="false" customHeight="false" outlineLevel="0" collapsed="false">
      <c r="A15" s="17"/>
      <c r="B15" s="16"/>
      <c r="C15" s="11"/>
      <c r="D15" s="25" t="str">
        <f aca="false">IF(A15="","",Settings!$B$11)</f>
        <v/>
      </c>
      <c r="E15" s="10"/>
      <c r="F15" s="25" t="str">
        <f aca="false">IF(A15="","",IF(E15&lt;&gt;"",E15,D15))</f>
        <v/>
      </c>
      <c r="G15" s="18" t="str">
        <f aca="false">IF(A15="","",Settings!$B$12)</f>
        <v/>
      </c>
      <c r="H15" s="8"/>
      <c r="I15" s="18" t="str">
        <f aca="false">IF(A15="","",IF(H15&lt;&gt;"",H15,G15))</f>
        <v/>
      </c>
      <c r="J15" s="18" t="str">
        <f aca="false">IF(A15="","",Settings!$B$13)</f>
        <v/>
      </c>
      <c r="K15" s="8"/>
      <c r="L15" s="18" t="str">
        <f aca="false">IF(A15="","",IF(K15&lt;&gt;"",K15,J15))</f>
        <v/>
      </c>
      <c r="M15" s="17"/>
      <c r="N15" s="29" t="str">
        <f aca="false">IF(A15="","",B15+F15)</f>
        <v/>
      </c>
      <c r="O15" s="12" t="str">
        <f aca="false">IF(A15="","",ROUND(C15*L15*I15/10000,2))</f>
        <v/>
      </c>
      <c r="P15" s="12" t="str">
        <f aca="false">IF(A15="","",IF(M15="retained",O15,0))</f>
        <v/>
      </c>
      <c r="Q15" s="12" t="str">
        <f aca="false">IF(A15="","",IF(M15="fell off",ROUND(C15*L15/100,2),0))</f>
        <v/>
      </c>
      <c r="R15" s="12" t="str">
        <f aca="false">IF(A15="","",IF(M15="in guarantee",O15,0))</f>
        <v/>
      </c>
    </row>
    <row r="16" customFormat="false" ht="15" hidden="false" customHeight="false" outlineLevel="0" collapsed="false">
      <c r="A16" s="17"/>
      <c r="B16" s="16"/>
      <c r="C16" s="11"/>
      <c r="D16" s="25" t="str">
        <f aca="false">IF(A16="","",Settings!$B$11)</f>
        <v/>
      </c>
      <c r="E16" s="10"/>
      <c r="F16" s="25" t="str">
        <f aca="false">IF(A16="","",IF(E16&lt;&gt;"",E16,D16))</f>
        <v/>
      </c>
      <c r="G16" s="18" t="str">
        <f aca="false">IF(A16="","",Settings!$B$12)</f>
        <v/>
      </c>
      <c r="H16" s="8"/>
      <c r="I16" s="18" t="str">
        <f aca="false">IF(A16="","",IF(H16&lt;&gt;"",H16,G16))</f>
        <v/>
      </c>
      <c r="J16" s="18" t="str">
        <f aca="false">IF(A16="","",Settings!$B$13)</f>
        <v/>
      </c>
      <c r="K16" s="8"/>
      <c r="L16" s="18" t="str">
        <f aca="false">IF(A16="","",IF(K16&lt;&gt;"",K16,J16))</f>
        <v/>
      </c>
      <c r="M16" s="17"/>
      <c r="N16" s="29" t="str">
        <f aca="false">IF(A16="","",B16+F16)</f>
        <v/>
      </c>
      <c r="O16" s="12" t="str">
        <f aca="false">IF(A16="","",ROUND(C16*L16*I16/10000,2))</f>
        <v/>
      </c>
      <c r="P16" s="12" t="str">
        <f aca="false">IF(A16="","",IF(M16="retained",O16,0))</f>
        <v/>
      </c>
      <c r="Q16" s="12" t="str">
        <f aca="false">IF(A16="","",IF(M16="fell off",ROUND(C16*L16/100,2),0))</f>
        <v/>
      </c>
      <c r="R16" s="12" t="str">
        <f aca="false">IF(A16="","",IF(M16="in guarantee",O16,0))</f>
        <v/>
      </c>
    </row>
    <row r="17" customFormat="false" ht="15" hidden="false" customHeight="false" outlineLevel="0" collapsed="false">
      <c r="A17" s="17"/>
      <c r="B17" s="16"/>
      <c r="C17" s="11"/>
      <c r="D17" s="25" t="str">
        <f aca="false">IF(A17="","",Settings!$B$11)</f>
        <v/>
      </c>
      <c r="E17" s="10"/>
      <c r="F17" s="25" t="str">
        <f aca="false">IF(A17="","",IF(E17&lt;&gt;"",E17,D17))</f>
        <v/>
      </c>
      <c r="G17" s="18" t="str">
        <f aca="false">IF(A17="","",Settings!$B$12)</f>
        <v/>
      </c>
      <c r="H17" s="8"/>
      <c r="I17" s="18" t="str">
        <f aca="false">IF(A17="","",IF(H17&lt;&gt;"",H17,G17))</f>
        <v/>
      </c>
      <c r="J17" s="18" t="str">
        <f aca="false">IF(A17="","",Settings!$B$13)</f>
        <v/>
      </c>
      <c r="K17" s="8"/>
      <c r="L17" s="18" t="str">
        <f aca="false">IF(A17="","",IF(K17&lt;&gt;"",K17,J17))</f>
        <v/>
      </c>
      <c r="M17" s="17"/>
      <c r="N17" s="29" t="str">
        <f aca="false">IF(A17="","",B17+F17)</f>
        <v/>
      </c>
      <c r="O17" s="12" t="str">
        <f aca="false">IF(A17="","",ROUND(C17*L17*I17/10000,2))</f>
        <v/>
      </c>
      <c r="P17" s="12" t="str">
        <f aca="false">IF(A17="","",IF(M17="retained",O17,0))</f>
        <v/>
      </c>
      <c r="Q17" s="12" t="str">
        <f aca="false">IF(A17="","",IF(M17="fell off",ROUND(C17*L17/100,2),0))</f>
        <v/>
      </c>
      <c r="R17" s="12" t="str">
        <f aca="false">IF(A17="","",IF(M17="in guarantee",O17,0))</f>
        <v/>
      </c>
    </row>
    <row r="18" customFormat="false" ht="15" hidden="false" customHeight="false" outlineLevel="0" collapsed="false">
      <c r="A18" s="17"/>
      <c r="B18" s="16"/>
      <c r="C18" s="11"/>
      <c r="D18" s="25" t="str">
        <f aca="false">IF(A18="","",Settings!$B$11)</f>
        <v/>
      </c>
      <c r="E18" s="10"/>
      <c r="F18" s="25" t="str">
        <f aca="false">IF(A18="","",IF(E18&lt;&gt;"",E18,D18))</f>
        <v/>
      </c>
      <c r="G18" s="18" t="str">
        <f aca="false">IF(A18="","",Settings!$B$12)</f>
        <v/>
      </c>
      <c r="H18" s="8"/>
      <c r="I18" s="18" t="str">
        <f aca="false">IF(A18="","",IF(H18&lt;&gt;"",H18,G18))</f>
        <v/>
      </c>
      <c r="J18" s="18" t="str">
        <f aca="false">IF(A18="","",Settings!$B$13)</f>
        <v/>
      </c>
      <c r="K18" s="8"/>
      <c r="L18" s="18" t="str">
        <f aca="false">IF(A18="","",IF(K18&lt;&gt;"",K18,J18))</f>
        <v/>
      </c>
      <c r="M18" s="17"/>
      <c r="N18" s="29" t="str">
        <f aca="false">IF(A18="","",B18+F18)</f>
        <v/>
      </c>
      <c r="O18" s="12" t="str">
        <f aca="false">IF(A18="","",ROUND(C18*L18*I18/10000,2))</f>
        <v/>
      </c>
      <c r="P18" s="12" t="str">
        <f aca="false">IF(A18="","",IF(M18="retained",O18,0))</f>
        <v/>
      </c>
      <c r="Q18" s="12" t="str">
        <f aca="false">IF(A18="","",IF(M18="fell off",ROUND(C18*L18/100,2),0))</f>
        <v/>
      </c>
      <c r="R18" s="12" t="str">
        <f aca="false">IF(A18="","",IF(M18="in guarantee",O18,0))</f>
        <v/>
      </c>
    </row>
    <row r="19" customFormat="false" ht="15" hidden="false" customHeight="false" outlineLevel="0" collapsed="false">
      <c r="A19" s="17"/>
      <c r="B19" s="16"/>
      <c r="C19" s="11"/>
      <c r="D19" s="25" t="str">
        <f aca="false">IF(A19="","",Settings!$B$11)</f>
        <v/>
      </c>
      <c r="E19" s="10"/>
      <c r="F19" s="25" t="str">
        <f aca="false">IF(A19="","",IF(E19&lt;&gt;"",E19,D19))</f>
        <v/>
      </c>
      <c r="G19" s="18" t="str">
        <f aca="false">IF(A19="","",Settings!$B$12)</f>
        <v/>
      </c>
      <c r="H19" s="8"/>
      <c r="I19" s="18" t="str">
        <f aca="false">IF(A19="","",IF(H19&lt;&gt;"",H19,G19))</f>
        <v/>
      </c>
      <c r="J19" s="18" t="str">
        <f aca="false">IF(A19="","",Settings!$B$13)</f>
        <v/>
      </c>
      <c r="K19" s="8"/>
      <c r="L19" s="18" t="str">
        <f aca="false">IF(A19="","",IF(K19&lt;&gt;"",K19,J19))</f>
        <v/>
      </c>
      <c r="M19" s="17"/>
      <c r="N19" s="29" t="str">
        <f aca="false">IF(A19="","",B19+F19)</f>
        <v/>
      </c>
      <c r="O19" s="12" t="str">
        <f aca="false">IF(A19="","",ROUND(C19*L19*I19/10000,2))</f>
        <v/>
      </c>
      <c r="P19" s="12" t="str">
        <f aca="false">IF(A19="","",IF(M19="retained",O19,0))</f>
        <v/>
      </c>
      <c r="Q19" s="12" t="str">
        <f aca="false">IF(A19="","",IF(M19="fell off",ROUND(C19*L19/100,2),0))</f>
        <v/>
      </c>
      <c r="R19" s="12" t="str">
        <f aca="false">IF(A19="","",IF(M19="in guarantee",O19,0))</f>
        <v/>
      </c>
    </row>
    <row r="20" customFormat="false" ht="15" hidden="false" customHeight="false" outlineLevel="0" collapsed="false">
      <c r="A20" s="17"/>
      <c r="B20" s="16"/>
      <c r="C20" s="11"/>
      <c r="D20" s="25" t="str">
        <f aca="false">IF(A20="","",Settings!$B$11)</f>
        <v/>
      </c>
      <c r="E20" s="10"/>
      <c r="F20" s="25" t="str">
        <f aca="false">IF(A20="","",IF(E20&lt;&gt;"",E20,D20))</f>
        <v/>
      </c>
      <c r="G20" s="18" t="str">
        <f aca="false">IF(A20="","",Settings!$B$12)</f>
        <v/>
      </c>
      <c r="H20" s="8"/>
      <c r="I20" s="18" t="str">
        <f aca="false">IF(A20="","",IF(H20&lt;&gt;"",H20,G20))</f>
        <v/>
      </c>
      <c r="J20" s="18" t="str">
        <f aca="false">IF(A20="","",Settings!$B$13)</f>
        <v/>
      </c>
      <c r="K20" s="8"/>
      <c r="L20" s="18" t="str">
        <f aca="false">IF(A20="","",IF(K20&lt;&gt;"",K20,J20))</f>
        <v/>
      </c>
      <c r="M20" s="17"/>
      <c r="N20" s="29" t="str">
        <f aca="false">IF(A20="","",B20+F20)</f>
        <v/>
      </c>
      <c r="O20" s="12" t="str">
        <f aca="false">IF(A20="","",ROUND(C20*L20*I20/10000,2))</f>
        <v/>
      </c>
      <c r="P20" s="12" t="str">
        <f aca="false">IF(A20="","",IF(M20="retained",O20,0))</f>
        <v/>
      </c>
      <c r="Q20" s="12" t="str">
        <f aca="false">IF(A20="","",IF(M20="fell off",ROUND(C20*L20/100,2),0))</f>
        <v/>
      </c>
      <c r="R20" s="12" t="str">
        <f aca="false">IF(A20="","",IF(M20="in guarantee",O20,0))</f>
        <v/>
      </c>
    </row>
    <row r="21" customFormat="false" ht="15" hidden="false" customHeight="false" outlineLevel="0" collapsed="false">
      <c r="A21" s="17"/>
      <c r="B21" s="16"/>
      <c r="C21" s="11"/>
      <c r="D21" s="25" t="str">
        <f aca="false">IF(A21="","",Settings!$B$11)</f>
        <v/>
      </c>
      <c r="E21" s="10"/>
      <c r="F21" s="25" t="str">
        <f aca="false">IF(A21="","",IF(E21&lt;&gt;"",E21,D21))</f>
        <v/>
      </c>
      <c r="G21" s="18" t="str">
        <f aca="false">IF(A21="","",Settings!$B$12)</f>
        <v/>
      </c>
      <c r="H21" s="8"/>
      <c r="I21" s="18" t="str">
        <f aca="false">IF(A21="","",IF(H21&lt;&gt;"",H21,G21))</f>
        <v/>
      </c>
      <c r="J21" s="18" t="str">
        <f aca="false">IF(A21="","",Settings!$B$13)</f>
        <v/>
      </c>
      <c r="K21" s="8"/>
      <c r="L21" s="18" t="str">
        <f aca="false">IF(A21="","",IF(K21&lt;&gt;"",K21,J21))</f>
        <v/>
      </c>
      <c r="M21" s="17"/>
      <c r="N21" s="29" t="str">
        <f aca="false">IF(A21="","",B21+F21)</f>
        <v/>
      </c>
      <c r="O21" s="12" t="str">
        <f aca="false">IF(A21="","",ROUND(C21*L21*I21/10000,2))</f>
        <v/>
      </c>
      <c r="P21" s="12" t="str">
        <f aca="false">IF(A21="","",IF(M21="retained",O21,0))</f>
        <v/>
      </c>
      <c r="Q21" s="12" t="str">
        <f aca="false">IF(A21="","",IF(M21="fell off",ROUND(C21*L21/100,2),0))</f>
        <v/>
      </c>
      <c r="R21" s="12" t="str">
        <f aca="false">IF(A21="","",IF(M21="in guarantee",O21,0))</f>
        <v/>
      </c>
    </row>
    <row r="22" customFormat="false" ht="15" hidden="false" customHeight="false" outlineLevel="0" collapsed="false">
      <c r="A22" s="17"/>
      <c r="B22" s="16"/>
      <c r="C22" s="11"/>
      <c r="D22" s="25" t="str">
        <f aca="false">IF(A22="","",Settings!$B$11)</f>
        <v/>
      </c>
      <c r="E22" s="10"/>
      <c r="F22" s="25" t="str">
        <f aca="false">IF(A22="","",IF(E22&lt;&gt;"",E22,D22))</f>
        <v/>
      </c>
      <c r="G22" s="18" t="str">
        <f aca="false">IF(A22="","",Settings!$B$12)</f>
        <v/>
      </c>
      <c r="H22" s="8"/>
      <c r="I22" s="18" t="str">
        <f aca="false">IF(A22="","",IF(H22&lt;&gt;"",H22,G22))</f>
        <v/>
      </c>
      <c r="J22" s="18" t="str">
        <f aca="false">IF(A22="","",Settings!$B$13)</f>
        <v/>
      </c>
      <c r="K22" s="8"/>
      <c r="L22" s="18" t="str">
        <f aca="false">IF(A22="","",IF(K22&lt;&gt;"",K22,J22))</f>
        <v/>
      </c>
      <c r="M22" s="17"/>
      <c r="N22" s="29" t="str">
        <f aca="false">IF(A22="","",B22+F22)</f>
        <v/>
      </c>
      <c r="O22" s="12" t="str">
        <f aca="false">IF(A22="","",ROUND(C22*L22*I22/10000,2))</f>
        <v/>
      </c>
      <c r="P22" s="12" t="str">
        <f aca="false">IF(A22="","",IF(M22="retained",O22,0))</f>
        <v/>
      </c>
      <c r="Q22" s="12" t="str">
        <f aca="false">IF(A22="","",IF(M22="fell off",ROUND(C22*L22/100,2),0))</f>
        <v/>
      </c>
      <c r="R22" s="12" t="str">
        <f aca="false">IF(A22="","",IF(M22="in guarantee",O22,0))</f>
        <v/>
      </c>
    </row>
    <row r="23" customFormat="false" ht="15" hidden="false" customHeight="false" outlineLevel="0" collapsed="false">
      <c r="A23" s="17"/>
      <c r="B23" s="16"/>
      <c r="C23" s="11"/>
      <c r="D23" s="25" t="str">
        <f aca="false">IF(A23="","",Settings!$B$11)</f>
        <v/>
      </c>
      <c r="E23" s="10"/>
      <c r="F23" s="25" t="str">
        <f aca="false">IF(A23="","",IF(E23&lt;&gt;"",E23,D23))</f>
        <v/>
      </c>
      <c r="G23" s="18" t="str">
        <f aca="false">IF(A23="","",Settings!$B$12)</f>
        <v/>
      </c>
      <c r="H23" s="8"/>
      <c r="I23" s="18" t="str">
        <f aca="false">IF(A23="","",IF(H23&lt;&gt;"",H23,G23))</f>
        <v/>
      </c>
      <c r="J23" s="18" t="str">
        <f aca="false">IF(A23="","",Settings!$B$13)</f>
        <v/>
      </c>
      <c r="K23" s="8"/>
      <c r="L23" s="18" t="str">
        <f aca="false">IF(A23="","",IF(K23&lt;&gt;"",K23,J23))</f>
        <v/>
      </c>
      <c r="M23" s="17"/>
      <c r="N23" s="29" t="str">
        <f aca="false">IF(A23="","",B23+F23)</f>
        <v/>
      </c>
      <c r="O23" s="12" t="str">
        <f aca="false">IF(A23="","",ROUND(C23*L23*I23/10000,2))</f>
        <v/>
      </c>
      <c r="P23" s="12" t="str">
        <f aca="false">IF(A23="","",IF(M23="retained",O23,0))</f>
        <v/>
      </c>
      <c r="Q23" s="12" t="str">
        <f aca="false">IF(A23="","",IF(M23="fell off",ROUND(C23*L23/100,2),0))</f>
        <v/>
      </c>
      <c r="R23" s="12" t="str">
        <f aca="false">IF(A23="","",IF(M23="in guarantee",O23,0))</f>
        <v/>
      </c>
    </row>
    <row r="24" customFormat="false" ht="15" hidden="false" customHeight="false" outlineLevel="0" collapsed="false">
      <c r="A24" s="17"/>
      <c r="B24" s="16"/>
      <c r="C24" s="11"/>
      <c r="D24" s="25" t="str">
        <f aca="false">IF(A24="","",Settings!$B$11)</f>
        <v/>
      </c>
      <c r="E24" s="10"/>
      <c r="F24" s="25" t="str">
        <f aca="false">IF(A24="","",IF(E24&lt;&gt;"",E24,D24))</f>
        <v/>
      </c>
      <c r="G24" s="18" t="str">
        <f aca="false">IF(A24="","",Settings!$B$12)</f>
        <v/>
      </c>
      <c r="H24" s="8"/>
      <c r="I24" s="18" t="str">
        <f aca="false">IF(A24="","",IF(H24&lt;&gt;"",H24,G24))</f>
        <v/>
      </c>
      <c r="J24" s="18" t="str">
        <f aca="false">IF(A24="","",Settings!$B$13)</f>
        <v/>
      </c>
      <c r="K24" s="8"/>
      <c r="L24" s="18" t="str">
        <f aca="false">IF(A24="","",IF(K24&lt;&gt;"",K24,J24))</f>
        <v/>
      </c>
      <c r="M24" s="17"/>
      <c r="N24" s="29" t="str">
        <f aca="false">IF(A24="","",B24+F24)</f>
        <v/>
      </c>
      <c r="O24" s="12" t="str">
        <f aca="false">IF(A24="","",ROUND(C24*L24*I24/10000,2))</f>
        <v/>
      </c>
      <c r="P24" s="12" t="str">
        <f aca="false">IF(A24="","",IF(M24="retained",O24,0))</f>
        <v/>
      </c>
      <c r="Q24" s="12" t="str">
        <f aca="false">IF(A24="","",IF(M24="fell off",ROUND(C24*L24/100,2),0))</f>
        <v/>
      </c>
      <c r="R24" s="12" t="str">
        <f aca="false">IF(A24="","",IF(M24="in guarantee",O24,0))</f>
        <v/>
      </c>
    </row>
    <row r="25" customFormat="false" ht="15" hidden="false" customHeight="false" outlineLevel="0" collapsed="false">
      <c r="A25" s="5" t="s">
        <v>102</v>
      </c>
      <c r="C25" s="13" t="n">
        <f aca="false">SUM(C5:C24)</f>
        <v>64650</v>
      </c>
      <c r="O25" s="13" t="n">
        <f aca="false">SUM(O5:O24)</f>
        <v>4712</v>
      </c>
      <c r="P25" s="13" t="n">
        <f aca="false">SUM(P5:P24)</f>
        <v>2412</v>
      </c>
      <c r="Q25" s="13" t="n">
        <f aca="false">SUM(Q5:Q24)</f>
        <v>9350</v>
      </c>
      <c r="R25" s="13" t="n">
        <f aca="false">SUM(R5:R24)</f>
        <v>1552</v>
      </c>
    </row>
  </sheetData>
  <dataValidations count="1">
    <dataValidation allowBlank="true" errorStyle="stop" operator="between" showDropDown="false" showErrorMessage="false" showInputMessage="false" sqref="M5:M24" type="list">
      <formula1>"in guarantee,retained,fell off"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2" min="2" style="1" width="24"/>
    <col collapsed="false" customWidth="true" hidden="false" outlineLevel="0" max="3" min="3" style="1" width="80"/>
  </cols>
  <sheetData>
    <row r="1" customFormat="false" ht="17.35" hidden="false" customHeight="false" outlineLevel="0" collapsed="false">
      <c r="A1" s="2" t="s">
        <v>183</v>
      </c>
    </row>
    <row r="2" customFormat="false" ht="15" hidden="false" customHeight="false" outlineLevel="0" collapsed="false">
      <c r="A2" s="5" t="s">
        <v>184</v>
      </c>
      <c r="B2" s="27" t="n">
        <f aca="false">Settings!$B$2</f>
        <v>4</v>
      </c>
      <c r="C2" s="3" t="s">
        <v>185</v>
      </c>
    </row>
    <row r="3" customFormat="false" ht="15" hidden="false" customHeight="false" outlineLevel="0" collapsed="false">
      <c r="A3" s="5" t="s">
        <v>54</v>
      </c>
      <c r="B3" s="13" t="n">
        <f aca="false">Settings!$B$17</f>
        <v>93000</v>
      </c>
      <c r="C3" s="3" t="s">
        <v>186</v>
      </c>
    </row>
    <row r="4" customFormat="false" ht="15" hidden="false" customHeight="false" outlineLevel="0" collapsed="false">
      <c r="A4" s="5" t="s">
        <v>56</v>
      </c>
      <c r="B4" s="13" t="n">
        <f aca="false">Settings!$B$18</f>
        <v>51.67</v>
      </c>
      <c r="C4" s="3" t="s">
        <v>187</v>
      </c>
    </row>
    <row r="5" customFormat="false" ht="15" hidden="false" customHeight="false" outlineLevel="0" collapsed="false">
      <c r="A5" s="5" t="s">
        <v>188</v>
      </c>
      <c r="B5" s="13" t="n">
        <f aca="false">'Desk Performance'!G17</f>
        <v>75050</v>
      </c>
      <c r="C5" s="3" t="s">
        <v>189</v>
      </c>
    </row>
    <row r="6" customFormat="false" ht="15" hidden="false" customHeight="false" outlineLevel="0" collapsed="false">
      <c r="A6" s="5" t="s">
        <v>190</v>
      </c>
      <c r="B6" s="13" t="n">
        <f aca="false">'Desk Performance'!H17</f>
        <v>95000</v>
      </c>
      <c r="C6" s="3" t="s">
        <v>189</v>
      </c>
    </row>
    <row r="7" customFormat="false" ht="15" hidden="false" customHeight="false" outlineLevel="0" collapsed="false">
      <c r="A7" s="5" t="s">
        <v>191</v>
      </c>
      <c r="B7" s="13" t="n">
        <f aca="false">'Desk Performance'!N17</f>
        <v>170050</v>
      </c>
      <c r="C7" s="3" t="s">
        <v>192</v>
      </c>
    </row>
    <row r="8" customFormat="false" ht="15" hidden="false" customHeight="false" outlineLevel="0" collapsed="false">
      <c r="A8" s="5" t="s">
        <v>193</v>
      </c>
      <c r="B8" s="13" t="n">
        <f aca="false">'Desk Performance'!O17</f>
        <v>186000</v>
      </c>
      <c r="C8" s="3" t="s">
        <v>194</v>
      </c>
    </row>
    <row r="9" customFormat="false" ht="15" hidden="false" customHeight="false" outlineLevel="0" collapsed="false">
      <c r="A9" s="5" t="s">
        <v>195</v>
      </c>
      <c r="B9" s="13" t="n">
        <f aca="false">'Desk Performance'!P17</f>
        <v>-15950</v>
      </c>
      <c r="C9" s="3" t="s">
        <v>196</v>
      </c>
    </row>
    <row r="10" customFormat="false" ht="15" hidden="false" customHeight="false" outlineLevel="0" collapsed="false">
      <c r="A10" s="5" t="s">
        <v>197</v>
      </c>
      <c r="B10" s="13" t="n">
        <f aca="false">IFERROR(ROUND(AVERAGE('Perm Placements'!$O$5:$O$34),2),0)</f>
        <v>9381.25</v>
      </c>
      <c r="C10" s="3" t="s">
        <v>198</v>
      </c>
    </row>
    <row r="11" customFormat="false" ht="15" hidden="false" customHeight="false" outlineLevel="0" collapsed="false">
      <c r="A11" s="5" t="s">
        <v>199</v>
      </c>
      <c r="B11" s="28" t="n">
        <f aca="false">IFERROR(ROUND(B3/B10,2),0)</f>
        <v>9.91</v>
      </c>
      <c r="C11" s="3" t="s">
        <v>200</v>
      </c>
    </row>
    <row r="12" customFormat="false" ht="15" hidden="false" customHeight="false" outlineLevel="0" collapsed="false">
      <c r="A12" s="4" t="s">
        <v>201</v>
      </c>
      <c r="B12" s="9" t="n">
        <v>70</v>
      </c>
      <c r="C12" s="3" t="s">
        <v>202</v>
      </c>
    </row>
    <row r="13" customFormat="false" ht="15" hidden="false" customHeight="false" outlineLevel="0" collapsed="false">
      <c r="A13" s="5" t="s">
        <v>203</v>
      </c>
      <c r="B13" s="27" t="n">
        <f aca="false">COUNTIF('Perm Placements'!$R$5:$R$34,"&lt;"&amp;B12)</f>
        <v>2</v>
      </c>
      <c r="C13" s="3" t="s">
        <v>204</v>
      </c>
    </row>
    <row r="14" customFormat="false" ht="15" hidden="false" customHeight="false" outlineLevel="0" collapsed="false">
      <c r="A14" s="5" t="s">
        <v>205</v>
      </c>
      <c r="B14" s="5" t="str">
        <f aca="false">IFERROR(INDEX('Temp Assignments'!$B$5:$B$34,MATCH(MIN('Temp Assignments'!$P$5:$P$34),'Temp Assignments'!$P$5:$P$34,0)),"")</f>
        <v>Seasonal sales G</v>
      </c>
      <c r="C14" s="3" t="s">
        <v>206</v>
      </c>
    </row>
    <row r="15" customFormat="false" ht="15" hidden="false" customHeight="false" outlineLevel="0" collapsed="false">
      <c r="A15" s="5" t="s">
        <v>207</v>
      </c>
      <c r="B15" s="14" t="n">
        <f aca="false">IFERROR(MIN('Temp Assignments'!$P$5:$P$34),0)</f>
        <v>5.6</v>
      </c>
      <c r="C15" s="3" t="s">
        <v>208</v>
      </c>
    </row>
    <row r="16" customFormat="false" ht="15" hidden="false" customHeight="false" outlineLevel="0" collapsed="false">
      <c r="A16" s="5" t="s">
        <v>209</v>
      </c>
      <c r="B16" s="14" t="n">
        <f aca="false">'Desk Performance'!Q17</f>
        <v>43.06</v>
      </c>
      <c r="C16" s="3" t="s">
        <v>210</v>
      </c>
    </row>
    <row r="17" customFormat="false" ht="15" hidden="false" customHeight="false" outlineLevel="0" collapsed="false">
      <c r="A17" s="5" t="s">
        <v>211</v>
      </c>
      <c r="B17" s="28" t="n">
        <f aca="false">'Desk Performance'!R17</f>
        <v>31.84</v>
      </c>
      <c r="C17" s="3" t="s">
        <v>212</v>
      </c>
    </row>
    <row r="18" customFormat="false" ht="15" hidden="false" customHeight="false" outlineLevel="0" collapsed="false">
      <c r="A18" s="5" t="s">
        <v>173</v>
      </c>
      <c r="B18" s="13" t="n">
        <f aca="false">'Rebate Reserve'!R25</f>
        <v>1552</v>
      </c>
      <c r="C18" s="3" t="s">
        <v>213</v>
      </c>
    </row>
    <row r="19" customFormat="false" ht="15" hidden="false" customHeight="false" outlineLevel="0" collapsed="false">
      <c r="A19" s="5" t="s">
        <v>214</v>
      </c>
      <c r="B19" s="13" t="n">
        <f aca="false">'Rebate Reserve'!Q25</f>
        <v>9350</v>
      </c>
      <c r="C19" s="3" t="s">
        <v>215</v>
      </c>
    </row>
    <row r="20" customFormat="false" ht="15" hidden="false" customHeight="false" outlineLevel="0" collapsed="false">
      <c r="A20" s="5" t="s">
        <v>171</v>
      </c>
      <c r="B20" s="13" t="n">
        <f aca="false">'Rebate Reserve'!P25</f>
        <v>2412</v>
      </c>
      <c r="C20" s="3" t="s">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2026-10-07T06:36:17Z</dcterms:created>
  <dc:creator>openpyxl</dc:creator>
  <dc:description/>
  <dc:language>en-US</dc:language>
  <cp:lastModifiedBy/>
  <dcterms:modified xsi:type="dcterms:W3CDTF">2026-10-07T06:36:17Z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