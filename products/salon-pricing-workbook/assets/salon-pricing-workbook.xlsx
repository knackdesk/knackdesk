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Service Menu" sheetId="3" state="visible" r:id="rId5"/>
    <sheet name="Booth vs Commission" sheetId="4" state="visible" r:id="rId6"/>
    <sheet name="Weekly Log" sheetId="5" state="visible" r:id="rId7"/>
    <sheet name="Capacity"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10" authorId="0">
      <text>
        <r>
          <rPr>
            <sz val="10"/>
            <rFont val="Arial"/>
            <family val="2"/>
          </rPr>
          <t xml:space="preserve">Assumption: 4 weeks a year off for holiday, sickness and training.</t>
        </r>
      </text>
    </comment>
    <comment ref="B12" authorId="0">
      <text>
        <r>
          <rPr>
            <sz val="10"/>
            <rFont val="Arial"/>
            <family val="2"/>
          </rPr>
          <t xml:space="preserve">Assumption: nobody bills every hour at work. 75% leaves a quarter for cleaning, admin, gaps and no-shows.</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D5" authorId="0">
      <text>
        <r>
          <rPr>
            <sz val="10"/>
            <rFont val="Arial"/>
            <family val="2"/>
          </rPr>
          <t xml:space="preserve">Product used per service at cost (colour, gloves, foils, wax). Overhead products go on Settings.</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A20" authorId="0">
      <text>
        <r>
          <rPr>
            <sz val="10"/>
            <rFont val="Arial"/>
            <family val="2"/>
          </rPr>
          <t xml:space="preserve">Scenario steps are editable: type any % change against the monthly revenue used.</t>
        </r>
      </text>
    </comment>
    <comment ref="B5" authorId="0">
      <text>
        <r>
          <rPr>
            <sz val="10"/>
            <rFont val="Arial"/>
            <family val="2"/>
          </rPr>
          <t xml:space="preserve">Leave empty to use the Service Menu figure above; any number here takes precedence.</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A58" authorId="0">
      <text>
        <r>
          <rPr>
            <sz val="10"/>
            <rFont val="Arial"/>
            <family val="2"/>
          </rPr>
          <t xml:space="preserve">Average of the last four filled weeks; fill weeks top down with no gaps.</t>
        </r>
      </text>
    </comment>
    <comment ref="L5" authorId="0">
      <text>
        <r>
          <rPr>
            <sz val="10"/>
            <rFont val="Arial"/>
            <family val="2"/>
          </rPr>
          <t xml:space="preserve">Assumes you charge the no-show fee for every no-show and late cancellation.</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7" authorId="0">
      <text>
        <r>
          <rPr>
            <sz val="10"/>
            <rFont val="Arial"/>
            <family val="2"/>
          </rPr>
          <t xml:space="preserve">Leave empty to use the weighted average from the Service Menu; any number here takes precedence.</t>
        </r>
      </text>
    </comment>
    <comment ref="B9" authorId="0">
      <text>
        <r>
          <rPr>
            <sz val="10"/>
            <rFont val="Arial"/>
            <family val="2"/>
          </rPr>
          <t xml:space="preserve">Assumption: 10 minutes to clean, reset and take payment between clients.</t>
        </r>
      </text>
    </comment>
  </commentList>
</comments>
</file>

<file path=xl/sharedStrings.xml><?xml version="1.0" encoding="utf-8"?>
<sst xmlns="http://schemas.openxmlformats.org/spreadsheetml/2006/main" count="206" uniqueCount="186">
  <si>
    <t xml:space="preserve">Salon &amp; Appointment Pricing Workbook</t>
  </si>
  <si>
    <t xml:space="preserve">by Knackdesk · knackdesk.com</t>
  </si>
  <si>
    <t xml:space="preserve">HOW TO USE</t>
  </si>
  <si>
    <t xml:space="preserve">1. Settings: your monthly overhead line by line, take-home income goal, working weeks, hours, billable share, profit margin, product cost %, average ticket, booth rent, commission split and no-show fee. Every other sheet reads them.</t>
  </si>
  <si>
    <t xml:space="preserve">2. Service Menu: one row per service with category, minutes, product cost, current price and weekly units. Time cost, floor price, suggested price, the gap to your current price and weekly revenue and gross profit are calculated.</t>
  </si>
  <si>
    <t xml:space="preserve">3. Booth vs Commission: compares your monthly take-home renting a booth against working on commission, shows the verdict, the break-even revenue and five revenue scenarios.</t>
  </si>
  <si>
    <t xml:space="preserve">4. Weekly Log: one row per week with appointments booked, no-shows, late cancellations, revenue and costs. No-show rate, lost revenue, fees recovered and net are calculated, with totals and a 4-week trailing average.</t>
  </si>
  <si>
    <t xml:space="preserve">5. Capacity: how many appointments fit in your week from your hours, average service length and buffer time, the revenue ceiling, and your latest logged week against what you expect.</t>
  </si>
  <si>
    <t xml:space="preserve">6. Summary: target hourly rate, services priced below floor, weekly menu revenue and gross profit, best and worst margin services, the booth vs commission verdict, no-show losses and expected appointments.</t>
  </si>
  <si>
    <t xml:space="preserve">LEGEND</t>
  </si>
  <si>
    <t xml:space="preserve">Blue text = a cell you type into.   Black text = a formula, leave it alone.   Yellow fill = key inputs.</t>
  </si>
  <si>
    <t xml:space="preserve">DEFINITIONS</t>
  </si>
  <si>
    <t xml:space="preserve">Target hourly rate = (total monthly overhead + monthly take-home income goal) ÷ billable hours per month. Billable hours per month = hours per week × billable % × working weeks per year ÷ 12.</t>
  </si>
  <si>
    <t xml:space="preserve">Floor price = target hourly rate × service minutes ÷ 60 + product cost per service. Below it, the service does not cover your time, overhead and income goal. Suggested price = floor price × (1 + profit margin %).</t>
  </si>
  <si>
    <t xml:space="preserve">Booth rent % of revenue = monthly booth rent ÷ monthly revenue: the share of what you take that goes on the chair before anything else.</t>
  </si>
  <si>
    <t xml:space="preserve">Break-even revenue for commission vs booth rent = monthly booth rent ÷ (1 − commission % you keep − product cost %). Above it, renting a booth leaves you more; below it, commission does.</t>
  </si>
  <si>
    <t xml:space="preserve">No-show cost = (no-shows + late cancellations) × average ticket. Fees recovered = the same count × your no-show fee, assuming you charge it every time.</t>
  </si>
  <si>
    <t xml:space="preserve">Capacity = the most appointments that fit in your hours: hours per week × 60 ÷ (average service minutes + buffer minutes). Expected appointments = capacity × billable %.</t>
  </si>
  <si>
    <t xml:space="preserve">The targets in Settings are your own; this workbook does not supply industry benchmarks. Set them from your own history and plan.</t>
  </si>
  <si>
    <t xml:space="preserve">Support: hello@knackdesk.com</t>
  </si>
  <si>
    <t xml:space="preserve">Arithmetic only; not financial advice.</t>
  </si>
  <si>
    <t xml:space="preserve">Settings</t>
  </si>
  <si>
    <t xml:space="preserve">Rent or booth fee (monthly)</t>
  </si>
  <si>
    <t xml:space="preserve">Example default 1,200 a month. Your room, chair or booth cost; leave 0 here if you pay booth rent weekly and set it in row 17 instead.</t>
  </si>
  <si>
    <t xml:space="preserve">Products and supplies (monthly)</t>
  </si>
  <si>
    <t xml:space="preserve">Example default 300 a month. Backbar, towels and consumables not charged per service.</t>
  </si>
  <si>
    <t xml:space="preserve">Insurance (monthly)</t>
  </si>
  <si>
    <t xml:space="preserve">Example default 80 a month. Liability and equipment cover.</t>
  </si>
  <si>
    <t xml:space="preserve">Software and booking (monthly)</t>
  </si>
  <si>
    <t xml:space="preserve">Example default 60 a month. Booking app, card fees subscription, accounting.</t>
  </si>
  <si>
    <t xml:space="preserve">Marketing (monthly)</t>
  </si>
  <si>
    <t xml:space="preserve">Example default 100 a month. Ads, listings, printing.</t>
  </si>
  <si>
    <t xml:space="preserve">Other overhead (monthly)</t>
  </si>
  <si>
    <t xml:space="preserve">Example default 160 a month. Training, phone, laundry, anything else.</t>
  </si>
  <si>
    <t xml:space="preserve">Total monthly overhead</t>
  </si>
  <si>
    <t xml:space="preserve">formula: sum of the six overhead rows above</t>
  </si>
  <si>
    <t xml:space="preserve">Monthly take-home income goal</t>
  </si>
  <si>
    <t xml:space="preserve">Example default 4,000 a month. What you want to pay yourself before personal tax.</t>
  </si>
  <si>
    <t xml:space="preserve">Working weeks per year</t>
  </si>
  <si>
    <t xml:space="preserve">Default 48: 52 weeks less 4 weeks of holiday, sickness and training.</t>
  </si>
  <si>
    <t xml:space="preserve">Hours worked per week</t>
  </si>
  <si>
    <t xml:space="preserve">Default 40. All hours at work, including admin and gaps.</t>
  </si>
  <si>
    <t xml:space="preserve">Share of hours that are billable %</t>
  </si>
  <si>
    <t xml:space="preserve">Default 75. The share of your hours spent on paid services; the rest is cleaning, admin, gaps and no-shows.</t>
  </si>
  <si>
    <t xml:space="preserve">Profit margin % to add on services</t>
  </si>
  <si>
    <t xml:space="preserve">Default 20. Added on top of the floor price to give the suggested price.</t>
  </si>
  <si>
    <t xml:space="preserve">Product cost % of revenue</t>
  </si>
  <si>
    <t xml:space="preserve">Default 10. Used on Booth vs Commission: product you buy yourself when renting a booth.</t>
  </si>
  <si>
    <t xml:space="preserve">Average ticket</t>
  </si>
  <si>
    <t xml:space="preserve">Default 65. Average spend per appointment; used for no-show cost and capacity revenue.</t>
  </si>
  <si>
    <t xml:space="preserve">Payroll taxes and benefits %</t>
  </si>
  <si>
    <t xml:space="preserve">Default 0. Only if you pay yourself or staff through payroll: added on top of the income goal in the target hourly rate.</t>
  </si>
  <si>
    <t xml:space="preserve">Weekly booth rent</t>
  </si>
  <si>
    <t xml:space="preserve">Default 300 a week. Used on Booth vs Commission (× 52 ÷ 12 for a monthly figure).</t>
  </si>
  <si>
    <t xml:space="preserve">Commission % you keep (commission salon)</t>
  </si>
  <si>
    <t xml:space="preserve">Default 45. Your share of service revenue when working on commission; the salon keeps the rest and supplies product.</t>
  </si>
  <si>
    <t xml:space="preserve">No-show fee</t>
  </si>
  <si>
    <t xml:space="preserve">Default 25. Charged per no-show or late cancellation; used on the Weekly Log.</t>
  </si>
  <si>
    <t xml:space="preserve">Billable hours per month</t>
  </si>
  <si>
    <t xml:space="preserve">formula: hours per week × billable % × working weeks ÷ 12</t>
  </si>
  <si>
    <t xml:space="preserve">Target hourly rate</t>
  </si>
  <si>
    <t xml:space="preserve">formula: (total overhead + income goal, plus payroll % if any) ÷ billable hours per month</t>
  </si>
  <si>
    <t xml:space="preserve">Overhead per billable hour</t>
  </si>
  <si>
    <t xml:space="preserve">formula: total overhead ÷ billable hours per month (the part of the rate that only keeps the doors open)</t>
  </si>
  <si>
    <t xml:space="preserve">Target rate per minute</t>
  </si>
  <si>
    <t xml:space="preserve">formula: target hourly rate ÷ 60</t>
  </si>
  <si>
    <t xml:space="preserve">Service Menu</t>
  </si>
  <si>
    <t xml:space="preserve">One row per service. Time cost uses the target hourly rate from Settings; suggested price adds your profit margin to the floor price.</t>
  </si>
  <si>
    <t xml:space="preserve">Service</t>
  </si>
  <si>
    <t xml:space="preserve">Category</t>
  </si>
  <si>
    <t xml:space="preserve">Minutes</t>
  </si>
  <si>
    <t xml:space="preserve">Product cost per service</t>
  </si>
  <si>
    <t xml:space="preserve">Current price</t>
  </si>
  <si>
    <t xml:space="preserve">Weekly units</t>
  </si>
  <si>
    <t xml:space="preserve">Time cost</t>
  </si>
  <si>
    <t xml:space="preserve">Floor price</t>
  </si>
  <si>
    <t xml:space="preserve">Suggested price</t>
  </si>
  <si>
    <t xml:space="preserve">Gap (current − suggested)</t>
  </si>
  <si>
    <t xml:space="preserve">Weekly revenue</t>
  </si>
  <si>
    <t xml:space="preserve">Weekly gross profit</t>
  </si>
  <si>
    <t xml:space="preserve">Gross profit per minute</t>
  </si>
  <si>
    <t xml:space="preserve">Women's cut</t>
  </si>
  <si>
    <t xml:space="preserve">hair</t>
  </si>
  <si>
    <t xml:space="preserve">Full colour</t>
  </si>
  <si>
    <t xml:space="preserve">colour</t>
  </si>
  <si>
    <t xml:space="preserve">Beard trim</t>
  </si>
  <si>
    <t xml:space="preserve">barber</t>
  </si>
  <si>
    <t xml:space="preserve">Personal training session</t>
  </si>
  <si>
    <t xml:space="preserve">training</t>
  </si>
  <si>
    <t xml:space="preserve">Men's cut</t>
  </si>
  <si>
    <t xml:space="preserve">Gel manicure</t>
  </si>
  <si>
    <t xml:space="preserve">nails</t>
  </si>
  <si>
    <t xml:space="preserve">Express facial</t>
  </si>
  <si>
    <t xml:space="preserve">skin</t>
  </si>
  <si>
    <t xml:space="preserve">Deep tissue massage</t>
  </si>
  <si>
    <t xml:space="preserve">massage</t>
  </si>
  <si>
    <t xml:space="preserve">Total</t>
  </si>
  <si>
    <t xml:space="preserve">Minutes column total = weekly minutes booked (minutes × weekly units)</t>
  </si>
  <si>
    <t xml:space="preserve">Booth vs Commission</t>
  </si>
  <si>
    <t xml:space="preserve">Renting a booth: you keep revenue less booth rent and product. Commission: you keep your commission share and the salon supplies product.</t>
  </si>
  <si>
    <t xml:space="preserve">Monthly revenue from Service Menu</t>
  </si>
  <si>
    <t xml:space="preserve">weekly revenue × 52 ÷ 12</t>
  </si>
  <si>
    <t xml:space="preserve">or type your own monthly revenue</t>
  </si>
  <si>
    <t xml:space="preserve">optional override; leave empty to use the line above</t>
  </si>
  <si>
    <t xml:space="preserve">Monthly revenue used</t>
  </si>
  <si>
    <t xml:space="preserve">your override if typed, otherwise the Service Menu figure</t>
  </si>
  <si>
    <t xml:space="preserve">from Settings</t>
  </si>
  <si>
    <t xml:space="preserve">Booth rent monthly</t>
  </si>
  <si>
    <t xml:space="preserve">weekly rent × 52 ÷ 12</t>
  </si>
  <si>
    <t xml:space="preserve">from Settings; paid by you when renting a booth</t>
  </si>
  <si>
    <t xml:space="preserve">Commission % you keep</t>
  </si>
  <si>
    <t xml:space="preserve">Booth rent % of revenue</t>
  </si>
  <si>
    <t xml:space="preserve">booth rent monthly ÷ monthly revenue</t>
  </si>
  <si>
    <t xml:space="preserve">Booth rent take-home (monthly)</t>
  </si>
  <si>
    <t xml:space="preserve">revenue − booth rent − revenue × product %</t>
  </si>
  <si>
    <t xml:space="preserve">Commission take-home (monthly)</t>
  </si>
  <si>
    <t xml:space="preserve">revenue × commission % you keep</t>
  </si>
  <si>
    <t xml:space="preserve">Difference (booth − commission)</t>
  </si>
  <si>
    <t xml:space="preserve">positive: booth rent leaves you more</t>
  </si>
  <si>
    <t xml:space="preserve">Verdict</t>
  </si>
  <si>
    <t xml:space="preserve">Break-even monthly revenue</t>
  </si>
  <si>
    <t xml:space="preserve">booth rent monthly ÷ (1 − commission % − product %); above it booth rent pays more</t>
  </si>
  <si>
    <t xml:space="preserve">Revenue scenarios</t>
  </si>
  <si>
    <t xml:space="preserve">Revenue change %</t>
  </si>
  <si>
    <t xml:space="preserve">Monthly revenue</t>
  </si>
  <si>
    <t xml:space="preserve">Booth take-home</t>
  </si>
  <si>
    <t xml:space="preserve">Commission take-home</t>
  </si>
  <si>
    <t xml:space="preserve">Better option</t>
  </si>
  <si>
    <t xml:space="preserve">Weekly Log</t>
  </si>
  <si>
    <t xml:space="preserve">One row per week, filled top down. Lost revenue uses the average ticket and fees recovered use the no-show fee from Settings.</t>
  </si>
  <si>
    <t xml:space="preserve">Week start</t>
  </si>
  <si>
    <t xml:space="preserve">Appointments booked</t>
  </si>
  <si>
    <t xml:space="preserve">No-shows</t>
  </si>
  <si>
    <t xml:space="preserve">Late cancellations</t>
  </si>
  <si>
    <t xml:space="preserve">Revenue</t>
  </si>
  <si>
    <t xml:space="preserve">Product spend</t>
  </si>
  <si>
    <t xml:space="preserve">Booth rent or overhead paid</t>
  </si>
  <si>
    <t xml:space="preserve">Tips (optional)</t>
  </si>
  <si>
    <t xml:space="preserve">Completed appointments</t>
  </si>
  <si>
    <t xml:space="preserve">No-show rate %</t>
  </si>
  <si>
    <t xml:space="preserve">Lost revenue</t>
  </si>
  <si>
    <t xml:space="preserve">Fees recovered</t>
  </si>
  <si>
    <t xml:space="preserve">Net</t>
  </si>
  <si>
    <t xml:space="preserve">Revenue per completed appointment</t>
  </si>
  <si>
    <t xml:space="preserve">4-week average</t>
  </si>
  <si>
    <t xml:space="preserve">Capacity</t>
  </si>
  <si>
    <t xml:space="preserve">How many appointments fit in your week, and what they could earn.</t>
  </si>
  <si>
    <t xml:space="preserve">Average service minutes from Service Menu</t>
  </si>
  <si>
    <t xml:space="preserve">weighted by weekly units</t>
  </si>
  <si>
    <t xml:space="preserve">or type your own average service minutes</t>
  </si>
  <si>
    <t xml:space="preserve">Average service minutes used</t>
  </si>
  <si>
    <t xml:space="preserve">Buffer minutes between appointments</t>
  </si>
  <si>
    <t xml:space="preserve">default 10: cleaning, reset and payment</t>
  </si>
  <si>
    <t xml:space="preserve">Slot minutes</t>
  </si>
  <si>
    <t xml:space="preserve">service minutes + buffer</t>
  </si>
  <si>
    <t xml:space="preserve">Max appointments per week</t>
  </si>
  <si>
    <t xml:space="preserve">hours × 60 ÷ slot minutes, rounded down</t>
  </si>
  <si>
    <t xml:space="preserve">Expected appointments per week</t>
  </si>
  <si>
    <t xml:space="preserve">max appointments × billable %</t>
  </si>
  <si>
    <t xml:space="preserve">Revenue ceiling per week</t>
  </si>
  <si>
    <t xml:space="preserve">max appointments × average ticket</t>
  </si>
  <si>
    <t xml:space="preserve">Expected revenue per week</t>
  </si>
  <si>
    <t xml:space="preserve">expected appointments × average ticket</t>
  </si>
  <si>
    <t xml:space="preserve">Booked appointments, latest logged week</t>
  </si>
  <si>
    <t xml:space="preserve">the row with the latest week start date on the Weekly Log</t>
  </si>
  <si>
    <t xml:space="preserve">Booked vs expected</t>
  </si>
  <si>
    <t xml:space="preserve">positive: busier than expected</t>
  </si>
  <si>
    <t xml:space="preserve">Summary</t>
  </si>
  <si>
    <t xml:space="preserve">Services on the menu</t>
  </si>
  <si>
    <t xml:space="preserve">Services priced below floor</t>
  </si>
  <si>
    <t xml:space="preserve">current price below floor price</t>
  </si>
  <si>
    <t xml:space="preserve">Services priced below suggested</t>
  </si>
  <si>
    <t xml:space="preserve">gap column below zero</t>
  </si>
  <si>
    <t xml:space="preserve">Weekly revenue from menu</t>
  </si>
  <si>
    <t xml:space="preserve">Weekly gross profit from menu</t>
  </si>
  <si>
    <t xml:space="preserve">revenue less product cost</t>
  </si>
  <si>
    <t xml:space="preserve">Highest-margin service</t>
  </si>
  <si>
    <t xml:space="preserve">highest gross profit per minute</t>
  </si>
  <si>
    <t xml:space="preserve">Lowest-margin service</t>
  </si>
  <si>
    <t xml:space="preserve">lowest gross profit per minute: re-price first</t>
  </si>
  <si>
    <t xml:space="preserve">Booth vs commission</t>
  </si>
  <si>
    <t xml:space="preserve">above it booth rent pays more</t>
  </si>
  <si>
    <t xml:space="preserve">Lost revenue to no-shows (logged weeks)</t>
  </si>
  <si>
    <t xml:space="preserve">Weekly Log total</t>
  </si>
  <si>
    <t xml:space="preserve">No-show fees recovered (logged weeks)</t>
  </si>
  <si>
    <t xml:space="preserve">from Capacity</t>
  </si>
</sst>
</file>

<file path=xl/styles.xml><?xml version="1.0" encoding="utf-8"?>
<styleSheet xmlns="http://schemas.openxmlformats.org/spreadsheetml/2006/main">
  <numFmts count="10">
    <numFmt numFmtId="164" formatCode="General"/>
    <numFmt numFmtId="165" formatCode="#,##0.00;\(#,##0.00\);\-"/>
    <numFmt numFmtId="166" formatCode="0"/>
    <numFmt numFmtId="167" formatCode="0.0"/>
    <numFmt numFmtId="168" formatCode="0.00\%"/>
    <numFmt numFmtId="169" formatCode="0.00"/>
    <numFmt numFmtId="170" formatCode="0.0000"/>
    <numFmt numFmtId="171" formatCode="0.000"/>
    <numFmt numFmtId="172" formatCode="yyyy\-mm\-dd"/>
    <numFmt numFmtId="173"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73"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80"/>
  </cols>
  <sheetData>
    <row r="1" customFormat="false" ht="17.35" hidden="false" customHeight="false" outlineLevel="0" collapsed="false">
      <c r="A1" s="2" t="s">
        <v>21</v>
      </c>
    </row>
    <row r="2" customFormat="false" ht="15" hidden="false" customHeight="false" outlineLevel="0" collapsed="false">
      <c r="A2" s="4" t="s">
        <v>22</v>
      </c>
      <c r="B2" s="6" t="n">
        <v>1200</v>
      </c>
      <c r="C2" s="3" t="s">
        <v>23</v>
      </c>
    </row>
    <row r="3" customFormat="false" ht="15" hidden="false" customHeight="false" outlineLevel="0" collapsed="false">
      <c r="A3" s="4" t="s">
        <v>24</v>
      </c>
      <c r="B3" s="6" t="n">
        <v>300</v>
      </c>
      <c r="C3" s="3" t="s">
        <v>25</v>
      </c>
    </row>
    <row r="4" customFormat="false" ht="15" hidden="false" customHeight="false" outlineLevel="0" collapsed="false">
      <c r="A4" s="4" t="s">
        <v>26</v>
      </c>
      <c r="B4" s="6" t="n">
        <v>80</v>
      </c>
      <c r="C4" s="3" t="s">
        <v>27</v>
      </c>
    </row>
    <row r="5" customFormat="false" ht="15" hidden="false" customHeight="false" outlineLevel="0" collapsed="false">
      <c r="A5" s="4" t="s">
        <v>28</v>
      </c>
      <c r="B5" s="6" t="n">
        <v>60</v>
      </c>
      <c r="C5" s="3" t="s">
        <v>29</v>
      </c>
    </row>
    <row r="6" customFormat="false" ht="15" hidden="false" customHeight="false" outlineLevel="0" collapsed="false">
      <c r="A6" s="4" t="s">
        <v>30</v>
      </c>
      <c r="B6" s="6" t="n">
        <v>100</v>
      </c>
      <c r="C6" s="3" t="s">
        <v>31</v>
      </c>
    </row>
    <row r="7" customFormat="false" ht="15" hidden="false" customHeight="false" outlineLevel="0" collapsed="false">
      <c r="A7" s="4" t="s">
        <v>32</v>
      </c>
      <c r="B7" s="6" t="n">
        <v>160</v>
      </c>
      <c r="C7" s="3" t="s">
        <v>33</v>
      </c>
    </row>
    <row r="8" customFormat="false" ht="15" hidden="false" customHeight="false" outlineLevel="0" collapsed="false">
      <c r="A8" s="5" t="s">
        <v>34</v>
      </c>
      <c r="B8" s="7" t="n">
        <f aca="false">SUM(B2:B7)</f>
        <v>1900</v>
      </c>
      <c r="C8" s="3" t="s">
        <v>35</v>
      </c>
    </row>
    <row r="9" customFormat="false" ht="15" hidden="false" customHeight="false" outlineLevel="0" collapsed="false">
      <c r="A9" s="4" t="s">
        <v>36</v>
      </c>
      <c r="B9" s="6" t="n">
        <v>4000</v>
      </c>
      <c r="C9" s="3" t="s">
        <v>37</v>
      </c>
    </row>
    <row r="10" customFormat="false" ht="15" hidden="false" customHeight="false" outlineLevel="0" collapsed="false">
      <c r="A10" s="4" t="s">
        <v>38</v>
      </c>
      <c r="B10" s="8" t="n">
        <v>48</v>
      </c>
      <c r="C10" s="3" t="s">
        <v>39</v>
      </c>
    </row>
    <row r="11" customFormat="false" ht="15" hidden="false" customHeight="false" outlineLevel="0" collapsed="false">
      <c r="A11" s="4" t="s">
        <v>40</v>
      </c>
      <c r="B11" s="9" t="n">
        <v>40</v>
      </c>
      <c r="C11" s="3" t="s">
        <v>41</v>
      </c>
    </row>
    <row r="12" customFormat="false" ht="15" hidden="false" customHeight="false" outlineLevel="0" collapsed="false">
      <c r="A12" s="4" t="s">
        <v>42</v>
      </c>
      <c r="B12" s="10" t="n">
        <v>75</v>
      </c>
      <c r="C12" s="3" t="s">
        <v>43</v>
      </c>
    </row>
    <row r="13" customFormat="false" ht="15" hidden="false" customHeight="false" outlineLevel="0" collapsed="false">
      <c r="A13" s="4" t="s">
        <v>44</v>
      </c>
      <c r="B13" s="10" t="n">
        <v>20</v>
      </c>
      <c r="C13" s="3" t="s">
        <v>45</v>
      </c>
    </row>
    <row r="14" customFormat="false" ht="15" hidden="false" customHeight="false" outlineLevel="0" collapsed="false">
      <c r="A14" s="4" t="s">
        <v>46</v>
      </c>
      <c r="B14" s="10" t="n">
        <v>10</v>
      </c>
      <c r="C14" s="3" t="s">
        <v>47</v>
      </c>
    </row>
    <row r="15" customFormat="false" ht="15" hidden="false" customHeight="false" outlineLevel="0" collapsed="false">
      <c r="A15" s="4" t="s">
        <v>48</v>
      </c>
      <c r="B15" s="6" t="n">
        <v>65</v>
      </c>
      <c r="C15" s="3" t="s">
        <v>49</v>
      </c>
    </row>
    <row r="16" customFormat="false" ht="15" hidden="false" customHeight="false" outlineLevel="0" collapsed="false">
      <c r="A16" s="4" t="s">
        <v>50</v>
      </c>
      <c r="B16" s="11" t="n">
        <v>0</v>
      </c>
      <c r="C16" s="3" t="s">
        <v>51</v>
      </c>
    </row>
    <row r="17" customFormat="false" ht="15" hidden="false" customHeight="false" outlineLevel="0" collapsed="false">
      <c r="A17" s="4" t="s">
        <v>52</v>
      </c>
      <c r="B17" s="6" t="n">
        <v>300</v>
      </c>
      <c r="C17" s="3" t="s">
        <v>53</v>
      </c>
    </row>
    <row r="18" customFormat="false" ht="15" hidden="false" customHeight="false" outlineLevel="0" collapsed="false">
      <c r="A18" s="4" t="s">
        <v>54</v>
      </c>
      <c r="B18" s="10" t="n">
        <v>45</v>
      </c>
      <c r="C18" s="3" t="s">
        <v>55</v>
      </c>
    </row>
    <row r="19" customFormat="false" ht="15" hidden="false" customHeight="false" outlineLevel="0" collapsed="false">
      <c r="A19" s="4" t="s">
        <v>56</v>
      </c>
      <c r="B19" s="6" t="n">
        <v>25</v>
      </c>
      <c r="C19" s="3" t="s">
        <v>57</v>
      </c>
    </row>
    <row r="20" customFormat="false" ht="15" hidden="false" customHeight="false" outlineLevel="0" collapsed="false">
      <c r="A20" s="5" t="s">
        <v>58</v>
      </c>
      <c r="B20" s="12" t="n">
        <f aca="false">ROUND(B11*B12/100*B10/12,2)</f>
        <v>120</v>
      </c>
      <c r="C20" s="3" t="s">
        <v>59</v>
      </c>
    </row>
    <row r="21" customFormat="false" ht="15" hidden="false" customHeight="false" outlineLevel="0" collapsed="false">
      <c r="A21" s="5" t="s">
        <v>60</v>
      </c>
      <c r="B21" s="7" t="n">
        <f aca="false">IFERROR(ROUND((B8+B9*(1+B16/100))/B20,2),0)</f>
        <v>49.17</v>
      </c>
      <c r="C21" s="3" t="s">
        <v>61</v>
      </c>
    </row>
    <row r="22" customFormat="false" ht="15" hidden="false" customHeight="false" outlineLevel="0" collapsed="false">
      <c r="A22" s="4" t="s">
        <v>62</v>
      </c>
      <c r="B22" s="13" t="n">
        <f aca="false">IFERROR(ROUND(B8/B20,2),0)</f>
        <v>15.83</v>
      </c>
      <c r="C22" s="3" t="s">
        <v>63</v>
      </c>
    </row>
    <row r="23" customFormat="false" ht="15" hidden="false" customHeight="false" outlineLevel="0" collapsed="false">
      <c r="A23" s="4" t="s">
        <v>64</v>
      </c>
      <c r="B23" s="14" t="n">
        <f aca="false">ROUND(B21/60,4)</f>
        <v>0.8195</v>
      </c>
      <c r="C23" s="3"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3" min="3" style="1" width="10"/>
    <col collapsed="false" customWidth="true" hidden="false" outlineLevel="0" max="4" min="4" style="1" width="13"/>
    <col collapsed="false" customWidth="true" hidden="false" outlineLevel="0" max="5" min="5" style="1" width="12"/>
    <col collapsed="false" customWidth="true" hidden="false" outlineLevel="0" max="6" min="6" style="1" width="10"/>
    <col collapsed="false" customWidth="true" hidden="false" outlineLevel="0" max="8" min="7" style="1" width="11"/>
    <col collapsed="false" customWidth="true" hidden="false" outlineLevel="0" max="9" min="9" style="1" width="12"/>
    <col collapsed="false" customWidth="true" hidden="false" outlineLevel="0" max="10" min="10" style="1" width="14"/>
    <col collapsed="false" customWidth="true" hidden="false" outlineLevel="0" max="11" min="11" style="1" width="13"/>
    <col collapsed="false" customWidth="true" hidden="false" outlineLevel="0" max="12" min="12" style="1" width="14"/>
    <col collapsed="false" customWidth="true" hidden="false" outlineLevel="0" max="13" min="13" style="1" width="13"/>
  </cols>
  <sheetData>
    <row r="1" customFormat="false" ht="17.35" hidden="false" customHeight="false" outlineLevel="0" collapsed="false">
      <c r="A1" s="2" t="s">
        <v>66</v>
      </c>
    </row>
    <row r="2" customFormat="false" ht="15" hidden="false" customHeight="false" outlineLevel="0" collapsed="false">
      <c r="A2" s="3" t="s">
        <v>67</v>
      </c>
    </row>
    <row r="4" customFormat="false" ht="39.55" hidden="false" customHeight="false" outlineLevel="0" collapsed="false">
      <c r="A4" s="15" t="s">
        <v>68</v>
      </c>
      <c r="B4" s="15" t="s">
        <v>69</v>
      </c>
      <c r="C4" s="15" t="s">
        <v>70</v>
      </c>
      <c r="D4" s="15" t="s">
        <v>71</v>
      </c>
      <c r="E4" s="15" t="s">
        <v>72</v>
      </c>
      <c r="F4" s="15" t="s">
        <v>73</v>
      </c>
      <c r="G4" s="15" t="s">
        <v>74</v>
      </c>
      <c r="H4" s="15" t="s">
        <v>75</v>
      </c>
      <c r="I4" s="15" t="s">
        <v>76</v>
      </c>
      <c r="J4" s="15" t="s">
        <v>77</v>
      </c>
      <c r="K4" s="15" t="s">
        <v>78</v>
      </c>
      <c r="L4" s="15" t="s">
        <v>79</v>
      </c>
      <c r="M4" s="15" t="s">
        <v>80</v>
      </c>
    </row>
    <row r="5" customFormat="false" ht="15" hidden="false" customHeight="false" outlineLevel="0" collapsed="false">
      <c r="A5" s="16" t="s">
        <v>81</v>
      </c>
      <c r="B5" s="16" t="s">
        <v>82</v>
      </c>
      <c r="C5" s="8" t="n">
        <v>45</v>
      </c>
      <c r="D5" s="17" t="n">
        <v>4</v>
      </c>
      <c r="E5" s="6" t="n">
        <v>55</v>
      </c>
      <c r="F5" s="18" t="n">
        <v>12</v>
      </c>
      <c r="G5" s="13" t="n">
        <f aca="false">IF(A5="","",ROUND(Settings!$B$21*C5/60,2))</f>
        <v>36.88</v>
      </c>
      <c r="H5" s="13" t="n">
        <f aca="false">IF(A5="","",G5+D5)</f>
        <v>40.88</v>
      </c>
      <c r="I5" s="13" t="n">
        <f aca="false">IF(A5="","",ROUND(H5*(1+Settings!$B$13/100),2))</f>
        <v>49.06</v>
      </c>
      <c r="J5" s="13" t="n">
        <f aca="false">IF(A5="","",E5-I5)</f>
        <v>5.94</v>
      </c>
      <c r="K5" s="13" t="n">
        <f aca="false">IF(A5="","",ROUND(E5*F5,2))</f>
        <v>660</v>
      </c>
      <c r="L5" s="13" t="n">
        <f aca="false">IF(A5="","",ROUND((E5-D5)*F5,2))</f>
        <v>612</v>
      </c>
      <c r="M5" s="19" t="n">
        <f aca="false">IF(A5="","",IFERROR(ROUND((E5-D5)/C5,3),""))</f>
        <v>1.133</v>
      </c>
    </row>
    <row r="6" customFormat="false" ht="15" hidden="false" customHeight="false" outlineLevel="0" collapsed="false">
      <c r="A6" s="16" t="s">
        <v>83</v>
      </c>
      <c r="B6" s="16" t="s">
        <v>84</v>
      </c>
      <c r="C6" s="8" t="n">
        <v>120</v>
      </c>
      <c r="D6" s="17" t="n">
        <v>22</v>
      </c>
      <c r="E6" s="6" t="n">
        <v>140</v>
      </c>
      <c r="F6" s="18" t="n">
        <v>5</v>
      </c>
      <c r="G6" s="13" t="n">
        <f aca="false">IF(A6="","",ROUND(Settings!$B$21*C6/60,2))</f>
        <v>98.34</v>
      </c>
      <c r="H6" s="13" t="n">
        <f aca="false">IF(A6="","",G6+D6)</f>
        <v>120.34</v>
      </c>
      <c r="I6" s="13" t="n">
        <f aca="false">IF(A6="","",ROUND(H6*(1+Settings!$B$13/100),2))</f>
        <v>144.41</v>
      </c>
      <c r="J6" s="13" t="n">
        <f aca="false">IF(A6="","",E6-I6)</f>
        <v>-4.41</v>
      </c>
      <c r="K6" s="13" t="n">
        <f aca="false">IF(A6="","",ROUND(E6*F6,2))</f>
        <v>700</v>
      </c>
      <c r="L6" s="13" t="n">
        <f aca="false">IF(A6="","",ROUND((E6-D6)*F6,2))</f>
        <v>590</v>
      </c>
      <c r="M6" s="19" t="n">
        <f aca="false">IF(A6="","",IFERROR(ROUND((E6-D6)/C6,3),""))</f>
        <v>0.983</v>
      </c>
    </row>
    <row r="7" customFormat="false" ht="15" hidden="false" customHeight="false" outlineLevel="0" collapsed="false">
      <c r="A7" s="16" t="s">
        <v>85</v>
      </c>
      <c r="B7" s="16" t="s">
        <v>86</v>
      </c>
      <c r="C7" s="8" t="n">
        <v>20</v>
      </c>
      <c r="D7" s="17" t="n">
        <v>1</v>
      </c>
      <c r="E7" s="6" t="n">
        <v>22</v>
      </c>
      <c r="F7" s="18" t="n">
        <v>15</v>
      </c>
      <c r="G7" s="13" t="n">
        <f aca="false">IF(A7="","",ROUND(Settings!$B$21*C7/60,2))</f>
        <v>16.39</v>
      </c>
      <c r="H7" s="13" t="n">
        <f aca="false">IF(A7="","",G7+D7)</f>
        <v>17.39</v>
      </c>
      <c r="I7" s="13" t="n">
        <f aca="false">IF(A7="","",ROUND(H7*(1+Settings!$B$13/100),2))</f>
        <v>20.87</v>
      </c>
      <c r="J7" s="13" t="n">
        <f aca="false">IF(A7="","",E7-I7)</f>
        <v>1.13</v>
      </c>
      <c r="K7" s="13" t="n">
        <f aca="false">IF(A7="","",ROUND(E7*F7,2))</f>
        <v>330</v>
      </c>
      <c r="L7" s="13" t="n">
        <f aca="false">IF(A7="","",ROUND((E7-D7)*F7,2))</f>
        <v>315</v>
      </c>
      <c r="M7" s="19" t="n">
        <f aca="false">IF(A7="","",IFERROR(ROUND((E7-D7)/C7,3),""))</f>
        <v>1.05</v>
      </c>
    </row>
    <row r="8" customFormat="false" ht="15" hidden="false" customHeight="false" outlineLevel="0" collapsed="false">
      <c r="A8" s="16" t="s">
        <v>87</v>
      </c>
      <c r="B8" s="16" t="s">
        <v>88</v>
      </c>
      <c r="C8" s="8" t="n">
        <v>60</v>
      </c>
      <c r="D8" s="17" t="n">
        <v>0</v>
      </c>
      <c r="E8" s="6" t="n">
        <v>60</v>
      </c>
      <c r="F8" s="18" t="n">
        <v>10</v>
      </c>
      <c r="G8" s="13" t="n">
        <f aca="false">IF(A8="","",ROUND(Settings!$B$21*C8/60,2))</f>
        <v>49.17</v>
      </c>
      <c r="H8" s="13" t="n">
        <f aca="false">IF(A8="","",G8+D8)</f>
        <v>49.17</v>
      </c>
      <c r="I8" s="13" t="n">
        <f aca="false">IF(A8="","",ROUND(H8*(1+Settings!$B$13/100),2))</f>
        <v>59</v>
      </c>
      <c r="J8" s="13" t="n">
        <f aca="false">IF(A8="","",E8-I8)</f>
        <v>1</v>
      </c>
      <c r="K8" s="13" t="n">
        <f aca="false">IF(A8="","",ROUND(E8*F8,2))</f>
        <v>600</v>
      </c>
      <c r="L8" s="13" t="n">
        <f aca="false">IF(A8="","",ROUND((E8-D8)*F8,2))</f>
        <v>600</v>
      </c>
      <c r="M8" s="19" t="n">
        <f aca="false">IF(A8="","",IFERROR(ROUND((E8-D8)/C8,3),""))</f>
        <v>1</v>
      </c>
    </row>
    <row r="9" customFormat="false" ht="15" hidden="false" customHeight="false" outlineLevel="0" collapsed="false">
      <c r="A9" s="16" t="s">
        <v>89</v>
      </c>
      <c r="B9" s="16" t="s">
        <v>86</v>
      </c>
      <c r="C9" s="8" t="n">
        <v>30</v>
      </c>
      <c r="D9" s="17" t="n">
        <v>2</v>
      </c>
      <c r="E9" s="6" t="n">
        <v>30</v>
      </c>
      <c r="F9" s="18" t="n">
        <v>6</v>
      </c>
      <c r="G9" s="13" t="n">
        <f aca="false">IF(A9="","",ROUND(Settings!$B$21*C9/60,2))</f>
        <v>24.59</v>
      </c>
      <c r="H9" s="13" t="n">
        <f aca="false">IF(A9="","",G9+D9)</f>
        <v>26.59</v>
      </c>
      <c r="I9" s="13" t="n">
        <f aca="false">IF(A9="","",ROUND(H9*(1+Settings!$B$13/100),2))</f>
        <v>31.91</v>
      </c>
      <c r="J9" s="13" t="n">
        <f aca="false">IF(A9="","",E9-I9)</f>
        <v>-1.91</v>
      </c>
      <c r="K9" s="13" t="n">
        <f aca="false">IF(A9="","",ROUND(E9*F9,2))</f>
        <v>180</v>
      </c>
      <c r="L9" s="13" t="n">
        <f aca="false">IF(A9="","",ROUND((E9-D9)*F9,2))</f>
        <v>168</v>
      </c>
      <c r="M9" s="19" t="n">
        <f aca="false">IF(A9="","",IFERROR(ROUND((E9-D9)/C9,3),""))</f>
        <v>0.933</v>
      </c>
    </row>
    <row r="10" customFormat="false" ht="15" hidden="false" customHeight="false" outlineLevel="0" collapsed="false">
      <c r="A10" s="16" t="s">
        <v>90</v>
      </c>
      <c r="B10" s="16" t="s">
        <v>91</v>
      </c>
      <c r="C10" s="8" t="n">
        <v>45</v>
      </c>
      <c r="D10" s="17" t="n">
        <v>5</v>
      </c>
      <c r="E10" s="6" t="n">
        <v>40</v>
      </c>
      <c r="F10" s="18" t="n">
        <v>3</v>
      </c>
      <c r="G10" s="13" t="n">
        <f aca="false">IF(A10="","",ROUND(Settings!$B$21*C10/60,2))</f>
        <v>36.88</v>
      </c>
      <c r="H10" s="13" t="n">
        <f aca="false">IF(A10="","",G10+D10)</f>
        <v>41.88</v>
      </c>
      <c r="I10" s="13" t="n">
        <f aca="false">IF(A10="","",ROUND(H10*(1+Settings!$B$13/100),2))</f>
        <v>50.26</v>
      </c>
      <c r="J10" s="13" t="n">
        <f aca="false">IF(A10="","",E10-I10)</f>
        <v>-10.26</v>
      </c>
      <c r="K10" s="13" t="n">
        <f aca="false">IF(A10="","",ROUND(E10*F10,2))</f>
        <v>120</v>
      </c>
      <c r="L10" s="13" t="n">
        <f aca="false">IF(A10="","",ROUND((E10-D10)*F10,2))</f>
        <v>105</v>
      </c>
      <c r="M10" s="19" t="n">
        <f aca="false">IF(A10="","",IFERROR(ROUND((E10-D10)/C10,3),""))</f>
        <v>0.778</v>
      </c>
    </row>
    <row r="11" customFormat="false" ht="15" hidden="false" customHeight="false" outlineLevel="0" collapsed="false">
      <c r="A11" s="16" t="s">
        <v>92</v>
      </c>
      <c r="B11" s="16" t="s">
        <v>93</v>
      </c>
      <c r="C11" s="8" t="n">
        <v>30</v>
      </c>
      <c r="D11" s="17" t="n">
        <v>6</v>
      </c>
      <c r="E11" s="6" t="n">
        <v>45</v>
      </c>
      <c r="F11" s="18" t="n">
        <v>2</v>
      </c>
      <c r="G11" s="13" t="n">
        <f aca="false">IF(A11="","",ROUND(Settings!$B$21*C11/60,2))</f>
        <v>24.59</v>
      </c>
      <c r="H11" s="13" t="n">
        <f aca="false">IF(A11="","",G11+D11)</f>
        <v>30.59</v>
      </c>
      <c r="I11" s="13" t="n">
        <f aca="false">IF(A11="","",ROUND(H11*(1+Settings!$B$13/100),2))</f>
        <v>36.71</v>
      </c>
      <c r="J11" s="13" t="n">
        <f aca="false">IF(A11="","",E11-I11)</f>
        <v>8.29</v>
      </c>
      <c r="K11" s="13" t="n">
        <f aca="false">IF(A11="","",ROUND(E11*F11,2))</f>
        <v>90</v>
      </c>
      <c r="L11" s="13" t="n">
        <f aca="false">IF(A11="","",ROUND((E11-D11)*F11,2))</f>
        <v>78</v>
      </c>
      <c r="M11" s="19" t="n">
        <f aca="false">IF(A11="","",IFERROR(ROUND((E11-D11)/C11,3),""))</f>
        <v>1.3</v>
      </c>
    </row>
    <row r="12" customFormat="false" ht="15" hidden="false" customHeight="false" outlineLevel="0" collapsed="false">
      <c r="A12" s="16" t="s">
        <v>94</v>
      </c>
      <c r="B12" s="16" t="s">
        <v>95</v>
      </c>
      <c r="C12" s="8" t="n">
        <v>60</v>
      </c>
      <c r="D12" s="17" t="n">
        <v>3</v>
      </c>
      <c r="E12" s="6" t="n">
        <v>75</v>
      </c>
      <c r="F12" s="18" t="n">
        <v>2</v>
      </c>
      <c r="G12" s="13" t="n">
        <f aca="false">IF(A12="","",ROUND(Settings!$B$21*C12/60,2))</f>
        <v>49.17</v>
      </c>
      <c r="H12" s="13" t="n">
        <f aca="false">IF(A12="","",G12+D12)</f>
        <v>52.17</v>
      </c>
      <c r="I12" s="13" t="n">
        <f aca="false">IF(A12="","",ROUND(H12*(1+Settings!$B$13/100),2))</f>
        <v>62.6</v>
      </c>
      <c r="J12" s="13" t="n">
        <f aca="false">IF(A12="","",E12-I12)</f>
        <v>12.4</v>
      </c>
      <c r="K12" s="13" t="n">
        <f aca="false">IF(A12="","",ROUND(E12*F12,2))</f>
        <v>150</v>
      </c>
      <c r="L12" s="13" t="n">
        <f aca="false">IF(A12="","",ROUND((E12-D12)*F12,2))</f>
        <v>144</v>
      </c>
      <c r="M12" s="19" t="n">
        <f aca="false">IF(A12="","",IFERROR(ROUND((E12-D12)/C12,3),""))</f>
        <v>1.2</v>
      </c>
    </row>
    <row r="13" customFormat="false" ht="15" hidden="false" customHeight="false" outlineLevel="0" collapsed="false">
      <c r="A13" s="16"/>
      <c r="B13" s="16"/>
      <c r="C13" s="18"/>
      <c r="D13" s="17"/>
      <c r="E13" s="17"/>
      <c r="F13" s="18"/>
      <c r="G13" s="13" t="str">
        <f aca="false">IF(A13="","",ROUND(Settings!$B$21*C13/60,2))</f>
        <v/>
      </c>
      <c r="H13" s="13" t="str">
        <f aca="false">IF(A13="","",G13+D13)</f>
        <v/>
      </c>
      <c r="I13" s="13" t="str">
        <f aca="false">IF(A13="","",ROUND(H13*(1+Settings!$B$13/100),2))</f>
        <v/>
      </c>
      <c r="J13" s="13" t="str">
        <f aca="false">IF(A13="","",E13-I13)</f>
        <v/>
      </c>
      <c r="K13" s="13" t="str">
        <f aca="false">IF(A13="","",ROUND(E13*F13,2))</f>
        <v/>
      </c>
      <c r="L13" s="13" t="str">
        <f aca="false">IF(A13="","",ROUND((E13-D13)*F13,2))</f>
        <v/>
      </c>
      <c r="M13" s="19" t="str">
        <f aca="false">IF(A13="","",IFERROR(ROUND((E13-D13)/C13,3),""))</f>
        <v/>
      </c>
    </row>
    <row r="14" customFormat="false" ht="15" hidden="false" customHeight="false" outlineLevel="0" collapsed="false">
      <c r="A14" s="16"/>
      <c r="B14" s="16"/>
      <c r="C14" s="18"/>
      <c r="D14" s="17"/>
      <c r="E14" s="17"/>
      <c r="F14" s="18"/>
      <c r="G14" s="13" t="str">
        <f aca="false">IF(A14="","",ROUND(Settings!$B$21*C14/60,2))</f>
        <v/>
      </c>
      <c r="H14" s="13" t="str">
        <f aca="false">IF(A14="","",G14+D14)</f>
        <v/>
      </c>
      <c r="I14" s="13" t="str">
        <f aca="false">IF(A14="","",ROUND(H14*(1+Settings!$B$13/100),2))</f>
        <v/>
      </c>
      <c r="J14" s="13" t="str">
        <f aca="false">IF(A14="","",E14-I14)</f>
        <v/>
      </c>
      <c r="K14" s="13" t="str">
        <f aca="false">IF(A14="","",ROUND(E14*F14,2))</f>
        <v/>
      </c>
      <c r="L14" s="13" t="str">
        <f aca="false">IF(A14="","",ROUND((E14-D14)*F14,2))</f>
        <v/>
      </c>
      <c r="M14" s="19" t="str">
        <f aca="false">IF(A14="","",IFERROR(ROUND((E14-D14)/C14,3),""))</f>
        <v/>
      </c>
    </row>
    <row r="15" customFormat="false" ht="15" hidden="false" customHeight="false" outlineLevel="0" collapsed="false">
      <c r="A15" s="16"/>
      <c r="B15" s="16"/>
      <c r="C15" s="18"/>
      <c r="D15" s="17"/>
      <c r="E15" s="17"/>
      <c r="F15" s="18"/>
      <c r="G15" s="13" t="str">
        <f aca="false">IF(A15="","",ROUND(Settings!$B$21*C15/60,2))</f>
        <v/>
      </c>
      <c r="H15" s="13" t="str">
        <f aca="false">IF(A15="","",G15+D15)</f>
        <v/>
      </c>
      <c r="I15" s="13" t="str">
        <f aca="false">IF(A15="","",ROUND(H15*(1+Settings!$B$13/100),2))</f>
        <v/>
      </c>
      <c r="J15" s="13" t="str">
        <f aca="false">IF(A15="","",E15-I15)</f>
        <v/>
      </c>
      <c r="K15" s="13" t="str">
        <f aca="false">IF(A15="","",ROUND(E15*F15,2))</f>
        <v/>
      </c>
      <c r="L15" s="13" t="str">
        <f aca="false">IF(A15="","",ROUND((E15-D15)*F15,2))</f>
        <v/>
      </c>
      <c r="M15" s="19" t="str">
        <f aca="false">IF(A15="","",IFERROR(ROUND((E15-D15)/C15,3),""))</f>
        <v/>
      </c>
    </row>
    <row r="16" customFormat="false" ht="15" hidden="false" customHeight="false" outlineLevel="0" collapsed="false">
      <c r="A16" s="16"/>
      <c r="B16" s="16"/>
      <c r="C16" s="18"/>
      <c r="D16" s="17"/>
      <c r="E16" s="17"/>
      <c r="F16" s="18"/>
      <c r="G16" s="13" t="str">
        <f aca="false">IF(A16="","",ROUND(Settings!$B$21*C16/60,2))</f>
        <v/>
      </c>
      <c r="H16" s="13" t="str">
        <f aca="false">IF(A16="","",G16+D16)</f>
        <v/>
      </c>
      <c r="I16" s="13" t="str">
        <f aca="false">IF(A16="","",ROUND(H16*(1+Settings!$B$13/100),2))</f>
        <v/>
      </c>
      <c r="J16" s="13" t="str">
        <f aca="false">IF(A16="","",E16-I16)</f>
        <v/>
      </c>
      <c r="K16" s="13" t="str">
        <f aca="false">IF(A16="","",ROUND(E16*F16,2))</f>
        <v/>
      </c>
      <c r="L16" s="13" t="str">
        <f aca="false">IF(A16="","",ROUND((E16-D16)*F16,2))</f>
        <v/>
      </c>
      <c r="M16" s="19" t="str">
        <f aca="false">IF(A16="","",IFERROR(ROUND((E16-D16)/C16,3),""))</f>
        <v/>
      </c>
    </row>
    <row r="17" customFormat="false" ht="15" hidden="false" customHeight="false" outlineLevel="0" collapsed="false">
      <c r="A17" s="16"/>
      <c r="B17" s="16"/>
      <c r="C17" s="18"/>
      <c r="D17" s="17"/>
      <c r="E17" s="17"/>
      <c r="F17" s="18"/>
      <c r="G17" s="13" t="str">
        <f aca="false">IF(A17="","",ROUND(Settings!$B$21*C17/60,2))</f>
        <v/>
      </c>
      <c r="H17" s="13" t="str">
        <f aca="false">IF(A17="","",G17+D17)</f>
        <v/>
      </c>
      <c r="I17" s="13" t="str">
        <f aca="false">IF(A17="","",ROUND(H17*(1+Settings!$B$13/100),2))</f>
        <v/>
      </c>
      <c r="J17" s="13" t="str">
        <f aca="false">IF(A17="","",E17-I17)</f>
        <v/>
      </c>
      <c r="K17" s="13" t="str">
        <f aca="false">IF(A17="","",ROUND(E17*F17,2))</f>
        <v/>
      </c>
      <c r="L17" s="13" t="str">
        <f aca="false">IF(A17="","",ROUND((E17-D17)*F17,2))</f>
        <v/>
      </c>
      <c r="M17" s="19" t="str">
        <f aca="false">IF(A17="","",IFERROR(ROUND((E17-D17)/C17,3),""))</f>
        <v/>
      </c>
    </row>
    <row r="18" customFormat="false" ht="15" hidden="false" customHeight="false" outlineLevel="0" collapsed="false">
      <c r="A18" s="16"/>
      <c r="B18" s="16"/>
      <c r="C18" s="18"/>
      <c r="D18" s="17"/>
      <c r="E18" s="17"/>
      <c r="F18" s="18"/>
      <c r="G18" s="13" t="str">
        <f aca="false">IF(A18="","",ROUND(Settings!$B$21*C18/60,2))</f>
        <v/>
      </c>
      <c r="H18" s="13" t="str">
        <f aca="false">IF(A18="","",G18+D18)</f>
        <v/>
      </c>
      <c r="I18" s="13" t="str">
        <f aca="false">IF(A18="","",ROUND(H18*(1+Settings!$B$13/100),2))</f>
        <v/>
      </c>
      <c r="J18" s="13" t="str">
        <f aca="false">IF(A18="","",E18-I18)</f>
        <v/>
      </c>
      <c r="K18" s="13" t="str">
        <f aca="false">IF(A18="","",ROUND(E18*F18,2))</f>
        <v/>
      </c>
      <c r="L18" s="13" t="str">
        <f aca="false">IF(A18="","",ROUND((E18-D18)*F18,2))</f>
        <v/>
      </c>
      <c r="M18" s="19" t="str">
        <f aca="false">IF(A18="","",IFERROR(ROUND((E18-D18)/C18,3),""))</f>
        <v/>
      </c>
    </row>
    <row r="19" customFormat="false" ht="15" hidden="false" customHeight="false" outlineLevel="0" collapsed="false">
      <c r="A19" s="16"/>
      <c r="B19" s="16"/>
      <c r="C19" s="18"/>
      <c r="D19" s="17"/>
      <c r="E19" s="17"/>
      <c r="F19" s="18"/>
      <c r="G19" s="13" t="str">
        <f aca="false">IF(A19="","",ROUND(Settings!$B$21*C19/60,2))</f>
        <v/>
      </c>
      <c r="H19" s="13" t="str">
        <f aca="false">IF(A19="","",G19+D19)</f>
        <v/>
      </c>
      <c r="I19" s="13" t="str">
        <f aca="false">IF(A19="","",ROUND(H19*(1+Settings!$B$13/100),2))</f>
        <v/>
      </c>
      <c r="J19" s="13" t="str">
        <f aca="false">IF(A19="","",E19-I19)</f>
        <v/>
      </c>
      <c r="K19" s="13" t="str">
        <f aca="false">IF(A19="","",ROUND(E19*F19,2))</f>
        <v/>
      </c>
      <c r="L19" s="13" t="str">
        <f aca="false">IF(A19="","",ROUND((E19-D19)*F19,2))</f>
        <v/>
      </c>
      <c r="M19" s="19" t="str">
        <f aca="false">IF(A19="","",IFERROR(ROUND((E19-D19)/C19,3),""))</f>
        <v/>
      </c>
    </row>
    <row r="20" customFormat="false" ht="15" hidden="false" customHeight="false" outlineLevel="0" collapsed="false">
      <c r="A20" s="16"/>
      <c r="B20" s="16"/>
      <c r="C20" s="18"/>
      <c r="D20" s="17"/>
      <c r="E20" s="17"/>
      <c r="F20" s="18"/>
      <c r="G20" s="13" t="str">
        <f aca="false">IF(A20="","",ROUND(Settings!$B$21*C20/60,2))</f>
        <v/>
      </c>
      <c r="H20" s="13" t="str">
        <f aca="false">IF(A20="","",G20+D20)</f>
        <v/>
      </c>
      <c r="I20" s="13" t="str">
        <f aca="false">IF(A20="","",ROUND(H20*(1+Settings!$B$13/100),2))</f>
        <v/>
      </c>
      <c r="J20" s="13" t="str">
        <f aca="false">IF(A20="","",E20-I20)</f>
        <v/>
      </c>
      <c r="K20" s="13" t="str">
        <f aca="false">IF(A20="","",ROUND(E20*F20,2))</f>
        <v/>
      </c>
      <c r="L20" s="13" t="str">
        <f aca="false">IF(A20="","",ROUND((E20-D20)*F20,2))</f>
        <v/>
      </c>
      <c r="M20" s="19" t="str">
        <f aca="false">IF(A20="","",IFERROR(ROUND((E20-D20)/C20,3),""))</f>
        <v/>
      </c>
    </row>
    <row r="21" customFormat="false" ht="15" hidden="false" customHeight="false" outlineLevel="0" collapsed="false">
      <c r="A21" s="16"/>
      <c r="B21" s="16"/>
      <c r="C21" s="18"/>
      <c r="D21" s="17"/>
      <c r="E21" s="17"/>
      <c r="F21" s="18"/>
      <c r="G21" s="13" t="str">
        <f aca="false">IF(A21="","",ROUND(Settings!$B$21*C21/60,2))</f>
        <v/>
      </c>
      <c r="H21" s="13" t="str">
        <f aca="false">IF(A21="","",G21+D21)</f>
        <v/>
      </c>
      <c r="I21" s="13" t="str">
        <f aca="false">IF(A21="","",ROUND(H21*(1+Settings!$B$13/100),2))</f>
        <v/>
      </c>
      <c r="J21" s="13" t="str">
        <f aca="false">IF(A21="","",E21-I21)</f>
        <v/>
      </c>
      <c r="K21" s="13" t="str">
        <f aca="false">IF(A21="","",ROUND(E21*F21,2))</f>
        <v/>
      </c>
      <c r="L21" s="13" t="str">
        <f aca="false">IF(A21="","",ROUND((E21-D21)*F21,2))</f>
        <v/>
      </c>
      <c r="M21" s="19" t="str">
        <f aca="false">IF(A21="","",IFERROR(ROUND((E21-D21)/C21,3),""))</f>
        <v/>
      </c>
    </row>
    <row r="22" customFormat="false" ht="15" hidden="false" customHeight="false" outlineLevel="0" collapsed="false">
      <c r="A22" s="16"/>
      <c r="B22" s="16"/>
      <c r="C22" s="18"/>
      <c r="D22" s="17"/>
      <c r="E22" s="17"/>
      <c r="F22" s="18"/>
      <c r="G22" s="13" t="str">
        <f aca="false">IF(A22="","",ROUND(Settings!$B$21*C22/60,2))</f>
        <v/>
      </c>
      <c r="H22" s="13" t="str">
        <f aca="false">IF(A22="","",G22+D22)</f>
        <v/>
      </c>
      <c r="I22" s="13" t="str">
        <f aca="false">IF(A22="","",ROUND(H22*(1+Settings!$B$13/100),2))</f>
        <v/>
      </c>
      <c r="J22" s="13" t="str">
        <f aca="false">IF(A22="","",E22-I22)</f>
        <v/>
      </c>
      <c r="K22" s="13" t="str">
        <f aca="false">IF(A22="","",ROUND(E22*F22,2))</f>
        <v/>
      </c>
      <c r="L22" s="13" t="str">
        <f aca="false">IF(A22="","",ROUND((E22-D22)*F22,2))</f>
        <v/>
      </c>
      <c r="M22" s="19" t="str">
        <f aca="false">IF(A22="","",IFERROR(ROUND((E22-D22)/C22,3),""))</f>
        <v/>
      </c>
    </row>
    <row r="23" customFormat="false" ht="15" hidden="false" customHeight="false" outlineLevel="0" collapsed="false">
      <c r="A23" s="16"/>
      <c r="B23" s="16"/>
      <c r="C23" s="18"/>
      <c r="D23" s="17"/>
      <c r="E23" s="17"/>
      <c r="F23" s="18"/>
      <c r="G23" s="13" t="str">
        <f aca="false">IF(A23="","",ROUND(Settings!$B$21*C23/60,2))</f>
        <v/>
      </c>
      <c r="H23" s="13" t="str">
        <f aca="false">IF(A23="","",G23+D23)</f>
        <v/>
      </c>
      <c r="I23" s="13" t="str">
        <f aca="false">IF(A23="","",ROUND(H23*(1+Settings!$B$13/100),2))</f>
        <v/>
      </c>
      <c r="J23" s="13" t="str">
        <f aca="false">IF(A23="","",E23-I23)</f>
        <v/>
      </c>
      <c r="K23" s="13" t="str">
        <f aca="false">IF(A23="","",ROUND(E23*F23,2))</f>
        <v/>
      </c>
      <c r="L23" s="13" t="str">
        <f aca="false">IF(A23="","",ROUND((E23-D23)*F23,2))</f>
        <v/>
      </c>
      <c r="M23" s="19" t="str">
        <f aca="false">IF(A23="","",IFERROR(ROUND((E23-D23)/C23,3),""))</f>
        <v/>
      </c>
    </row>
    <row r="24" customFormat="false" ht="15" hidden="false" customHeight="false" outlineLevel="0" collapsed="false">
      <c r="A24" s="16"/>
      <c r="B24" s="16"/>
      <c r="C24" s="18"/>
      <c r="D24" s="17"/>
      <c r="E24" s="17"/>
      <c r="F24" s="18"/>
      <c r="G24" s="13" t="str">
        <f aca="false">IF(A24="","",ROUND(Settings!$B$21*C24/60,2))</f>
        <v/>
      </c>
      <c r="H24" s="13" t="str">
        <f aca="false">IF(A24="","",G24+D24)</f>
        <v/>
      </c>
      <c r="I24" s="13" t="str">
        <f aca="false">IF(A24="","",ROUND(H24*(1+Settings!$B$13/100),2))</f>
        <v/>
      </c>
      <c r="J24" s="13" t="str">
        <f aca="false">IF(A24="","",E24-I24)</f>
        <v/>
      </c>
      <c r="K24" s="13" t="str">
        <f aca="false">IF(A24="","",ROUND(E24*F24,2))</f>
        <v/>
      </c>
      <c r="L24" s="13" t="str">
        <f aca="false">IF(A24="","",ROUND((E24-D24)*F24,2))</f>
        <v/>
      </c>
      <c r="M24" s="19" t="str">
        <f aca="false">IF(A24="","",IFERROR(ROUND((E24-D24)/C24,3),""))</f>
        <v/>
      </c>
    </row>
    <row r="25" customFormat="false" ht="15" hidden="false" customHeight="false" outlineLevel="0" collapsed="false">
      <c r="A25" s="16"/>
      <c r="B25" s="16"/>
      <c r="C25" s="18"/>
      <c r="D25" s="17"/>
      <c r="E25" s="17"/>
      <c r="F25" s="18"/>
      <c r="G25" s="13" t="str">
        <f aca="false">IF(A25="","",ROUND(Settings!$B$21*C25/60,2))</f>
        <v/>
      </c>
      <c r="H25" s="13" t="str">
        <f aca="false">IF(A25="","",G25+D25)</f>
        <v/>
      </c>
      <c r="I25" s="13" t="str">
        <f aca="false">IF(A25="","",ROUND(H25*(1+Settings!$B$13/100),2))</f>
        <v/>
      </c>
      <c r="J25" s="13" t="str">
        <f aca="false">IF(A25="","",E25-I25)</f>
        <v/>
      </c>
      <c r="K25" s="13" t="str">
        <f aca="false">IF(A25="","",ROUND(E25*F25,2))</f>
        <v/>
      </c>
      <c r="L25" s="13" t="str">
        <f aca="false">IF(A25="","",ROUND((E25-D25)*F25,2))</f>
        <v/>
      </c>
      <c r="M25" s="19" t="str">
        <f aca="false">IF(A25="","",IFERROR(ROUND((E25-D25)/C25,3),""))</f>
        <v/>
      </c>
    </row>
    <row r="26" customFormat="false" ht="15" hidden="false" customHeight="false" outlineLevel="0" collapsed="false">
      <c r="A26" s="16"/>
      <c r="B26" s="16"/>
      <c r="C26" s="18"/>
      <c r="D26" s="17"/>
      <c r="E26" s="17"/>
      <c r="F26" s="18"/>
      <c r="G26" s="13" t="str">
        <f aca="false">IF(A26="","",ROUND(Settings!$B$21*C26/60,2))</f>
        <v/>
      </c>
      <c r="H26" s="13" t="str">
        <f aca="false">IF(A26="","",G26+D26)</f>
        <v/>
      </c>
      <c r="I26" s="13" t="str">
        <f aca="false">IF(A26="","",ROUND(H26*(1+Settings!$B$13/100),2))</f>
        <v/>
      </c>
      <c r="J26" s="13" t="str">
        <f aca="false">IF(A26="","",E26-I26)</f>
        <v/>
      </c>
      <c r="K26" s="13" t="str">
        <f aca="false">IF(A26="","",ROUND(E26*F26,2))</f>
        <v/>
      </c>
      <c r="L26" s="13" t="str">
        <f aca="false">IF(A26="","",ROUND((E26-D26)*F26,2))</f>
        <v/>
      </c>
      <c r="M26" s="19" t="str">
        <f aca="false">IF(A26="","",IFERROR(ROUND((E26-D26)/C26,3),""))</f>
        <v/>
      </c>
    </row>
    <row r="27" customFormat="false" ht="15" hidden="false" customHeight="false" outlineLevel="0" collapsed="false">
      <c r="A27" s="16"/>
      <c r="B27" s="16"/>
      <c r="C27" s="18"/>
      <c r="D27" s="17"/>
      <c r="E27" s="17"/>
      <c r="F27" s="18"/>
      <c r="G27" s="13" t="str">
        <f aca="false">IF(A27="","",ROUND(Settings!$B$21*C27/60,2))</f>
        <v/>
      </c>
      <c r="H27" s="13" t="str">
        <f aca="false">IF(A27="","",G27+D27)</f>
        <v/>
      </c>
      <c r="I27" s="13" t="str">
        <f aca="false">IF(A27="","",ROUND(H27*(1+Settings!$B$13/100),2))</f>
        <v/>
      </c>
      <c r="J27" s="13" t="str">
        <f aca="false">IF(A27="","",E27-I27)</f>
        <v/>
      </c>
      <c r="K27" s="13" t="str">
        <f aca="false">IF(A27="","",ROUND(E27*F27,2))</f>
        <v/>
      </c>
      <c r="L27" s="13" t="str">
        <f aca="false">IF(A27="","",ROUND((E27-D27)*F27,2))</f>
        <v/>
      </c>
      <c r="M27" s="19" t="str">
        <f aca="false">IF(A27="","",IFERROR(ROUND((E27-D27)/C27,3),""))</f>
        <v/>
      </c>
    </row>
    <row r="28" customFormat="false" ht="15" hidden="false" customHeight="false" outlineLevel="0" collapsed="false">
      <c r="A28" s="16"/>
      <c r="B28" s="16"/>
      <c r="C28" s="18"/>
      <c r="D28" s="17"/>
      <c r="E28" s="17"/>
      <c r="F28" s="18"/>
      <c r="G28" s="13" t="str">
        <f aca="false">IF(A28="","",ROUND(Settings!$B$21*C28/60,2))</f>
        <v/>
      </c>
      <c r="H28" s="13" t="str">
        <f aca="false">IF(A28="","",G28+D28)</f>
        <v/>
      </c>
      <c r="I28" s="13" t="str">
        <f aca="false">IF(A28="","",ROUND(H28*(1+Settings!$B$13/100),2))</f>
        <v/>
      </c>
      <c r="J28" s="13" t="str">
        <f aca="false">IF(A28="","",E28-I28)</f>
        <v/>
      </c>
      <c r="K28" s="13" t="str">
        <f aca="false">IF(A28="","",ROUND(E28*F28,2))</f>
        <v/>
      </c>
      <c r="L28" s="13" t="str">
        <f aca="false">IF(A28="","",ROUND((E28-D28)*F28,2))</f>
        <v/>
      </c>
      <c r="M28" s="19" t="str">
        <f aca="false">IF(A28="","",IFERROR(ROUND((E28-D28)/C28,3),""))</f>
        <v/>
      </c>
    </row>
    <row r="29" customFormat="false" ht="15" hidden="false" customHeight="false" outlineLevel="0" collapsed="false">
      <c r="A29" s="16"/>
      <c r="B29" s="16"/>
      <c r="C29" s="18"/>
      <c r="D29" s="17"/>
      <c r="E29" s="17"/>
      <c r="F29" s="18"/>
      <c r="G29" s="13" t="str">
        <f aca="false">IF(A29="","",ROUND(Settings!$B$21*C29/60,2))</f>
        <v/>
      </c>
      <c r="H29" s="13" t="str">
        <f aca="false">IF(A29="","",G29+D29)</f>
        <v/>
      </c>
      <c r="I29" s="13" t="str">
        <f aca="false">IF(A29="","",ROUND(H29*(1+Settings!$B$13/100),2))</f>
        <v/>
      </c>
      <c r="J29" s="13" t="str">
        <f aca="false">IF(A29="","",E29-I29)</f>
        <v/>
      </c>
      <c r="K29" s="13" t="str">
        <f aca="false">IF(A29="","",ROUND(E29*F29,2))</f>
        <v/>
      </c>
      <c r="L29" s="13" t="str">
        <f aca="false">IF(A29="","",ROUND((E29-D29)*F29,2))</f>
        <v/>
      </c>
      <c r="M29" s="19" t="str">
        <f aca="false">IF(A29="","",IFERROR(ROUND((E29-D29)/C29,3),""))</f>
        <v/>
      </c>
    </row>
    <row r="30" customFormat="false" ht="15" hidden="false" customHeight="false" outlineLevel="0" collapsed="false">
      <c r="A30" s="16"/>
      <c r="B30" s="16"/>
      <c r="C30" s="18"/>
      <c r="D30" s="17"/>
      <c r="E30" s="17"/>
      <c r="F30" s="18"/>
      <c r="G30" s="13" t="str">
        <f aca="false">IF(A30="","",ROUND(Settings!$B$21*C30/60,2))</f>
        <v/>
      </c>
      <c r="H30" s="13" t="str">
        <f aca="false">IF(A30="","",G30+D30)</f>
        <v/>
      </c>
      <c r="I30" s="13" t="str">
        <f aca="false">IF(A30="","",ROUND(H30*(1+Settings!$B$13/100),2))</f>
        <v/>
      </c>
      <c r="J30" s="13" t="str">
        <f aca="false">IF(A30="","",E30-I30)</f>
        <v/>
      </c>
      <c r="K30" s="13" t="str">
        <f aca="false">IF(A30="","",ROUND(E30*F30,2))</f>
        <v/>
      </c>
      <c r="L30" s="13" t="str">
        <f aca="false">IF(A30="","",ROUND((E30-D30)*F30,2))</f>
        <v/>
      </c>
      <c r="M30" s="19" t="str">
        <f aca="false">IF(A30="","",IFERROR(ROUND((E30-D30)/C30,3),""))</f>
        <v/>
      </c>
    </row>
    <row r="31" customFormat="false" ht="15" hidden="false" customHeight="false" outlineLevel="0" collapsed="false">
      <c r="A31" s="16"/>
      <c r="B31" s="16"/>
      <c r="C31" s="18"/>
      <c r="D31" s="17"/>
      <c r="E31" s="17"/>
      <c r="F31" s="18"/>
      <c r="G31" s="13" t="str">
        <f aca="false">IF(A31="","",ROUND(Settings!$B$21*C31/60,2))</f>
        <v/>
      </c>
      <c r="H31" s="13" t="str">
        <f aca="false">IF(A31="","",G31+D31)</f>
        <v/>
      </c>
      <c r="I31" s="13" t="str">
        <f aca="false">IF(A31="","",ROUND(H31*(1+Settings!$B$13/100),2))</f>
        <v/>
      </c>
      <c r="J31" s="13" t="str">
        <f aca="false">IF(A31="","",E31-I31)</f>
        <v/>
      </c>
      <c r="K31" s="13" t="str">
        <f aca="false">IF(A31="","",ROUND(E31*F31,2))</f>
        <v/>
      </c>
      <c r="L31" s="13" t="str">
        <f aca="false">IF(A31="","",ROUND((E31-D31)*F31,2))</f>
        <v/>
      </c>
      <c r="M31" s="19" t="str">
        <f aca="false">IF(A31="","",IFERROR(ROUND((E31-D31)/C31,3),""))</f>
        <v/>
      </c>
    </row>
    <row r="32" customFormat="false" ht="15" hidden="false" customHeight="false" outlineLevel="0" collapsed="false">
      <c r="A32" s="16"/>
      <c r="B32" s="16"/>
      <c r="C32" s="18"/>
      <c r="D32" s="17"/>
      <c r="E32" s="17"/>
      <c r="F32" s="18"/>
      <c r="G32" s="13" t="str">
        <f aca="false">IF(A32="","",ROUND(Settings!$B$21*C32/60,2))</f>
        <v/>
      </c>
      <c r="H32" s="13" t="str">
        <f aca="false">IF(A32="","",G32+D32)</f>
        <v/>
      </c>
      <c r="I32" s="13" t="str">
        <f aca="false">IF(A32="","",ROUND(H32*(1+Settings!$B$13/100),2))</f>
        <v/>
      </c>
      <c r="J32" s="13" t="str">
        <f aca="false">IF(A32="","",E32-I32)</f>
        <v/>
      </c>
      <c r="K32" s="13" t="str">
        <f aca="false">IF(A32="","",ROUND(E32*F32,2))</f>
        <v/>
      </c>
      <c r="L32" s="13" t="str">
        <f aca="false">IF(A32="","",ROUND((E32-D32)*F32,2))</f>
        <v/>
      </c>
      <c r="M32" s="19" t="str">
        <f aca="false">IF(A32="","",IFERROR(ROUND((E32-D32)/C32,3),""))</f>
        <v/>
      </c>
    </row>
    <row r="33" customFormat="false" ht="15" hidden="false" customHeight="false" outlineLevel="0" collapsed="false">
      <c r="A33" s="16"/>
      <c r="B33" s="16"/>
      <c r="C33" s="18"/>
      <c r="D33" s="17"/>
      <c r="E33" s="17"/>
      <c r="F33" s="18"/>
      <c r="G33" s="13" t="str">
        <f aca="false">IF(A33="","",ROUND(Settings!$B$21*C33/60,2))</f>
        <v/>
      </c>
      <c r="H33" s="13" t="str">
        <f aca="false">IF(A33="","",G33+D33)</f>
        <v/>
      </c>
      <c r="I33" s="13" t="str">
        <f aca="false">IF(A33="","",ROUND(H33*(1+Settings!$B$13/100),2))</f>
        <v/>
      </c>
      <c r="J33" s="13" t="str">
        <f aca="false">IF(A33="","",E33-I33)</f>
        <v/>
      </c>
      <c r="K33" s="13" t="str">
        <f aca="false">IF(A33="","",ROUND(E33*F33,2))</f>
        <v/>
      </c>
      <c r="L33" s="13" t="str">
        <f aca="false">IF(A33="","",ROUND((E33-D33)*F33,2))</f>
        <v/>
      </c>
      <c r="M33" s="19" t="str">
        <f aca="false">IF(A33="","",IFERROR(ROUND((E33-D33)/C33,3),""))</f>
        <v/>
      </c>
    </row>
    <row r="34" customFormat="false" ht="15" hidden="false" customHeight="false" outlineLevel="0" collapsed="false">
      <c r="A34" s="16"/>
      <c r="B34" s="16"/>
      <c r="C34" s="18"/>
      <c r="D34" s="17"/>
      <c r="E34" s="17"/>
      <c r="F34" s="18"/>
      <c r="G34" s="13" t="str">
        <f aca="false">IF(A34="","",ROUND(Settings!$B$21*C34/60,2))</f>
        <v/>
      </c>
      <c r="H34" s="13" t="str">
        <f aca="false">IF(A34="","",G34+D34)</f>
        <v/>
      </c>
      <c r="I34" s="13" t="str">
        <f aca="false">IF(A34="","",ROUND(H34*(1+Settings!$B$13/100),2))</f>
        <v/>
      </c>
      <c r="J34" s="13" t="str">
        <f aca="false">IF(A34="","",E34-I34)</f>
        <v/>
      </c>
      <c r="K34" s="13" t="str">
        <f aca="false">IF(A34="","",ROUND(E34*F34,2))</f>
        <v/>
      </c>
      <c r="L34" s="13" t="str">
        <f aca="false">IF(A34="","",ROUND((E34-D34)*F34,2))</f>
        <v/>
      </c>
      <c r="M34" s="19" t="str">
        <f aca="false">IF(A34="","",IFERROR(ROUND((E34-D34)/C34,3),""))</f>
        <v/>
      </c>
    </row>
    <row r="35" customFormat="false" ht="15" hidden="false" customHeight="false" outlineLevel="0" collapsed="false">
      <c r="A35" s="16"/>
      <c r="B35" s="16"/>
      <c r="C35" s="18"/>
      <c r="D35" s="17"/>
      <c r="E35" s="17"/>
      <c r="F35" s="18"/>
      <c r="G35" s="13" t="str">
        <f aca="false">IF(A35="","",ROUND(Settings!$B$21*C35/60,2))</f>
        <v/>
      </c>
      <c r="H35" s="13" t="str">
        <f aca="false">IF(A35="","",G35+D35)</f>
        <v/>
      </c>
      <c r="I35" s="13" t="str">
        <f aca="false">IF(A35="","",ROUND(H35*(1+Settings!$B$13/100),2))</f>
        <v/>
      </c>
      <c r="J35" s="13" t="str">
        <f aca="false">IF(A35="","",E35-I35)</f>
        <v/>
      </c>
      <c r="K35" s="13" t="str">
        <f aca="false">IF(A35="","",ROUND(E35*F35,2))</f>
        <v/>
      </c>
      <c r="L35" s="13" t="str">
        <f aca="false">IF(A35="","",ROUND((E35-D35)*F35,2))</f>
        <v/>
      </c>
      <c r="M35" s="19" t="str">
        <f aca="false">IF(A35="","",IFERROR(ROUND((E35-D35)/C35,3),""))</f>
        <v/>
      </c>
    </row>
    <row r="36" customFormat="false" ht="15" hidden="false" customHeight="false" outlineLevel="0" collapsed="false">
      <c r="A36" s="16"/>
      <c r="B36" s="16"/>
      <c r="C36" s="18"/>
      <c r="D36" s="17"/>
      <c r="E36" s="17"/>
      <c r="F36" s="18"/>
      <c r="G36" s="13" t="str">
        <f aca="false">IF(A36="","",ROUND(Settings!$B$21*C36/60,2))</f>
        <v/>
      </c>
      <c r="H36" s="13" t="str">
        <f aca="false">IF(A36="","",G36+D36)</f>
        <v/>
      </c>
      <c r="I36" s="13" t="str">
        <f aca="false">IF(A36="","",ROUND(H36*(1+Settings!$B$13/100),2))</f>
        <v/>
      </c>
      <c r="J36" s="13" t="str">
        <f aca="false">IF(A36="","",E36-I36)</f>
        <v/>
      </c>
      <c r="K36" s="13" t="str">
        <f aca="false">IF(A36="","",ROUND(E36*F36,2))</f>
        <v/>
      </c>
      <c r="L36" s="13" t="str">
        <f aca="false">IF(A36="","",ROUND((E36-D36)*F36,2))</f>
        <v/>
      </c>
      <c r="M36" s="19" t="str">
        <f aca="false">IF(A36="","",IFERROR(ROUND((E36-D36)/C36,3),""))</f>
        <v/>
      </c>
    </row>
    <row r="37" customFormat="false" ht="15" hidden="false" customHeight="false" outlineLevel="0" collapsed="false">
      <c r="A37" s="16"/>
      <c r="B37" s="16"/>
      <c r="C37" s="18"/>
      <c r="D37" s="17"/>
      <c r="E37" s="17"/>
      <c r="F37" s="18"/>
      <c r="G37" s="13" t="str">
        <f aca="false">IF(A37="","",ROUND(Settings!$B$21*C37/60,2))</f>
        <v/>
      </c>
      <c r="H37" s="13" t="str">
        <f aca="false">IF(A37="","",G37+D37)</f>
        <v/>
      </c>
      <c r="I37" s="13" t="str">
        <f aca="false">IF(A37="","",ROUND(H37*(1+Settings!$B$13/100),2))</f>
        <v/>
      </c>
      <c r="J37" s="13" t="str">
        <f aca="false">IF(A37="","",E37-I37)</f>
        <v/>
      </c>
      <c r="K37" s="13" t="str">
        <f aca="false">IF(A37="","",ROUND(E37*F37,2))</f>
        <v/>
      </c>
      <c r="L37" s="13" t="str">
        <f aca="false">IF(A37="","",ROUND((E37-D37)*F37,2))</f>
        <v/>
      </c>
      <c r="M37" s="19" t="str">
        <f aca="false">IF(A37="","",IFERROR(ROUND((E37-D37)/C37,3),""))</f>
        <v/>
      </c>
    </row>
    <row r="38" customFormat="false" ht="15" hidden="false" customHeight="false" outlineLevel="0" collapsed="false">
      <c r="A38" s="16"/>
      <c r="B38" s="16"/>
      <c r="C38" s="18"/>
      <c r="D38" s="17"/>
      <c r="E38" s="17"/>
      <c r="F38" s="18"/>
      <c r="G38" s="13" t="str">
        <f aca="false">IF(A38="","",ROUND(Settings!$B$21*C38/60,2))</f>
        <v/>
      </c>
      <c r="H38" s="13" t="str">
        <f aca="false">IF(A38="","",G38+D38)</f>
        <v/>
      </c>
      <c r="I38" s="13" t="str">
        <f aca="false">IF(A38="","",ROUND(H38*(1+Settings!$B$13/100),2))</f>
        <v/>
      </c>
      <c r="J38" s="13" t="str">
        <f aca="false">IF(A38="","",E38-I38)</f>
        <v/>
      </c>
      <c r="K38" s="13" t="str">
        <f aca="false">IF(A38="","",ROUND(E38*F38,2))</f>
        <v/>
      </c>
      <c r="L38" s="13" t="str">
        <f aca="false">IF(A38="","",ROUND((E38-D38)*F38,2))</f>
        <v/>
      </c>
      <c r="M38" s="19" t="str">
        <f aca="false">IF(A38="","",IFERROR(ROUND((E38-D38)/C38,3),""))</f>
        <v/>
      </c>
    </row>
    <row r="39" customFormat="false" ht="15" hidden="false" customHeight="false" outlineLevel="0" collapsed="false">
      <c r="A39" s="16"/>
      <c r="B39" s="16"/>
      <c r="C39" s="18"/>
      <c r="D39" s="17"/>
      <c r="E39" s="17"/>
      <c r="F39" s="18"/>
      <c r="G39" s="13" t="str">
        <f aca="false">IF(A39="","",ROUND(Settings!$B$21*C39/60,2))</f>
        <v/>
      </c>
      <c r="H39" s="13" t="str">
        <f aca="false">IF(A39="","",G39+D39)</f>
        <v/>
      </c>
      <c r="I39" s="13" t="str">
        <f aca="false">IF(A39="","",ROUND(H39*(1+Settings!$B$13/100),2))</f>
        <v/>
      </c>
      <c r="J39" s="13" t="str">
        <f aca="false">IF(A39="","",E39-I39)</f>
        <v/>
      </c>
      <c r="K39" s="13" t="str">
        <f aca="false">IF(A39="","",ROUND(E39*F39,2))</f>
        <v/>
      </c>
      <c r="L39" s="13" t="str">
        <f aca="false">IF(A39="","",ROUND((E39-D39)*F39,2))</f>
        <v/>
      </c>
      <c r="M39" s="19" t="str">
        <f aca="false">IF(A39="","",IFERROR(ROUND((E39-D39)/C39,3),""))</f>
        <v/>
      </c>
    </row>
    <row r="40" customFormat="false" ht="15" hidden="false" customHeight="false" outlineLevel="0" collapsed="false">
      <c r="A40" s="16"/>
      <c r="B40" s="16"/>
      <c r="C40" s="18"/>
      <c r="D40" s="17"/>
      <c r="E40" s="17"/>
      <c r="F40" s="18"/>
      <c r="G40" s="13" t="str">
        <f aca="false">IF(A40="","",ROUND(Settings!$B$21*C40/60,2))</f>
        <v/>
      </c>
      <c r="H40" s="13" t="str">
        <f aca="false">IF(A40="","",G40+D40)</f>
        <v/>
      </c>
      <c r="I40" s="13" t="str">
        <f aca="false">IF(A40="","",ROUND(H40*(1+Settings!$B$13/100),2))</f>
        <v/>
      </c>
      <c r="J40" s="13" t="str">
        <f aca="false">IF(A40="","",E40-I40)</f>
        <v/>
      </c>
      <c r="K40" s="13" t="str">
        <f aca="false">IF(A40="","",ROUND(E40*F40,2))</f>
        <v/>
      </c>
      <c r="L40" s="13" t="str">
        <f aca="false">IF(A40="","",ROUND((E40-D40)*F40,2))</f>
        <v/>
      </c>
      <c r="M40" s="19" t="str">
        <f aca="false">IF(A40="","",IFERROR(ROUND((E40-D40)/C40,3),""))</f>
        <v/>
      </c>
    </row>
    <row r="41" customFormat="false" ht="15" hidden="false" customHeight="false" outlineLevel="0" collapsed="false">
      <c r="A41" s="16"/>
      <c r="B41" s="16"/>
      <c r="C41" s="18"/>
      <c r="D41" s="17"/>
      <c r="E41" s="17"/>
      <c r="F41" s="18"/>
      <c r="G41" s="13" t="str">
        <f aca="false">IF(A41="","",ROUND(Settings!$B$21*C41/60,2))</f>
        <v/>
      </c>
      <c r="H41" s="13" t="str">
        <f aca="false">IF(A41="","",G41+D41)</f>
        <v/>
      </c>
      <c r="I41" s="13" t="str">
        <f aca="false">IF(A41="","",ROUND(H41*(1+Settings!$B$13/100),2))</f>
        <v/>
      </c>
      <c r="J41" s="13" t="str">
        <f aca="false">IF(A41="","",E41-I41)</f>
        <v/>
      </c>
      <c r="K41" s="13" t="str">
        <f aca="false">IF(A41="","",ROUND(E41*F41,2))</f>
        <v/>
      </c>
      <c r="L41" s="13" t="str">
        <f aca="false">IF(A41="","",ROUND((E41-D41)*F41,2))</f>
        <v/>
      </c>
      <c r="M41" s="19" t="str">
        <f aca="false">IF(A41="","",IFERROR(ROUND((E41-D41)/C41,3),""))</f>
        <v/>
      </c>
    </row>
    <row r="42" customFormat="false" ht="15" hidden="false" customHeight="false" outlineLevel="0" collapsed="false">
      <c r="A42" s="16"/>
      <c r="B42" s="16"/>
      <c r="C42" s="18"/>
      <c r="D42" s="17"/>
      <c r="E42" s="17"/>
      <c r="F42" s="18"/>
      <c r="G42" s="13" t="str">
        <f aca="false">IF(A42="","",ROUND(Settings!$B$21*C42/60,2))</f>
        <v/>
      </c>
      <c r="H42" s="13" t="str">
        <f aca="false">IF(A42="","",G42+D42)</f>
        <v/>
      </c>
      <c r="I42" s="13" t="str">
        <f aca="false">IF(A42="","",ROUND(H42*(1+Settings!$B$13/100),2))</f>
        <v/>
      </c>
      <c r="J42" s="13" t="str">
        <f aca="false">IF(A42="","",E42-I42)</f>
        <v/>
      </c>
      <c r="K42" s="13" t="str">
        <f aca="false">IF(A42="","",ROUND(E42*F42,2))</f>
        <v/>
      </c>
      <c r="L42" s="13" t="str">
        <f aca="false">IF(A42="","",ROUND((E42-D42)*F42,2))</f>
        <v/>
      </c>
      <c r="M42" s="19" t="str">
        <f aca="false">IF(A42="","",IFERROR(ROUND((E42-D42)/C42,3),""))</f>
        <v/>
      </c>
    </row>
    <row r="43" customFormat="false" ht="15" hidden="false" customHeight="false" outlineLevel="0" collapsed="false">
      <c r="A43" s="16"/>
      <c r="B43" s="16"/>
      <c r="C43" s="18"/>
      <c r="D43" s="17"/>
      <c r="E43" s="17"/>
      <c r="F43" s="18"/>
      <c r="G43" s="13" t="str">
        <f aca="false">IF(A43="","",ROUND(Settings!$B$21*C43/60,2))</f>
        <v/>
      </c>
      <c r="H43" s="13" t="str">
        <f aca="false">IF(A43="","",G43+D43)</f>
        <v/>
      </c>
      <c r="I43" s="13" t="str">
        <f aca="false">IF(A43="","",ROUND(H43*(1+Settings!$B$13/100),2))</f>
        <v/>
      </c>
      <c r="J43" s="13" t="str">
        <f aca="false">IF(A43="","",E43-I43)</f>
        <v/>
      </c>
      <c r="K43" s="13" t="str">
        <f aca="false">IF(A43="","",ROUND(E43*F43,2))</f>
        <v/>
      </c>
      <c r="L43" s="13" t="str">
        <f aca="false">IF(A43="","",ROUND((E43-D43)*F43,2))</f>
        <v/>
      </c>
      <c r="M43" s="19" t="str">
        <f aca="false">IF(A43="","",IFERROR(ROUND((E43-D43)/C43,3),""))</f>
        <v/>
      </c>
    </row>
    <row r="44" customFormat="false" ht="15" hidden="false" customHeight="false" outlineLevel="0" collapsed="false">
      <c r="A44" s="16"/>
      <c r="B44" s="16"/>
      <c r="C44" s="18"/>
      <c r="D44" s="17"/>
      <c r="E44" s="17"/>
      <c r="F44" s="18"/>
      <c r="G44" s="13" t="str">
        <f aca="false">IF(A44="","",ROUND(Settings!$B$21*C44/60,2))</f>
        <v/>
      </c>
      <c r="H44" s="13" t="str">
        <f aca="false">IF(A44="","",G44+D44)</f>
        <v/>
      </c>
      <c r="I44" s="13" t="str">
        <f aca="false">IF(A44="","",ROUND(H44*(1+Settings!$B$13/100),2))</f>
        <v/>
      </c>
      <c r="J44" s="13" t="str">
        <f aca="false">IF(A44="","",E44-I44)</f>
        <v/>
      </c>
      <c r="K44" s="13" t="str">
        <f aca="false">IF(A44="","",ROUND(E44*F44,2))</f>
        <v/>
      </c>
      <c r="L44" s="13" t="str">
        <f aca="false">IF(A44="","",ROUND((E44-D44)*F44,2))</f>
        <v/>
      </c>
      <c r="M44" s="19" t="str">
        <f aca="false">IF(A44="","",IFERROR(ROUND((E44-D44)/C44,3),""))</f>
        <v/>
      </c>
    </row>
    <row r="45" customFormat="false" ht="15" hidden="false" customHeight="false" outlineLevel="0" collapsed="false">
      <c r="A45" s="5" t="s">
        <v>96</v>
      </c>
      <c r="C45" s="20" t="n">
        <f aca="false">SUMPRODUCT(C5:C44,F5:F44)</f>
        <v>2535</v>
      </c>
      <c r="F45" s="20" t="n">
        <f aca="false">SUM(F5:F44)</f>
        <v>55</v>
      </c>
      <c r="K45" s="7" t="n">
        <f aca="false">SUM(K5:K44)</f>
        <v>2830</v>
      </c>
      <c r="L45" s="7" t="n">
        <f aca="false">SUM(L5:L44)</f>
        <v>2612</v>
      </c>
    </row>
    <row r="46" customFormat="false" ht="15" hidden="false" customHeight="false" outlineLevel="0" collapsed="false">
      <c r="A46" s="3" t="s">
        <v>97</v>
      </c>
    </row>
  </sheetData>
  <dataValidations count="1">
    <dataValidation allowBlank="true" errorStyle="stop" operator="between" showDropDown="false" showErrorMessage="false" showInputMessage="false" sqref="B5:B44" type="list">
      <formula1>"hair,colour,nails,skin,massage,barber,training,tutoring,other"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5" min="5" style="1" width="24"/>
  </cols>
  <sheetData>
    <row r="1" customFormat="false" ht="17.35" hidden="false" customHeight="false" outlineLevel="0" collapsed="false">
      <c r="A1" s="2" t="s">
        <v>98</v>
      </c>
    </row>
    <row r="2" customFormat="false" ht="15" hidden="false" customHeight="false" outlineLevel="0" collapsed="false">
      <c r="A2" s="3" t="s">
        <v>99</v>
      </c>
    </row>
    <row r="4" customFormat="false" ht="15" hidden="false" customHeight="false" outlineLevel="0" collapsed="false">
      <c r="A4" s="4" t="s">
        <v>100</v>
      </c>
      <c r="B4" s="13" t="n">
        <f aca="false">ROUND('Service Menu'!K45*52/12,2)</f>
        <v>12263.33</v>
      </c>
      <c r="C4" s="3" t="s">
        <v>101</v>
      </c>
    </row>
    <row r="5" customFormat="false" ht="15" hidden="false" customHeight="false" outlineLevel="0" collapsed="false">
      <c r="A5" s="4" t="s">
        <v>102</v>
      </c>
      <c r="B5" s="6"/>
      <c r="C5" s="3" t="s">
        <v>103</v>
      </c>
    </row>
    <row r="6" customFormat="false" ht="15" hidden="false" customHeight="false" outlineLevel="0" collapsed="false">
      <c r="A6" s="4" t="s">
        <v>104</v>
      </c>
      <c r="B6" s="13" t="n">
        <f aca="false">IF(B5="",B4,B5)</f>
        <v>12263.33</v>
      </c>
      <c r="C6" s="3" t="s">
        <v>105</v>
      </c>
    </row>
    <row r="7" customFormat="false" ht="15" hidden="false" customHeight="false" outlineLevel="0" collapsed="false">
      <c r="A7" s="4" t="s">
        <v>52</v>
      </c>
      <c r="B7" s="13" t="n">
        <f aca="false">Settings!$B$17</f>
        <v>300</v>
      </c>
      <c r="C7" s="3" t="s">
        <v>106</v>
      </c>
    </row>
    <row r="8" customFormat="false" ht="15" hidden="false" customHeight="false" outlineLevel="0" collapsed="false">
      <c r="A8" s="4" t="s">
        <v>107</v>
      </c>
      <c r="B8" s="13" t="n">
        <f aca="false">ROUND(B7*52/12,2)</f>
        <v>1300</v>
      </c>
      <c r="C8" s="3" t="s">
        <v>108</v>
      </c>
    </row>
    <row r="9" customFormat="false" ht="15" hidden="false" customHeight="false" outlineLevel="0" collapsed="false">
      <c r="A9" s="4" t="s">
        <v>46</v>
      </c>
      <c r="B9" s="21" t="n">
        <f aca="false">Settings!$B$14</f>
        <v>10</v>
      </c>
      <c r="C9" s="3" t="s">
        <v>109</v>
      </c>
    </row>
    <row r="10" customFormat="false" ht="15" hidden="false" customHeight="false" outlineLevel="0" collapsed="false">
      <c r="A10" s="4" t="s">
        <v>110</v>
      </c>
      <c r="B10" s="21" t="n">
        <f aca="false">Settings!$B$18</f>
        <v>45</v>
      </c>
      <c r="C10" s="3" t="s">
        <v>106</v>
      </c>
    </row>
    <row r="11" customFormat="false" ht="15" hidden="false" customHeight="false" outlineLevel="0" collapsed="false">
      <c r="A11" s="4" t="s">
        <v>111</v>
      </c>
      <c r="B11" s="21" t="n">
        <f aca="false">IFERROR(ROUND(B8/B6*100,2),"n/a")</f>
        <v>10.6</v>
      </c>
      <c r="C11" s="3" t="s">
        <v>112</v>
      </c>
    </row>
    <row r="12" customFormat="false" ht="15" hidden="false" customHeight="false" outlineLevel="0" collapsed="false">
      <c r="A12" s="5" t="s">
        <v>113</v>
      </c>
      <c r="B12" s="7" t="n">
        <f aca="false">ROUND(B6-B8-B6*B9/100,2)</f>
        <v>9737</v>
      </c>
      <c r="C12" s="3" t="s">
        <v>114</v>
      </c>
    </row>
    <row r="13" customFormat="false" ht="15" hidden="false" customHeight="false" outlineLevel="0" collapsed="false">
      <c r="A13" s="5" t="s">
        <v>115</v>
      </c>
      <c r="B13" s="7" t="n">
        <f aca="false">ROUND(B6*B10/100,2)</f>
        <v>5518.5</v>
      </c>
      <c r="C13" s="3" t="s">
        <v>116</v>
      </c>
    </row>
    <row r="14" customFormat="false" ht="15" hidden="false" customHeight="false" outlineLevel="0" collapsed="false">
      <c r="A14" s="4" t="s">
        <v>117</v>
      </c>
      <c r="B14" s="13" t="n">
        <f aca="false">B12-B13</f>
        <v>4218.5</v>
      </c>
      <c r="C14" s="3" t="s">
        <v>118</v>
      </c>
    </row>
    <row r="15" customFormat="false" ht="15" hidden="false" customHeight="false" outlineLevel="0" collapsed="false">
      <c r="A15" s="5" t="s">
        <v>119</v>
      </c>
      <c r="B15" s="5" t="str">
        <f aca="false">IF(ROUND(B14,2)&gt;0,"Booth rent pays more",IF(ROUND(B14,2)&lt;0,"Commission pays more","Both pay the same"))</f>
        <v>Booth rent pays more</v>
      </c>
    </row>
    <row r="16" customFormat="false" ht="15" hidden="false" customHeight="false" outlineLevel="0" collapsed="false">
      <c r="A16" s="5" t="s">
        <v>120</v>
      </c>
      <c r="B16" s="7" t="n">
        <f aca="false">IF(1-B10/100-B9/100&lt;=0,"n/a",IFERROR(ROUND(B8/(1-B10/100-B9/100),2),"n/a"))</f>
        <v>2888.89</v>
      </c>
      <c r="C16" s="3" t="s">
        <v>121</v>
      </c>
    </row>
    <row r="18" customFormat="false" ht="17.35" hidden="false" customHeight="false" outlineLevel="0" collapsed="false">
      <c r="A18" s="2" t="s">
        <v>122</v>
      </c>
    </row>
    <row r="19" customFormat="false" ht="26.85" hidden="false" customHeight="false" outlineLevel="0" collapsed="false">
      <c r="A19" s="15" t="s">
        <v>123</v>
      </c>
      <c r="B19" s="15" t="s">
        <v>124</v>
      </c>
      <c r="C19" s="15" t="s">
        <v>125</v>
      </c>
      <c r="D19" s="15" t="s">
        <v>126</v>
      </c>
      <c r="E19" s="15" t="s">
        <v>127</v>
      </c>
    </row>
    <row r="20" customFormat="false" ht="15" hidden="false" customHeight="false" outlineLevel="0" collapsed="false">
      <c r="A20" s="11" t="n">
        <v>-20</v>
      </c>
      <c r="B20" s="13" t="n">
        <f aca="false">ROUND($B$6*(1+A20/100),2)</f>
        <v>9810.66</v>
      </c>
      <c r="C20" s="13" t="n">
        <f aca="false">ROUND(B20-$B$8-B20*$B$9/100,2)</f>
        <v>7529.59</v>
      </c>
      <c r="D20" s="13" t="n">
        <f aca="false">ROUND(B20*$B$10/100,2)</f>
        <v>4414.8</v>
      </c>
      <c r="E20" s="4" t="str">
        <f aca="false">IF(C20&gt;D20,"Booth rent",IF(C20&lt;D20,"Commission","Same"))</f>
        <v>Booth rent</v>
      </c>
    </row>
    <row r="21" customFormat="false" ht="15" hidden="false" customHeight="false" outlineLevel="0" collapsed="false">
      <c r="A21" s="11" t="n">
        <v>-10</v>
      </c>
      <c r="B21" s="13" t="n">
        <f aca="false">ROUND($B$6*(1+A21/100),2)</f>
        <v>11037</v>
      </c>
      <c r="C21" s="13" t="n">
        <f aca="false">ROUND(B21-$B$8-B21*$B$9/100,2)</f>
        <v>8633.3</v>
      </c>
      <c r="D21" s="13" t="n">
        <f aca="false">ROUND(B21*$B$10/100,2)</f>
        <v>4966.65</v>
      </c>
      <c r="E21" s="4" t="str">
        <f aca="false">IF(C21&gt;D21,"Booth rent",IF(C21&lt;D21,"Commission","Same"))</f>
        <v>Booth rent</v>
      </c>
    </row>
    <row r="22" customFormat="false" ht="15" hidden="false" customHeight="false" outlineLevel="0" collapsed="false">
      <c r="A22" s="11" t="n">
        <v>0</v>
      </c>
      <c r="B22" s="13" t="n">
        <f aca="false">ROUND($B$6*(1+A22/100),2)</f>
        <v>12263.33</v>
      </c>
      <c r="C22" s="13" t="n">
        <f aca="false">ROUND(B22-$B$8-B22*$B$9/100,2)</f>
        <v>9737</v>
      </c>
      <c r="D22" s="13" t="n">
        <f aca="false">ROUND(B22*$B$10/100,2)</f>
        <v>5518.5</v>
      </c>
      <c r="E22" s="4" t="str">
        <f aca="false">IF(C22&gt;D22,"Booth rent",IF(C22&lt;D22,"Commission","Same"))</f>
        <v>Booth rent</v>
      </c>
    </row>
    <row r="23" customFormat="false" ht="15" hidden="false" customHeight="false" outlineLevel="0" collapsed="false">
      <c r="A23" s="11" t="n">
        <v>10</v>
      </c>
      <c r="B23" s="13" t="n">
        <f aca="false">ROUND($B$6*(1+A23/100),2)</f>
        <v>13489.66</v>
      </c>
      <c r="C23" s="13" t="n">
        <f aca="false">ROUND(B23-$B$8-B23*$B$9/100,2)</f>
        <v>10840.69</v>
      </c>
      <c r="D23" s="13" t="n">
        <f aca="false">ROUND(B23*$B$10/100,2)</f>
        <v>6070.35</v>
      </c>
      <c r="E23" s="4" t="str">
        <f aca="false">IF(C23&gt;D23,"Booth rent",IF(C23&lt;D23,"Commission","Same"))</f>
        <v>Booth rent</v>
      </c>
    </row>
    <row r="24" customFormat="false" ht="15" hidden="false" customHeight="false" outlineLevel="0" collapsed="false">
      <c r="A24" s="11" t="n">
        <v>20</v>
      </c>
      <c r="B24" s="13" t="n">
        <f aca="false">ROUND($B$6*(1+A24/100),2)</f>
        <v>14716</v>
      </c>
      <c r="C24" s="13" t="n">
        <f aca="false">ROUND(B24-$B$8-B24*$B$9/100,2)</f>
        <v>11944.4</v>
      </c>
      <c r="D24" s="13" t="n">
        <f aca="false">ROUND(B24*$B$10/100,2)</f>
        <v>6622.2</v>
      </c>
      <c r="E24" s="4" t="str">
        <f aca="false">IF(C24&gt;D24,"Booth rent",IF(C24&lt;D24,"Commission","Same"))</f>
        <v>Booth rent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2"/>
    <col collapsed="false" customWidth="true" hidden="false" outlineLevel="0" max="3" min="3" style="1" width="10"/>
    <col collapsed="false" customWidth="true" hidden="false" outlineLevel="0" max="6" min="4" style="1" width="12"/>
    <col collapsed="false" customWidth="true" hidden="false" outlineLevel="0" max="7" min="7" style="1" width="14"/>
    <col collapsed="false" customWidth="true" hidden="false" outlineLevel="0" max="8" min="8" style="1" width="11"/>
    <col collapsed="false" customWidth="true" hidden="false" outlineLevel="0" max="9" min="9" style="1" width="13"/>
    <col collapsed="false" customWidth="true" hidden="false" outlineLevel="0" max="10" min="10" style="1" width="11"/>
    <col collapsed="false" customWidth="true" hidden="false" outlineLevel="0" max="13" min="11" style="1" width="12"/>
    <col collapsed="false" customWidth="true" hidden="false" outlineLevel="0" max="14" min="14" style="1" width="15"/>
  </cols>
  <sheetData>
    <row r="1" customFormat="false" ht="17.35" hidden="false" customHeight="false" outlineLevel="0" collapsed="false">
      <c r="A1" s="2" t="s">
        <v>128</v>
      </c>
    </row>
    <row r="2" customFormat="false" ht="15" hidden="false" customHeight="false" outlineLevel="0" collapsed="false">
      <c r="A2" s="3" t="s">
        <v>129</v>
      </c>
    </row>
    <row r="4" customFormat="false" ht="39.55" hidden="false" customHeight="false" outlineLevel="0" collapsed="false">
      <c r="A4" s="15" t="s">
        <v>130</v>
      </c>
      <c r="B4" s="15" t="s">
        <v>131</v>
      </c>
      <c r="C4" s="15" t="s">
        <v>132</v>
      </c>
      <c r="D4" s="15" t="s">
        <v>133</v>
      </c>
      <c r="E4" s="15" t="s">
        <v>134</v>
      </c>
      <c r="F4" s="15" t="s">
        <v>135</v>
      </c>
      <c r="G4" s="15" t="s">
        <v>136</v>
      </c>
      <c r="H4" s="15" t="s">
        <v>137</v>
      </c>
      <c r="I4" s="15" t="s">
        <v>138</v>
      </c>
      <c r="J4" s="15" t="s">
        <v>139</v>
      </c>
      <c r="K4" s="15" t="s">
        <v>140</v>
      </c>
      <c r="L4" s="15" t="s">
        <v>141</v>
      </c>
      <c r="M4" s="15" t="s">
        <v>142</v>
      </c>
      <c r="N4" s="15" t="s">
        <v>143</v>
      </c>
    </row>
    <row r="5" customFormat="false" ht="15" hidden="false" customHeight="false" outlineLevel="0" collapsed="false">
      <c r="A5" s="22" t="n">
        <v>46237</v>
      </c>
      <c r="B5" s="8" t="n">
        <v>32</v>
      </c>
      <c r="C5" s="18" t="n">
        <v>2</v>
      </c>
      <c r="D5" s="18" t="n">
        <v>1</v>
      </c>
      <c r="E5" s="6" t="n">
        <v>1950</v>
      </c>
      <c r="F5" s="17" t="n">
        <v>195</v>
      </c>
      <c r="G5" s="17" t="n">
        <v>300</v>
      </c>
      <c r="H5" s="17" t="n">
        <v>120</v>
      </c>
      <c r="I5" s="23" t="n">
        <f aca="false">IF(A5="","",B5-C5-D5)</f>
        <v>29</v>
      </c>
      <c r="J5" s="21" t="n">
        <f aca="false">IF(A5="","",IFERROR(ROUND((C5+D5)/B5*100,2),0))</f>
        <v>9.38</v>
      </c>
      <c r="K5" s="13" t="n">
        <f aca="false">IF(A5="","",ROUND((C5+D5)*Settings!$B$15,2))</f>
        <v>195</v>
      </c>
      <c r="L5" s="13" t="n">
        <f aca="false">IF(A5="","",ROUND((C5+D5)*Settings!$B$19,2))</f>
        <v>75</v>
      </c>
      <c r="M5" s="13" t="n">
        <f aca="false">IF(A5="","",E5-F5-G5)</f>
        <v>1455</v>
      </c>
      <c r="N5" s="13" t="n">
        <f aca="false">IF(A5="","",IFERROR(ROUND(E5/I5,2),""))</f>
        <v>67.24</v>
      </c>
    </row>
    <row r="6" customFormat="false" ht="15" hidden="false" customHeight="false" outlineLevel="0" collapsed="false">
      <c r="A6" s="22" t="n">
        <v>46244</v>
      </c>
      <c r="B6" s="18" t="n">
        <v>34</v>
      </c>
      <c r="C6" s="18" t="n">
        <v>1</v>
      </c>
      <c r="D6" s="18" t="n">
        <v>2</v>
      </c>
      <c r="E6" s="17" t="n">
        <v>2080</v>
      </c>
      <c r="F6" s="17" t="n">
        <v>205</v>
      </c>
      <c r="G6" s="17" t="n">
        <v>300</v>
      </c>
      <c r="H6" s="17" t="n">
        <v>135</v>
      </c>
      <c r="I6" s="23" t="n">
        <f aca="false">IF(A6="","",B6-C6-D6)</f>
        <v>31</v>
      </c>
      <c r="J6" s="21" t="n">
        <f aca="false">IF(A6="","",IFERROR(ROUND((C6+D6)/B6*100,2),0))</f>
        <v>8.82</v>
      </c>
      <c r="K6" s="13" t="n">
        <f aca="false">IF(A6="","",ROUND((C6+D6)*Settings!$B$15,2))</f>
        <v>195</v>
      </c>
      <c r="L6" s="13" t="n">
        <f aca="false">IF(A6="","",ROUND((C6+D6)*Settings!$B$19,2))</f>
        <v>75</v>
      </c>
      <c r="M6" s="13" t="n">
        <f aca="false">IF(A6="","",E6-F6-G6)</f>
        <v>1575</v>
      </c>
      <c r="N6" s="13" t="n">
        <f aca="false">IF(A6="","",IFERROR(ROUND(E6/I6,2),""))</f>
        <v>67.1</v>
      </c>
    </row>
    <row r="7" customFormat="false" ht="15" hidden="false" customHeight="false" outlineLevel="0" collapsed="false">
      <c r="A7" s="22" t="n">
        <v>46251</v>
      </c>
      <c r="B7" s="18" t="n">
        <v>30</v>
      </c>
      <c r="C7" s="18" t="n">
        <v>3</v>
      </c>
      <c r="D7" s="18" t="n">
        <v>0</v>
      </c>
      <c r="E7" s="17" t="n">
        <v>1840</v>
      </c>
      <c r="F7" s="17" t="n">
        <v>180</v>
      </c>
      <c r="G7" s="17" t="n">
        <v>300</v>
      </c>
      <c r="H7" s="17" t="n">
        <v>110</v>
      </c>
      <c r="I7" s="23" t="n">
        <f aca="false">IF(A7="","",B7-C7-D7)</f>
        <v>27</v>
      </c>
      <c r="J7" s="21" t="n">
        <f aca="false">IF(A7="","",IFERROR(ROUND((C7+D7)/B7*100,2),0))</f>
        <v>10</v>
      </c>
      <c r="K7" s="13" t="n">
        <f aca="false">IF(A7="","",ROUND((C7+D7)*Settings!$B$15,2))</f>
        <v>195</v>
      </c>
      <c r="L7" s="13" t="n">
        <f aca="false">IF(A7="","",ROUND((C7+D7)*Settings!$B$19,2))</f>
        <v>75</v>
      </c>
      <c r="M7" s="13" t="n">
        <f aca="false">IF(A7="","",E7-F7-G7)</f>
        <v>1360</v>
      </c>
      <c r="N7" s="13" t="n">
        <f aca="false">IF(A7="","",IFERROR(ROUND(E7/I7,2),""))</f>
        <v>68.15</v>
      </c>
    </row>
    <row r="8" customFormat="false" ht="15" hidden="false" customHeight="false" outlineLevel="0" collapsed="false">
      <c r="A8" s="22" t="n">
        <v>46258</v>
      </c>
      <c r="B8" s="18" t="n">
        <v>33</v>
      </c>
      <c r="C8" s="18" t="n">
        <v>2</v>
      </c>
      <c r="D8" s="18" t="n">
        <v>2</v>
      </c>
      <c r="E8" s="17" t="n">
        <v>1990</v>
      </c>
      <c r="F8" s="17" t="n">
        <v>198</v>
      </c>
      <c r="G8" s="17" t="n">
        <v>300</v>
      </c>
      <c r="H8" s="17" t="n">
        <v>125</v>
      </c>
      <c r="I8" s="23" t="n">
        <f aca="false">IF(A8="","",B8-C8-D8)</f>
        <v>29</v>
      </c>
      <c r="J8" s="21" t="n">
        <f aca="false">IF(A8="","",IFERROR(ROUND((C8+D8)/B8*100,2),0))</f>
        <v>12.12</v>
      </c>
      <c r="K8" s="13" t="n">
        <f aca="false">IF(A8="","",ROUND((C8+D8)*Settings!$B$15,2))</f>
        <v>260</v>
      </c>
      <c r="L8" s="13" t="n">
        <f aca="false">IF(A8="","",ROUND((C8+D8)*Settings!$B$19,2))</f>
        <v>100</v>
      </c>
      <c r="M8" s="13" t="n">
        <f aca="false">IF(A8="","",E8-F8-G8)</f>
        <v>1492</v>
      </c>
      <c r="N8" s="13" t="n">
        <f aca="false">IF(A8="","",IFERROR(ROUND(E8/I8,2),""))</f>
        <v>68.62</v>
      </c>
    </row>
    <row r="9" customFormat="false" ht="15" hidden="false" customHeight="false" outlineLevel="0" collapsed="false">
      <c r="A9" s="22" t="n">
        <v>46265</v>
      </c>
      <c r="B9" s="18" t="n">
        <v>35</v>
      </c>
      <c r="C9" s="18" t="n">
        <v>1</v>
      </c>
      <c r="D9" s="18" t="n">
        <v>1</v>
      </c>
      <c r="E9" s="17" t="n">
        <v>2210</v>
      </c>
      <c r="F9" s="17" t="n">
        <v>220</v>
      </c>
      <c r="G9" s="17" t="n">
        <v>300</v>
      </c>
      <c r="H9" s="17" t="n">
        <v>150</v>
      </c>
      <c r="I9" s="23" t="n">
        <f aca="false">IF(A9="","",B9-C9-D9)</f>
        <v>33</v>
      </c>
      <c r="J9" s="21" t="n">
        <f aca="false">IF(A9="","",IFERROR(ROUND((C9+D9)/B9*100,2),0))</f>
        <v>5.71</v>
      </c>
      <c r="K9" s="13" t="n">
        <f aca="false">IF(A9="","",ROUND((C9+D9)*Settings!$B$15,2))</f>
        <v>130</v>
      </c>
      <c r="L9" s="13" t="n">
        <f aca="false">IF(A9="","",ROUND((C9+D9)*Settings!$B$19,2))</f>
        <v>50</v>
      </c>
      <c r="M9" s="13" t="n">
        <f aca="false">IF(A9="","",E9-F9-G9)</f>
        <v>1690</v>
      </c>
      <c r="N9" s="13" t="n">
        <f aca="false">IF(A9="","",IFERROR(ROUND(E9/I9,2),""))</f>
        <v>66.97</v>
      </c>
    </row>
    <row r="10" customFormat="false" ht="15" hidden="false" customHeight="false" outlineLevel="0" collapsed="false">
      <c r="A10" s="22" t="n">
        <v>46272</v>
      </c>
      <c r="B10" s="18" t="n">
        <v>31</v>
      </c>
      <c r="C10" s="18" t="n">
        <v>2</v>
      </c>
      <c r="D10" s="18" t="n">
        <v>1</v>
      </c>
      <c r="E10" s="17" t="n">
        <v>1900</v>
      </c>
      <c r="F10" s="17" t="n">
        <v>190</v>
      </c>
      <c r="G10" s="17" t="n">
        <v>300</v>
      </c>
      <c r="H10" s="17" t="n">
        <v>115</v>
      </c>
      <c r="I10" s="23" t="n">
        <f aca="false">IF(A10="","",B10-C10-D10)</f>
        <v>28</v>
      </c>
      <c r="J10" s="21" t="n">
        <f aca="false">IF(A10="","",IFERROR(ROUND((C10+D10)/B10*100,2),0))</f>
        <v>9.68</v>
      </c>
      <c r="K10" s="13" t="n">
        <f aca="false">IF(A10="","",ROUND((C10+D10)*Settings!$B$15,2))</f>
        <v>195</v>
      </c>
      <c r="L10" s="13" t="n">
        <f aca="false">IF(A10="","",ROUND((C10+D10)*Settings!$B$19,2))</f>
        <v>75</v>
      </c>
      <c r="M10" s="13" t="n">
        <f aca="false">IF(A10="","",E10-F10-G10)</f>
        <v>1410</v>
      </c>
      <c r="N10" s="13" t="n">
        <f aca="false">IF(A10="","",IFERROR(ROUND(E10/I10,2),""))</f>
        <v>67.86</v>
      </c>
    </row>
    <row r="11" customFormat="false" ht="15" hidden="false" customHeight="false" outlineLevel="0" collapsed="false">
      <c r="A11" s="22"/>
      <c r="B11" s="18"/>
      <c r="C11" s="18"/>
      <c r="D11" s="18"/>
      <c r="E11" s="17"/>
      <c r="F11" s="17"/>
      <c r="G11" s="17"/>
      <c r="H11" s="17"/>
      <c r="I11" s="23" t="str">
        <f aca="false">IF(A11="","",B11-C11-D11)</f>
        <v/>
      </c>
      <c r="J11" s="21" t="str">
        <f aca="false">IF(A11="","",IFERROR(ROUND((C11+D11)/B11*100,2),0))</f>
        <v/>
      </c>
      <c r="K11" s="13" t="str">
        <f aca="false">IF(A11="","",ROUND((C11+D11)*Settings!$B$15,2))</f>
        <v/>
      </c>
      <c r="L11" s="13" t="str">
        <f aca="false">IF(A11="","",ROUND((C11+D11)*Settings!$B$19,2))</f>
        <v/>
      </c>
      <c r="M11" s="13" t="str">
        <f aca="false">IF(A11="","",E11-F11-G11)</f>
        <v/>
      </c>
      <c r="N11" s="13" t="str">
        <f aca="false">IF(A11="","",IFERROR(ROUND(E11/I11,2),""))</f>
        <v/>
      </c>
    </row>
    <row r="12" customFormat="false" ht="15" hidden="false" customHeight="false" outlineLevel="0" collapsed="false">
      <c r="A12" s="22"/>
      <c r="B12" s="18"/>
      <c r="C12" s="18"/>
      <c r="D12" s="18"/>
      <c r="E12" s="17"/>
      <c r="F12" s="17"/>
      <c r="G12" s="17"/>
      <c r="H12" s="17"/>
      <c r="I12" s="23" t="str">
        <f aca="false">IF(A12="","",B12-C12-D12)</f>
        <v/>
      </c>
      <c r="J12" s="21" t="str">
        <f aca="false">IF(A12="","",IFERROR(ROUND((C12+D12)/B12*100,2),0))</f>
        <v/>
      </c>
      <c r="K12" s="13" t="str">
        <f aca="false">IF(A12="","",ROUND((C12+D12)*Settings!$B$15,2))</f>
        <v/>
      </c>
      <c r="L12" s="13" t="str">
        <f aca="false">IF(A12="","",ROUND((C12+D12)*Settings!$B$19,2))</f>
        <v/>
      </c>
      <c r="M12" s="13" t="str">
        <f aca="false">IF(A12="","",E12-F12-G12)</f>
        <v/>
      </c>
      <c r="N12" s="13" t="str">
        <f aca="false">IF(A12="","",IFERROR(ROUND(E12/I12,2),""))</f>
        <v/>
      </c>
    </row>
    <row r="13" customFormat="false" ht="15" hidden="false" customHeight="false" outlineLevel="0" collapsed="false">
      <c r="A13" s="22"/>
      <c r="B13" s="18"/>
      <c r="C13" s="18"/>
      <c r="D13" s="18"/>
      <c r="E13" s="17"/>
      <c r="F13" s="17"/>
      <c r="G13" s="17"/>
      <c r="H13" s="17"/>
      <c r="I13" s="23" t="str">
        <f aca="false">IF(A13="","",B13-C13-D13)</f>
        <v/>
      </c>
      <c r="J13" s="21" t="str">
        <f aca="false">IF(A13="","",IFERROR(ROUND((C13+D13)/B13*100,2),0))</f>
        <v/>
      </c>
      <c r="K13" s="13" t="str">
        <f aca="false">IF(A13="","",ROUND((C13+D13)*Settings!$B$15,2))</f>
        <v/>
      </c>
      <c r="L13" s="13" t="str">
        <f aca="false">IF(A13="","",ROUND((C13+D13)*Settings!$B$19,2))</f>
        <v/>
      </c>
      <c r="M13" s="13" t="str">
        <f aca="false">IF(A13="","",E13-F13-G13)</f>
        <v/>
      </c>
      <c r="N13" s="13" t="str">
        <f aca="false">IF(A13="","",IFERROR(ROUND(E13/I13,2),""))</f>
        <v/>
      </c>
    </row>
    <row r="14" customFormat="false" ht="15" hidden="false" customHeight="false" outlineLevel="0" collapsed="false">
      <c r="A14" s="22"/>
      <c r="B14" s="18"/>
      <c r="C14" s="18"/>
      <c r="D14" s="18"/>
      <c r="E14" s="17"/>
      <c r="F14" s="17"/>
      <c r="G14" s="17"/>
      <c r="H14" s="17"/>
      <c r="I14" s="23" t="str">
        <f aca="false">IF(A14="","",B14-C14-D14)</f>
        <v/>
      </c>
      <c r="J14" s="21" t="str">
        <f aca="false">IF(A14="","",IFERROR(ROUND((C14+D14)/B14*100,2),0))</f>
        <v/>
      </c>
      <c r="K14" s="13" t="str">
        <f aca="false">IF(A14="","",ROUND((C14+D14)*Settings!$B$15,2))</f>
        <v/>
      </c>
      <c r="L14" s="13" t="str">
        <f aca="false">IF(A14="","",ROUND((C14+D14)*Settings!$B$19,2))</f>
        <v/>
      </c>
      <c r="M14" s="13" t="str">
        <f aca="false">IF(A14="","",E14-F14-G14)</f>
        <v/>
      </c>
      <c r="N14" s="13" t="str">
        <f aca="false">IF(A14="","",IFERROR(ROUND(E14/I14,2),""))</f>
        <v/>
      </c>
    </row>
    <row r="15" customFormat="false" ht="15" hidden="false" customHeight="false" outlineLevel="0" collapsed="false">
      <c r="A15" s="22"/>
      <c r="B15" s="18"/>
      <c r="C15" s="18"/>
      <c r="D15" s="18"/>
      <c r="E15" s="17"/>
      <c r="F15" s="17"/>
      <c r="G15" s="17"/>
      <c r="H15" s="17"/>
      <c r="I15" s="23" t="str">
        <f aca="false">IF(A15="","",B15-C15-D15)</f>
        <v/>
      </c>
      <c r="J15" s="21" t="str">
        <f aca="false">IF(A15="","",IFERROR(ROUND((C15+D15)/B15*100,2),0))</f>
        <v/>
      </c>
      <c r="K15" s="13" t="str">
        <f aca="false">IF(A15="","",ROUND((C15+D15)*Settings!$B$15,2))</f>
        <v/>
      </c>
      <c r="L15" s="13" t="str">
        <f aca="false">IF(A15="","",ROUND((C15+D15)*Settings!$B$19,2))</f>
        <v/>
      </c>
      <c r="M15" s="13" t="str">
        <f aca="false">IF(A15="","",E15-F15-G15)</f>
        <v/>
      </c>
      <c r="N15" s="13" t="str">
        <f aca="false">IF(A15="","",IFERROR(ROUND(E15/I15,2),""))</f>
        <v/>
      </c>
    </row>
    <row r="16" customFormat="false" ht="15" hidden="false" customHeight="false" outlineLevel="0" collapsed="false">
      <c r="A16" s="22"/>
      <c r="B16" s="18"/>
      <c r="C16" s="18"/>
      <c r="D16" s="18"/>
      <c r="E16" s="17"/>
      <c r="F16" s="17"/>
      <c r="G16" s="17"/>
      <c r="H16" s="17"/>
      <c r="I16" s="23" t="str">
        <f aca="false">IF(A16="","",B16-C16-D16)</f>
        <v/>
      </c>
      <c r="J16" s="21" t="str">
        <f aca="false">IF(A16="","",IFERROR(ROUND((C16+D16)/B16*100,2),0))</f>
        <v/>
      </c>
      <c r="K16" s="13" t="str">
        <f aca="false">IF(A16="","",ROUND((C16+D16)*Settings!$B$15,2))</f>
        <v/>
      </c>
      <c r="L16" s="13" t="str">
        <f aca="false">IF(A16="","",ROUND((C16+D16)*Settings!$B$19,2))</f>
        <v/>
      </c>
      <c r="M16" s="13" t="str">
        <f aca="false">IF(A16="","",E16-F16-G16)</f>
        <v/>
      </c>
      <c r="N16" s="13" t="str">
        <f aca="false">IF(A16="","",IFERROR(ROUND(E16/I16,2),""))</f>
        <v/>
      </c>
    </row>
    <row r="17" customFormat="false" ht="15" hidden="false" customHeight="false" outlineLevel="0" collapsed="false">
      <c r="A17" s="22"/>
      <c r="B17" s="18"/>
      <c r="C17" s="18"/>
      <c r="D17" s="18"/>
      <c r="E17" s="17"/>
      <c r="F17" s="17"/>
      <c r="G17" s="17"/>
      <c r="H17" s="17"/>
      <c r="I17" s="23" t="str">
        <f aca="false">IF(A17="","",B17-C17-D17)</f>
        <v/>
      </c>
      <c r="J17" s="21" t="str">
        <f aca="false">IF(A17="","",IFERROR(ROUND((C17+D17)/B17*100,2),0))</f>
        <v/>
      </c>
      <c r="K17" s="13" t="str">
        <f aca="false">IF(A17="","",ROUND((C17+D17)*Settings!$B$15,2))</f>
        <v/>
      </c>
      <c r="L17" s="13" t="str">
        <f aca="false">IF(A17="","",ROUND((C17+D17)*Settings!$B$19,2))</f>
        <v/>
      </c>
      <c r="M17" s="13" t="str">
        <f aca="false">IF(A17="","",E17-F17-G17)</f>
        <v/>
      </c>
      <c r="N17" s="13" t="str">
        <f aca="false">IF(A17="","",IFERROR(ROUND(E17/I17,2),""))</f>
        <v/>
      </c>
    </row>
    <row r="18" customFormat="false" ht="15" hidden="false" customHeight="false" outlineLevel="0" collapsed="false">
      <c r="A18" s="22"/>
      <c r="B18" s="18"/>
      <c r="C18" s="18"/>
      <c r="D18" s="18"/>
      <c r="E18" s="17"/>
      <c r="F18" s="17"/>
      <c r="G18" s="17"/>
      <c r="H18" s="17"/>
      <c r="I18" s="23" t="str">
        <f aca="false">IF(A18="","",B18-C18-D18)</f>
        <v/>
      </c>
      <c r="J18" s="21" t="str">
        <f aca="false">IF(A18="","",IFERROR(ROUND((C18+D18)/B18*100,2),0))</f>
        <v/>
      </c>
      <c r="K18" s="13" t="str">
        <f aca="false">IF(A18="","",ROUND((C18+D18)*Settings!$B$15,2))</f>
        <v/>
      </c>
      <c r="L18" s="13" t="str">
        <f aca="false">IF(A18="","",ROUND((C18+D18)*Settings!$B$19,2))</f>
        <v/>
      </c>
      <c r="M18" s="13" t="str">
        <f aca="false">IF(A18="","",E18-F18-G18)</f>
        <v/>
      </c>
      <c r="N18" s="13" t="str">
        <f aca="false">IF(A18="","",IFERROR(ROUND(E18/I18,2),""))</f>
        <v/>
      </c>
    </row>
    <row r="19" customFormat="false" ht="15" hidden="false" customHeight="false" outlineLevel="0" collapsed="false">
      <c r="A19" s="22"/>
      <c r="B19" s="18"/>
      <c r="C19" s="18"/>
      <c r="D19" s="18"/>
      <c r="E19" s="17"/>
      <c r="F19" s="17"/>
      <c r="G19" s="17"/>
      <c r="H19" s="17"/>
      <c r="I19" s="23" t="str">
        <f aca="false">IF(A19="","",B19-C19-D19)</f>
        <v/>
      </c>
      <c r="J19" s="21" t="str">
        <f aca="false">IF(A19="","",IFERROR(ROUND((C19+D19)/B19*100,2),0))</f>
        <v/>
      </c>
      <c r="K19" s="13" t="str">
        <f aca="false">IF(A19="","",ROUND((C19+D19)*Settings!$B$15,2))</f>
        <v/>
      </c>
      <c r="L19" s="13" t="str">
        <f aca="false">IF(A19="","",ROUND((C19+D19)*Settings!$B$19,2))</f>
        <v/>
      </c>
      <c r="M19" s="13" t="str">
        <f aca="false">IF(A19="","",E19-F19-G19)</f>
        <v/>
      </c>
      <c r="N19" s="13" t="str">
        <f aca="false">IF(A19="","",IFERROR(ROUND(E19/I19,2),""))</f>
        <v/>
      </c>
    </row>
    <row r="20" customFormat="false" ht="15" hidden="false" customHeight="false" outlineLevel="0" collapsed="false">
      <c r="A20" s="22"/>
      <c r="B20" s="18"/>
      <c r="C20" s="18"/>
      <c r="D20" s="18"/>
      <c r="E20" s="17"/>
      <c r="F20" s="17"/>
      <c r="G20" s="17"/>
      <c r="H20" s="17"/>
      <c r="I20" s="23" t="str">
        <f aca="false">IF(A20="","",B20-C20-D20)</f>
        <v/>
      </c>
      <c r="J20" s="21" t="str">
        <f aca="false">IF(A20="","",IFERROR(ROUND((C20+D20)/B20*100,2),0))</f>
        <v/>
      </c>
      <c r="K20" s="13" t="str">
        <f aca="false">IF(A20="","",ROUND((C20+D20)*Settings!$B$15,2))</f>
        <v/>
      </c>
      <c r="L20" s="13" t="str">
        <f aca="false">IF(A20="","",ROUND((C20+D20)*Settings!$B$19,2))</f>
        <v/>
      </c>
      <c r="M20" s="13" t="str">
        <f aca="false">IF(A20="","",E20-F20-G20)</f>
        <v/>
      </c>
      <c r="N20" s="13" t="str">
        <f aca="false">IF(A20="","",IFERROR(ROUND(E20/I20,2),""))</f>
        <v/>
      </c>
    </row>
    <row r="21" customFormat="false" ht="15" hidden="false" customHeight="false" outlineLevel="0" collapsed="false">
      <c r="A21" s="22"/>
      <c r="B21" s="18"/>
      <c r="C21" s="18"/>
      <c r="D21" s="18"/>
      <c r="E21" s="17"/>
      <c r="F21" s="17"/>
      <c r="G21" s="17"/>
      <c r="H21" s="17"/>
      <c r="I21" s="23" t="str">
        <f aca="false">IF(A21="","",B21-C21-D21)</f>
        <v/>
      </c>
      <c r="J21" s="21" t="str">
        <f aca="false">IF(A21="","",IFERROR(ROUND((C21+D21)/B21*100,2),0))</f>
        <v/>
      </c>
      <c r="K21" s="13" t="str">
        <f aca="false">IF(A21="","",ROUND((C21+D21)*Settings!$B$15,2))</f>
        <v/>
      </c>
      <c r="L21" s="13" t="str">
        <f aca="false">IF(A21="","",ROUND((C21+D21)*Settings!$B$19,2))</f>
        <v/>
      </c>
      <c r="M21" s="13" t="str">
        <f aca="false">IF(A21="","",E21-F21-G21)</f>
        <v/>
      </c>
      <c r="N21" s="13" t="str">
        <f aca="false">IF(A21="","",IFERROR(ROUND(E21/I21,2),""))</f>
        <v/>
      </c>
    </row>
    <row r="22" customFormat="false" ht="15" hidden="false" customHeight="false" outlineLevel="0" collapsed="false">
      <c r="A22" s="22"/>
      <c r="B22" s="18"/>
      <c r="C22" s="18"/>
      <c r="D22" s="18"/>
      <c r="E22" s="17"/>
      <c r="F22" s="17"/>
      <c r="G22" s="17"/>
      <c r="H22" s="17"/>
      <c r="I22" s="23" t="str">
        <f aca="false">IF(A22="","",B22-C22-D22)</f>
        <v/>
      </c>
      <c r="J22" s="21" t="str">
        <f aca="false">IF(A22="","",IFERROR(ROUND((C22+D22)/B22*100,2),0))</f>
        <v/>
      </c>
      <c r="K22" s="13" t="str">
        <f aca="false">IF(A22="","",ROUND((C22+D22)*Settings!$B$15,2))</f>
        <v/>
      </c>
      <c r="L22" s="13" t="str">
        <f aca="false">IF(A22="","",ROUND((C22+D22)*Settings!$B$19,2))</f>
        <v/>
      </c>
      <c r="M22" s="13" t="str">
        <f aca="false">IF(A22="","",E22-F22-G22)</f>
        <v/>
      </c>
      <c r="N22" s="13" t="str">
        <f aca="false">IF(A22="","",IFERROR(ROUND(E22/I22,2),""))</f>
        <v/>
      </c>
    </row>
    <row r="23" customFormat="false" ht="15" hidden="false" customHeight="false" outlineLevel="0" collapsed="false">
      <c r="A23" s="22"/>
      <c r="B23" s="18"/>
      <c r="C23" s="18"/>
      <c r="D23" s="18"/>
      <c r="E23" s="17"/>
      <c r="F23" s="17"/>
      <c r="G23" s="17"/>
      <c r="H23" s="17"/>
      <c r="I23" s="23" t="str">
        <f aca="false">IF(A23="","",B23-C23-D23)</f>
        <v/>
      </c>
      <c r="J23" s="21" t="str">
        <f aca="false">IF(A23="","",IFERROR(ROUND((C23+D23)/B23*100,2),0))</f>
        <v/>
      </c>
      <c r="K23" s="13" t="str">
        <f aca="false">IF(A23="","",ROUND((C23+D23)*Settings!$B$15,2))</f>
        <v/>
      </c>
      <c r="L23" s="13" t="str">
        <f aca="false">IF(A23="","",ROUND((C23+D23)*Settings!$B$19,2))</f>
        <v/>
      </c>
      <c r="M23" s="13" t="str">
        <f aca="false">IF(A23="","",E23-F23-G23)</f>
        <v/>
      </c>
      <c r="N23" s="13" t="str">
        <f aca="false">IF(A23="","",IFERROR(ROUND(E23/I23,2),""))</f>
        <v/>
      </c>
    </row>
    <row r="24" customFormat="false" ht="15" hidden="false" customHeight="false" outlineLevel="0" collapsed="false">
      <c r="A24" s="22"/>
      <c r="B24" s="18"/>
      <c r="C24" s="18"/>
      <c r="D24" s="18"/>
      <c r="E24" s="17"/>
      <c r="F24" s="17"/>
      <c r="G24" s="17"/>
      <c r="H24" s="17"/>
      <c r="I24" s="23" t="str">
        <f aca="false">IF(A24="","",B24-C24-D24)</f>
        <v/>
      </c>
      <c r="J24" s="21" t="str">
        <f aca="false">IF(A24="","",IFERROR(ROUND((C24+D24)/B24*100,2),0))</f>
        <v/>
      </c>
      <c r="K24" s="13" t="str">
        <f aca="false">IF(A24="","",ROUND((C24+D24)*Settings!$B$15,2))</f>
        <v/>
      </c>
      <c r="L24" s="13" t="str">
        <f aca="false">IF(A24="","",ROUND((C24+D24)*Settings!$B$19,2))</f>
        <v/>
      </c>
      <c r="M24" s="13" t="str">
        <f aca="false">IF(A24="","",E24-F24-G24)</f>
        <v/>
      </c>
      <c r="N24" s="13" t="str">
        <f aca="false">IF(A24="","",IFERROR(ROUND(E24/I24,2),""))</f>
        <v/>
      </c>
    </row>
    <row r="25" customFormat="false" ht="15" hidden="false" customHeight="false" outlineLevel="0" collapsed="false">
      <c r="A25" s="22"/>
      <c r="B25" s="18"/>
      <c r="C25" s="18"/>
      <c r="D25" s="18"/>
      <c r="E25" s="17"/>
      <c r="F25" s="17"/>
      <c r="G25" s="17"/>
      <c r="H25" s="17"/>
      <c r="I25" s="23" t="str">
        <f aca="false">IF(A25="","",B25-C25-D25)</f>
        <v/>
      </c>
      <c r="J25" s="21" t="str">
        <f aca="false">IF(A25="","",IFERROR(ROUND((C25+D25)/B25*100,2),0))</f>
        <v/>
      </c>
      <c r="K25" s="13" t="str">
        <f aca="false">IF(A25="","",ROUND((C25+D25)*Settings!$B$15,2))</f>
        <v/>
      </c>
      <c r="L25" s="13" t="str">
        <f aca="false">IF(A25="","",ROUND((C25+D25)*Settings!$B$19,2))</f>
        <v/>
      </c>
      <c r="M25" s="13" t="str">
        <f aca="false">IF(A25="","",E25-F25-G25)</f>
        <v/>
      </c>
      <c r="N25" s="13" t="str">
        <f aca="false">IF(A25="","",IFERROR(ROUND(E25/I25,2),""))</f>
        <v/>
      </c>
    </row>
    <row r="26" customFormat="false" ht="15" hidden="false" customHeight="false" outlineLevel="0" collapsed="false">
      <c r="A26" s="22"/>
      <c r="B26" s="18"/>
      <c r="C26" s="18"/>
      <c r="D26" s="18"/>
      <c r="E26" s="17"/>
      <c r="F26" s="17"/>
      <c r="G26" s="17"/>
      <c r="H26" s="17"/>
      <c r="I26" s="23" t="str">
        <f aca="false">IF(A26="","",B26-C26-D26)</f>
        <v/>
      </c>
      <c r="J26" s="21" t="str">
        <f aca="false">IF(A26="","",IFERROR(ROUND((C26+D26)/B26*100,2),0))</f>
        <v/>
      </c>
      <c r="K26" s="13" t="str">
        <f aca="false">IF(A26="","",ROUND((C26+D26)*Settings!$B$15,2))</f>
        <v/>
      </c>
      <c r="L26" s="13" t="str">
        <f aca="false">IF(A26="","",ROUND((C26+D26)*Settings!$B$19,2))</f>
        <v/>
      </c>
      <c r="M26" s="13" t="str">
        <f aca="false">IF(A26="","",E26-F26-G26)</f>
        <v/>
      </c>
      <c r="N26" s="13" t="str">
        <f aca="false">IF(A26="","",IFERROR(ROUND(E26/I26,2),""))</f>
        <v/>
      </c>
    </row>
    <row r="27" customFormat="false" ht="15" hidden="false" customHeight="false" outlineLevel="0" collapsed="false">
      <c r="A27" s="22"/>
      <c r="B27" s="18"/>
      <c r="C27" s="18"/>
      <c r="D27" s="18"/>
      <c r="E27" s="17"/>
      <c r="F27" s="17"/>
      <c r="G27" s="17"/>
      <c r="H27" s="17"/>
      <c r="I27" s="23" t="str">
        <f aca="false">IF(A27="","",B27-C27-D27)</f>
        <v/>
      </c>
      <c r="J27" s="21" t="str">
        <f aca="false">IF(A27="","",IFERROR(ROUND((C27+D27)/B27*100,2),0))</f>
        <v/>
      </c>
      <c r="K27" s="13" t="str">
        <f aca="false">IF(A27="","",ROUND((C27+D27)*Settings!$B$15,2))</f>
        <v/>
      </c>
      <c r="L27" s="13" t="str">
        <f aca="false">IF(A27="","",ROUND((C27+D27)*Settings!$B$19,2))</f>
        <v/>
      </c>
      <c r="M27" s="13" t="str">
        <f aca="false">IF(A27="","",E27-F27-G27)</f>
        <v/>
      </c>
      <c r="N27" s="13" t="str">
        <f aca="false">IF(A27="","",IFERROR(ROUND(E27/I27,2),""))</f>
        <v/>
      </c>
    </row>
    <row r="28" customFormat="false" ht="15" hidden="false" customHeight="false" outlineLevel="0" collapsed="false">
      <c r="A28" s="22"/>
      <c r="B28" s="18"/>
      <c r="C28" s="18"/>
      <c r="D28" s="18"/>
      <c r="E28" s="17"/>
      <c r="F28" s="17"/>
      <c r="G28" s="17"/>
      <c r="H28" s="17"/>
      <c r="I28" s="23" t="str">
        <f aca="false">IF(A28="","",B28-C28-D28)</f>
        <v/>
      </c>
      <c r="J28" s="21" t="str">
        <f aca="false">IF(A28="","",IFERROR(ROUND((C28+D28)/B28*100,2),0))</f>
        <v/>
      </c>
      <c r="K28" s="13" t="str">
        <f aca="false">IF(A28="","",ROUND((C28+D28)*Settings!$B$15,2))</f>
        <v/>
      </c>
      <c r="L28" s="13" t="str">
        <f aca="false">IF(A28="","",ROUND((C28+D28)*Settings!$B$19,2))</f>
        <v/>
      </c>
      <c r="M28" s="13" t="str">
        <f aca="false">IF(A28="","",E28-F28-G28)</f>
        <v/>
      </c>
      <c r="N28" s="13" t="str">
        <f aca="false">IF(A28="","",IFERROR(ROUND(E28/I28,2),""))</f>
        <v/>
      </c>
    </row>
    <row r="29" customFormat="false" ht="15" hidden="false" customHeight="false" outlineLevel="0" collapsed="false">
      <c r="A29" s="22"/>
      <c r="B29" s="18"/>
      <c r="C29" s="18"/>
      <c r="D29" s="18"/>
      <c r="E29" s="17"/>
      <c r="F29" s="17"/>
      <c r="G29" s="17"/>
      <c r="H29" s="17"/>
      <c r="I29" s="23" t="str">
        <f aca="false">IF(A29="","",B29-C29-D29)</f>
        <v/>
      </c>
      <c r="J29" s="21" t="str">
        <f aca="false">IF(A29="","",IFERROR(ROUND((C29+D29)/B29*100,2),0))</f>
        <v/>
      </c>
      <c r="K29" s="13" t="str">
        <f aca="false">IF(A29="","",ROUND((C29+D29)*Settings!$B$15,2))</f>
        <v/>
      </c>
      <c r="L29" s="13" t="str">
        <f aca="false">IF(A29="","",ROUND((C29+D29)*Settings!$B$19,2))</f>
        <v/>
      </c>
      <c r="M29" s="13" t="str">
        <f aca="false">IF(A29="","",E29-F29-G29)</f>
        <v/>
      </c>
      <c r="N29" s="13" t="str">
        <f aca="false">IF(A29="","",IFERROR(ROUND(E29/I29,2),""))</f>
        <v/>
      </c>
    </row>
    <row r="30" customFormat="false" ht="15" hidden="false" customHeight="false" outlineLevel="0" collapsed="false">
      <c r="A30" s="22"/>
      <c r="B30" s="18"/>
      <c r="C30" s="18"/>
      <c r="D30" s="18"/>
      <c r="E30" s="17"/>
      <c r="F30" s="17"/>
      <c r="G30" s="17"/>
      <c r="H30" s="17"/>
      <c r="I30" s="23" t="str">
        <f aca="false">IF(A30="","",B30-C30-D30)</f>
        <v/>
      </c>
      <c r="J30" s="21" t="str">
        <f aca="false">IF(A30="","",IFERROR(ROUND((C30+D30)/B30*100,2),0))</f>
        <v/>
      </c>
      <c r="K30" s="13" t="str">
        <f aca="false">IF(A30="","",ROUND((C30+D30)*Settings!$B$15,2))</f>
        <v/>
      </c>
      <c r="L30" s="13" t="str">
        <f aca="false">IF(A30="","",ROUND((C30+D30)*Settings!$B$19,2))</f>
        <v/>
      </c>
      <c r="M30" s="13" t="str">
        <f aca="false">IF(A30="","",E30-F30-G30)</f>
        <v/>
      </c>
      <c r="N30" s="13" t="str">
        <f aca="false">IF(A30="","",IFERROR(ROUND(E30/I30,2),""))</f>
        <v/>
      </c>
    </row>
    <row r="31" customFormat="false" ht="15" hidden="false" customHeight="false" outlineLevel="0" collapsed="false">
      <c r="A31" s="22"/>
      <c r="B31" s="18"/>
      <c r="C31" s="18"/>
      <c r="D31" s="18"/>
      <c r="E31" s="17"/>
      <c r="F31" s="17"/>
      <c r="G31" s="17"/>
      <c r="H31" s="17"/>
      <c r="I31" s="23" t="str">
        <f aca="false">IF(A31="","",B31-C31-D31)</f>
        <v/>
      </c>
      <c r="J31" s="21" t="str">
        <f aca="false">IF(A31="","",IFERROR(ROUND((C31+D31)/B31*100,2),0))</f>
        <v/>
      </c>
      <c r="K31" s="13" t="str">
        <f aca="false">IF(A31="","",ROUND((C31+D31)*Settings!$B$15,2))</f>
        <v/>
      </c>
      <c r="L31" s="13" t="str">
        <f aca="false">IF(A31="","",ROUND((C31+D31)*Settings!$B$19,2))</f>
        <v/>
      </c>
      <c r="M31" s="13" t="str">
        <f aca="false">IF(A31="","",E31-F31-G31)</f>
        <v/>
      </c>
      <c r="N31" s="13" t="str">
        <f aca="false">IF(A31="","",IFERROR(ROUND(E31/I31,2),""))</f>
        <v/>
      </c>
    </row>
    <row r="32" customFormat="false" ht="15" hidden="false" customHeight="false" outlineLevel="0" collapsed="false">
      <c r="A32" s="22"/>
      <c r="B32" s="18"/>
      <c r="C32" s="18"/>
      <c r="D32" s="18"/>
      <c r="E32" s="17"/>
      <c r="F32" s="17"/>
      <c r="G32" s="17"/>
      <c r="H32" s="17"/>
      <c r="I32" s="23" t="str">
        <f aca="false">IF(A32="","",B32-C32-D32)</f>
        <v/>
      </c>
      <c r="J32" s="21" t="str">
        <f aca="false">IF(A32="","",IFERROR(ROUND((C32+D32)/B32*100,2),0))</f>
        <v/>
      </c>
      <c r="K32" s="13" t="str">
        <f aca="false">IF(A32="","",ROUND((C32+D32)*Settings!$B$15,2))</f>
        <v/>
      </c>
      <c r="L32" s="13" t="str">
        <f aca="false">IF(A32="","",ROUND((C32+D32)*Settings!$B$19,2))</f>
        <v/>
      </c>
      <c r="M32" s="13" t="str">
        <f aca="false">IF(A32="","",E32-F32-G32)</f>
        <v/>
      </c>
      <c r="N32" s="13" t="str">
        <f aca="false">IF(A32="","",IFERROR(ROUND(E32/I32,2),""))</f>
        <v/>
      </c>
    </row>
    <row r="33" customFormat="false" ht="15" hidden="false" customHeight="false" outlineLevel="0" collapsed="false">
      <c r="A33" s="22"/>
      <c r="B33" s="18"/>
      <c r="C33" s="18"/>
      <c r="D33" s="18"/>
      <c r="E33" s="17"/>
      <c r="F33" s="17"/>
      <c r="G33" s="17"/>
      <c r="H33" s="17"/>
      <c r="I33" s="23" t="str">
        <f aca="false">IF(A33="","",B33-C33-D33)</f>
        <v/>
      </c>
      <c r="J33" s="21" t="str">
        <f aca="false">IF(A33="","",IFERROR(ROUND((C33+D33)/B33*100,2),0))</f>
        <v/>
      </c>
      <c r="K33" s="13" t="str">
        <f aca="false">IF(A33="","",ROUND((C33+D33)*Settings!$B$15,2))</f>
        <v/>
      </c>
      <c r="L33" s="13" t="str">
        <f aca="false">IF(A33="","",ROUND((C33+D33)*Settings!$B$19,2))</f>
        <v/>
      </c>
      <c r="M33" s="13" t="str">
        <f aca="false">IF(A33="","",E33-F33-G33)</f>
        <v/>
      </c>
      <c r="N33" s="13" t="str">
        <f aca="false">IF(A33="","",IFERROR(ROUND(E33/I33,2),""))</f>
        <v/>
      </c>
    </row>
    <row r="34" customFormat="false" ht="15" hidden="false" customHeight="false" outlineLevel="0" collapsed="false">
      <c r="A34" s="22"/>
      <c r="B34" s="18"/>
      <c r="C34" s="18"/>
      <c r="D34" s="18"/>
      <c r="E34" s="17"/>
      <c r="F34" s="17"/>
      <c r="G34" s="17"/>
      <c r="H34" s="17"/>
      <c r="I34" s="23" t="str">
        <f aca="false">IF(A34="","",B34-C34-D34)</f>
        <v/>
      </c>
      <c r="J34" s="21" t="str">
        <f aca="false">IF(A34="","",IFERROR(ROUND((C34+D34)/B34*100,2),0))</f>
        <v/>
      </c>
      <c r="K34" s="13" t="str">
        <f aca="false">IF(A34="","",ROUND((C34+D34)*Settings!$B$15,2))</f>
        <v/>
      </c>
      <c r="L34" s="13" t="str">
        <f aca="false">IF(A34="","",ROUND((C34+D34)*Settings!$B$19,2))</f>
        <v/>
      </c>
      <c r="M34" s="13" t="str">
        <f aca="false">IF(A34="","",E34-F34-G34)</f>
        <v/>
      </c>
      <c r="N34" s="13" t="str">
        <f aca="false">IF(A34="","",IFERROR(ROUND(E34/I34,2),""))</f>
        <v/>
      </c>
    </row>
    <row r="35" customFormat="false" ht="15" hidden="false" customHeight="false" outlineLevel="0" collapsed="false">
      <c r="A35" s="22"/>
      <c r="B35" s="18"/>
      <c r="C35" s="18"/>
      <c r="D35" s="18"/>
      <c r="E35" s="17"/>
      <c r="F35" s="17"/>
      <c r="G35" s="17"/>
      <c r="H35" s="17"/>
      <c r="I35" s="23" t="str">
        <f aca="false">IF(A35="","",B35-C35-D35)</f>
        <v/>
      </c>
      <c r="J35" s="21" t="str">
        <f aca="false">IF(A35="","",IFERROR(ROUND((C35+D35)/B35*100,2),0))</f>
        <v/>
      </c>
      <c r="K35" s="13" t="str">
        <f aca="false">IF(A35="","",ROUND((C35+D35)*Settings!$B$15,2))</f>
        <v/>
      </c>
      <c r="L35" s="13" t="str">
        <f aca="false">IF(A35="","",ROUND((C35+D35)*Settings!$B$19,2))</f>
        <v/>
      </c>
      <c r="M35" s="13" t="str">
        <f aca="false">IF(A35="","",E35-F35-G35)</f>
        <v/>
      </c>
      <c r="N35" s="13" t="str">
        <f aca="false">IF(A35="","",IFERROR(ROUND(E35/I35,2),""))</f>
        <v/>
      </c>
    </row>
    <row r="36" customFormat="false" ht="15" hidden="false" customHeight="false" outlineLevel="0" collapsed="false">
      <c r="A36" s="22"/>
      <c r="B36" s="18"/>
      <c r="C36" s="18"/>
      <c r="D36" s="18"/>
      <c r="E36" s="17"/>
      <c r="F36" s="17"/>
      <c r="G36" s="17"/>
      <c r="H36" s="17"/>
      <c r="I36" s="23" t="str">
        <f aca="false">IF(A36="","",B36-C36-D36)</f>
        <v/>
      </c>
      <c r="J36" s="21" t="str">
        <f aca="false">IF(A36="","",IFERROR(ROUND((C36+D36)/B36*100,2),0))</f>
        <v/>
      </c>
      <c r="K36" s="13" t="str">
        <f aca="false">IF(A36="","",ROUND((C36+D36)*Settings!$B$15,2))</f>
        <v/>
      </c>
      <c r="L36" s="13" t="str">
        <f aca="false">IF(A36="","",ROUND((C36+D36)*Settings!$B$19,2))</f>
        <v/>
      </c>
      <c r="M36" s="13" t="str">
        <f aca="false">IF(A36="","",E36-F36-G36)</f>
        <v/>
      </c>
      <c r="N36" s="13" t="str">
        <f aca="false">IF(A36="","",IFERROR(ROUND(E36/I36,2),""))</f>
        <v/>
      </c>
    </row>
    <row r="37" customFormat="false" ht="15" hidden="false" customHeight="false" outlineLevel="0" collapsed="false">
      <c r="A37" s="22"/>
      <c r="B37" s="18"/>
      <c r="C37" s="18"/>
      <c r="D37" s="18"/>
      <c r="E37" s="17"/>
      <c r="F37" s="17"/>
      <c r="G37" s="17"/>
      <c r="H37" s="17"/>
      <c r="I37" s="23" t="str">
        <f aca="false">IF(A37="","",B37-C37-D37)</f>
        <v/>
      </c>
      <c r="J37" s="21" t="str">
        <f aca="false">IF(A37="","",IFERROR(ROUND((C37+D37)/B37*100,2),0))</f>
        <v/>
      </c>
      <c r="K37" s="13" t="str">
        <f aca="false">IF(A37="","",ROUND((C37+D37)*Settings!$B$15,2))</f>
        <v/>
      </c>
      <c r="L37" s="13" t="str">
        <f aca="false">IF(A37="","",ROUND((C37+D37)*Settings!$B$19,2))</f>
        <v/>
      </c>
      <c r="M37" s="13" t="str">
        <f aca="false">IF(A37="","",E37-F37-G37)</f>
        <v/>
      </c>
      <c r="N37" s="13" t="str">
        <f aca="false">IF(A37="","",IFERROR(ROUND(E37/I37,2),""))</f>
        <v/>
      </c>
    </row>
    <row r="38" customFormat="false" ht="15" hidden="false" customHeight="false" outlineLevel="0" collapsed="false">
      <c r="A38" s="22"/>
      <c r="B38" s="18"/>
      <c r="C38" s="18"/>
      <c r="D38" s="18"/>
      <c r="E38" s="17"/>
      <c r="F38" s="17"/>
      <c r="G38" s="17"/>
      <c r="H38" s="17"/>
      <c r="I38" s="23" t="str">
        <f aca="false">IF(A38="","",B38-C38-D38)</f>
        <v/>
      </c>
      <c r="J38" s="21" t="str">
        <f aca="false">IF(A38="","",IFERROR(ROUND((C38+D38)/B38*100,2),0))</f>
        <v/>
      </c>
      <c r="K38" s="13" t="str">
        <f aca="false">IF(A38="","",ROUND((C38+D38)*Settings!$B$15,2))</f>
        <v/>
      </c>
      <c r="L38" s="13" t="str">
        <f aca="false">IF(A38="","",ROUND((C38+D38)*Settings!$B$19,2))</f>
        <v/>
      </c>
      <c r="M38" s="13" t="str">
        <f aca="false">IF(A38="","",E38-F38-G38)</f>
        <v/>
      </c>
      <c r="N38" s="13" t="str">
        <f aca="false">IF(A38="","",IFERROR(ROUND(E38/I38,2),""))</f>
        <v/>
      </c>
    </row>
    <row r="39" customFormat="false" ht="15" hidden="false" customHeight="false" outlineLevel="0" collapsed="false">
      <c r="A39" s="22"/>
      <c r="B39" s="18"/>
      <c r="C39" s="18"/>
      <c r="D39" s="18"/>
      <c r="E39" s="17"/>
      <c r="F39" s="17"/>
      <c r="G39" s="17"/>
      <c r="H39" s="17"/>
      <c r="I39" s="23" t="str">
        <f aca="false">IF(A39="","",B39-C39-D39)</f>
        <v/>
      </c>
      <c r="J39" s="21" t="str">
        <f aca="false">IF(A39="","",IFERROR(ROUND((C39+D39)/B39*100,2),0))</f>
        <v/>
      </c>
      <c r="K39" s="13" t="str">
        <f aca="false">IF(A39="","",ROUND((C39+D39)*Settings!$B$15,2))</f>
        <v/>
      </c>
      <c r="L39" s="13" t="str">
        <f aca="false">IF(A39="","",ROUND((C39+D39)*Settings!$B$19,2))</f>
        <v/>
      </c>
      <c r="M39" s="13" t="str">
        <f aca="false">IF(A39="","",E39-F39-G39)</f>
        <v/>
      </c>
      <c r="N39" s="13" t="str">
        <f aca="false">IF(A39="","",IFERROR(ROUND(E39/I39,2),""))</f>
        <v/>
      </c>
    </row>
    <row r="40" customFormat="false" ht="15" hidden="false" customHeight="false" outlineLevel="0" collapsed="false">
      <c r="A40" s="22"/>
      <c r="B40" s="18"/>
      <c r="C40" s="18"/>
      <c r="D40" s="18"/>
      <c r="E40" s="17"/>
      <c r="F40" s="17"/>
      <c r="G40" s="17"/>
      <c r="H40" s="17"/>
      <c r="I40" s="23" t="str">
        <f aca="false">IF(A40="","",B40-C40-D40)</f>
        <v/>
      </c>
      <c r="J40" s="21" t="str">
        <f aca="false">IF(A40="","",IFERROR(ROUND((C40+D40)/B40*100,2),0))</f>
        <v/>
      </c>
      <c r="K40" s="13" t="str">
        <f aca="false">IF(A40="","",ROUND((C40+D40)*Settings!$B$15,2))</f>
        <v/>
      </c>
      <c r="L40" s="13" t="str">
        <f aca="false">IF(A40="","",ROUND((C40+D40)*Settings!$B$19,2))</f>
        <v/>
      </c>
      <c r="M40" s="13" t="str">
        <f aca="false">IF(A40="","",E40-F40-G40)</f>
        <v/>
      </c>
      <c r="N40" s="13" t="str">
        <f aca="false">IF(A40="","",IFERROR(ROUND(E40/I40,2),""))</f>
        <v/>
      </c>
    </row>
    <row r="41" customFormat="false" ht="15" hidden="false" customHeight="false" outlineLevel="0" collapsed="false">
      <c r="A41" s="22"/>
      <c r="B41" s="18"/>
      <c r="C41" s="18"/>
      <c r="D41" s="18"/>
      <c r="E41" s="17"/>
      <c r="F41" s="17"/>
      <c r="G41" s="17"/>
      <c r="H41" s="17"/>
      <c r="I41" s="23" t="str">
        <f aca="false">IF(A41="","",B41-C41-D41)</f>
        <v/>
      </c>
      <c r="J41" s="21" t="str">
        <f aca="false">IF(A41="","",IFERROR(ROUND((C41+D41)/B41*100,2),0))</f>
        <v/>
      </c>
      <c r="K41" s="13" t="str">
        <f aca="false">IF(A41="","",ROUND((C41+D41)*Settings!$B$15,2))</f>
        <v/>
      </c>
      <c r="L41" s="13" t="str">
        <f aca="false">IF(A41="","",ROUND((C41+D41)*Settings!$B$19,2))</f>
        <v/>
      </c>
      <c r="M41" s="13" t="str">
        <f aca="false">IF(A41="","",E41-F41-G41)</f>
        <v/>
      </c>
      <c r="N41" s="13" t="str">
        <f aca="false">IF(A41="","",IFERROR(ROUND(E41/I41,2),""))</f>
        <v/>
      </c>
    </row>
    <row r="42" customFormat="false" ht="15" hidden="false" customHeight="false" outlineLevel="0" collapsed="false">
      <c r="A42" s="22"/>
      <c r="B42" s="18"/>
      <c r="C42" s="18"/>
      <c r="D42" s="18"/>
      <c r="E42" s="17"/>
      <c r="F42" s="17"/>
      <c r="G42" s="17"/>
      <c r="H42" s="17"/>
      <c r="I42" s="23" t="str">
        <f aca="false">IF(A42="","",B42-C42-D42)</f>
        <v/>
      </c>
      <c r="J42" s="21" t="str">
        <f aca="false">IF(A42="","",IFERROR(ROUND((C42+D42)/B42*100,2),0))</f>
        <v/>
      </c>
      <c r="K42" s="13" t="str">
        <f aca="false">IF(A42="","",ROUND((C42+D42)*Settings!$B$15,2))</f>
        <v/>
      </c>
      <c r="L42" s="13" t="str">
        <f aca="false">IF(A42="","",ROUND((C42+D42)*Settings!$B$19,2))</f>
        <v/>
      </c>
      <c r="M42" s="13" t="str">
        <f aca="false">IF(A42="","",E42-F42-G42)</f>
        <v/>
      </c>
      <c r="N42" s="13" t="str">
        <f aca="false">IF(A42="","",IFERROR(ROUND(E42/I42,2),""))</f>
        <v/>
      </c>
    </row>
    <row r="43" customFormat="false" ht="15" hidden="false" customHeight="false" outlineLevel="0" collapsed="false">
      <c r="A43" s="22"/>
      <c r="B43" s="18"/>
      <c r="C43" s="18"/>
      <c r="D43" s="18"/>
      <c r="E43" s="17"/>
      <c r="F43" s="17"/>
      <c r="G43" s="17"/>
      <c r="H43" s="17"/>
      <c r="I43" s="23" t="str">
        <f aca="false">IF(A43="","",B43-C43-D43)</f>
        <v/>
      </c>
      <c r="J43" s="21" t="str">
        <f aca="false">IF(A43="","",IFERROR(ROUND((C43+D43)/B43*100,2),0))</f>
        <v/>
      </c>
      <c r="K43" s="13" t="str">
        <f aca="false">IF(A43="","",ROUND((C43+D43)*Settings!$B$15,2))</f>
        <v/>
      </c>
      <c r="L43" s="13" t="str">
        <f aca="false">IF(A43="","",ROUND((C43+D43)*Settings!$B$19,2))</f>
        <v/>
      </c>
      <c r="M43" s="13" t="str">
        <f aca="false">IF(A43="","",E43-F43-G43)</f>
        <v/>
      </c>
      <c r="N43" s="13" t="str">
        <f aca="false">IF(A43="","",IFERROR(ROUND(E43/I43,2),""))</f>
        <v/>
      </c>
    </row>
    <row r="44" customFormat="false" ht="15" hidden="false" customHeight="false" outlineLevel="0" collapsed="false">
      <c r="A44" s="22"/>
      <c r="B44" s="18"/>
      <c r="C44" s="18"/>
      <c r="D44" s="18"/>
      <c r="E44" s="17"/>
      <c r="F44" s="17"/>
      <c r="G44" s="17"/>
      <c r="H44" s="17"/>
      <c r="I44" s="23" t="str">
        <f aca="false">IF(A44="","",B44-C44-D44)</f>
        <v/>
      </c>
      <c r="J44" s="21" t="str">
        <f aca="false">IF(A44="","",IFERROR(ROUND((C44+D44)/B44*100,2),0))</f>
        <v/>
      </c>
      <c r="K44" s="13" t="str">
        <f aca="false">IF(A44="","",ROUND((C44+D44)*Settings!$B$15,2))</f>
        <v/>
      </c>
      <c r="L44" s="13" t="str">
        <f aca="false">IF(A44="","",ROUND((C44+D44)*Settings!$B$19,2))</f>
        <v/>
      </c>
      <c r="M44" s="13" t="str">
        <f aca="false">IF(A44="","",E44-F44-G44)</f>
        <v/>
      </c>
      <c r="N44" s="13" t="str">
        <f aca="false">IF(A44="","",IFERROR(ROUND(E44/I44,2),""))</f>
        <v/>
      </c>
    </row>
    <row r="45" customFormat="false" ht="15" hidden="false" customHeight="false" outlineLevel="0" collapsed="false">
      <c r="A45" s="22"/>
      <c r="B45" s="18"/>
      <c r="C45" s="18"/>
      <c r="D45" s="18"/>
      <c r="E45" s="17"/>
      <c r="F45" s="17"/>
      <c r="G45" s="17"/>
      <c r="H45" s="17"/>
      <c r="I45" s="23" t="str">
        <f aca="false">IF(A45="","",B45-C45-D45)</f>
        <v/>
      </c>
      <c r="J45" s="21" t="str">
        <f aca="false">IF(A45="","",IFERROR(ROUND((C45+D45)/B45*100,2),0))</f>
        <v/>
      </c>
      <c r="K45" s="13" t="str">
        <f aca="false">IF(A45="","",ROUND((C45+D45)*Settings!$B$15,2))</f>
        <v/>
      </c>
      <c r="L45" s="13" t="str">
        <f aca="false">IF(A45="","",ROUND((C45+D45)*Settings!$B$19,2))</f>
        <v/>
      </c>
      <c r="M45" s="13" t="str">
        <f aca="false">IF(A45="","",E45-F45-G45)</f>
        <v/>
      </c>
      <c r="N45" s="13" t="str">
        <f aca="false">IF(A45="","",IFERROR(ROUND(E45/I45,2),""))</f>
        <v/>
      </c>
    </row>
    <row r="46" customFormat="false" ht="15" hidden="false" customHeight="false" outlineLevel="0" collapsed="false">
      <c r="A46" s="22"/>
      <c r="B46" s="18"/>
      <c r="C46" s="18"/>
      <c r="D46" s="18"/>
      <c r="E46" s="17"/>
      <c r="F46" s="17"/>
      <c r="G46" s="17"/>
      <c r="H46" s="17"/>
      <c r="I46" s="23" t="str">
        <f aca="false">IF(A46="","",B46-C46-D46)</f>
        <v/>
      </c>
      <c r="J46" s="21" t="str">
        <f aca="false">IF(A46="","",IFERROR(ROUND((C46+D46)/B46*100,2),0))</f>
        <v/>
      </c>
      <c r="K46" s="13" t="str">
        <f aca="false">IF(A46="","",ROUND((C46+D46)*Settings!$B$15,2))</f>
        <v/>
      </c>
      <c r="L46" s="13" t="str">
        <f aca="false">IF(A46="","",ROUND((C46+D46)*Settings!$B$19,2))</f>
        <v/>
      </c>
      <c r="M46" s="13" t="str">
        <f aca="false">IF(A46="","",E46-F46-G46)</f>
        <v/>
      </c>
      <c r="N46" s="13" t="str">
        <f aca="false">IF(A46="","",IFERROR(ROUND(E46/I46,2),""))</f>
        <v/>
      </c>
    </row>
    <row r="47" customFormat="false" ht="15" hidden="false" customHeight="false" outlineLevel="0" collapsed="false">
      <c r="A47" s="22"/>
      <c r="B47" s="18"/>
      <c r="C47" s="18"/>
      <c r="D47" s="18"/>
      <c r="E47" s="17"/>
      <c r="F47" s="17"/>
      <c r="G47" s="17"/>
      <c r="H47" s="17"/>
      <c r="I47" s="23" t="str">
        <f aca="false">IF(A47="","",B47-C47-D47)</f>
        <v/>
      </c>
      <c r="J47" s="21" t="str">
        <f aca="false">IF(A47="","",IFERROR(ROUND((C47+D47)/B47*100,2),0))</f>
        <v/>
      </c>
      <c r="K47" s="13" t="str">
        <f aca="false">IF(A47="","",ROUND((C47+D47)*Settings!$B$15,2))</f>
        <v/>
      </c>
      <c r="L47" s="13" t="str">
        <f aca="false">IF(A47="","",ROUND((C47+D47)*Settings!$B$19,2))</f>
        <v/>
      </c>
      <c r="M47" s="13" t="str">
        <f aca="false">IF(A47="","",E47-F47-G47)</f>
        <v/>
      </c>
      <c r="N47" s="13" t="str">
        <f aca="false">IF(A47="","",IFERROR(ROUND(E47/I47,2),""))</f>
        <v/>
      </c>
    </row>
    <row r="48" customFormat="false" ht="15" hidden="false" customHeight="false" outlineLevel="0" collapsed="false">
      <c r="A48" s="22"/>
      <c r="B48" s="18"/>
      <c r="C48" s="18"/>
      <c r="D48" s="18"/>
      <c r="E48" s="17"/>
      <c r="F48" s="17"/>
      <c r="G48" s="17"/>
      <c r="H48" s="17"/>
      <c r="I48" s="23" t="str">
        <f aca="false">IF(A48="","",B48-C48-D48)</f>
        <v/>
      </c>
      <c r="J48" s="21" t="str">
        <f aca="false">IF(A48="","",IFERROR(ROUND((C48+D48)/B48*100,2),0))</f>
        <v/>
      </c>
      <c r="K48" s="13" t="str">
        <f aca="false">IF(A48="","",ROUND((C48+D48)*Settings!$B$15,2))</f>
        <v/>
      </c>
      <c r="L48" s="13" t="str">
        <f aca="false">IF(A48="","",ROUND((C48+D48)*Settings!$B$19,2))</f>
        <v/>
      </c>
      <c r="M48" s="13" t="str">
        <f aca="false">IF(A48="","",E48-F48-G48)</f>
        <v/>
      </c>
      <c r="N48" s="13" t="str">
        <f aca="false">IF(A48="","",IFERROR(ROUND(E48/I48,2),""))</f>
        <v/>
      </c>
    </row>
    <row r="49" customFormat="false" ht="15" hidden="false" customHeight="false" outlineLevel="0" collapsed="false">
      <c r="A49" s="22"/>
      <c r="B49" s="18"/>
      <c r="C49" s="18"/>
      <c r="D49" s="18"/>
      <c r="E49" s="17"/>
      <c r="F49" s="17"/>
      <c r="G49" s="17"/>
      <c r="H49" s="17"/>
      <c r="I49" s="23" t="str">
        <f aca="false">IF(A49="","",B49-C49-D49)</f>
        <v/>
      </c>
      <c r="J49" s="21" t="str">
        <f aca="false">IF(A49="","",IFERROR(ROUND((C49+D49)/B49*100,2),0))</f>
        <v/>
      </c>
      <c r="K49" s="13" t="str">
        <f aca="false">IF(A49="","",ROUND((C49+D49)*Settings!$B$15,2))</f>
        <v/>
      </c>
      <c r="L49" s="13" t="str">
        <f aca="false">IF(A49="","",ROUND((C49+D49)*Settings!$B$19,2))</f>
        <v/>
      </c>
      <c r="M49" s="13" t="str">
        <f aca="false">IF(A49="","",E49-F49-G49)</f>
        <v/>
      </c>
      <c r="N49" s="13" t="str">
        <f aca="false">IF(A49="","",IFERROR(ROUND(E49/I49,2),""))</f>
        <v/>
      </c>
    </row>
    <row r="50" customFormat="false" ht="15" hidden="false" customHeight="false" outlineLevel="0" collapsed="false">
      <c r="A50" s="22"/>
      <c r="B50" s="18"/>
      <c r="C50" s="18"/>
      <c r="D50" s="18"/>
      <c r="E50" s="17"/>
      <c r="F50" s="17"/>
      <c r="G50" s="17"/>
      <c r="H50" s="17"/>
      <c r="I50" s="23" t="str">
        <f aca="false">IF(A50="","",B50-C50-D50)</f>
        <v/>
      </c>
      <c r="J50" s="21" t="str">
        <f aca="false">IF(A50="","",IFERROR(ROUND((C50+D50)/B50*100,2),0))</f>
        <v/>
      </c>
      <c r="K50" s="13" t="str">
        <f aca="false">IF(A50="","",ROUND((C50+D50)*Settings!$B$15,2))</f>
        <v/>
      </c>
      <c r="L50" s="13" t="str">
        <f aca="false">IF(A50="","",ROUND((C50+D50)*Settings!$B$19,2))</f>
        <v/>
      </c>
      <c r="M50" s="13" t="str">
        <f aca="false">IF(A50="","",E50-F50-G50)</f>
        <v/>
      </c>
      <c r="N50" s="13" t="str">
        <f aca="false">IF(A50="","",IFERROR(ROUND(E50/I50,2),""))</f>
        <v/>
      </c>
    </row>
    <row r="51" customFormat="false" ht="15" hidden="false" customHeight="false" outlineLevel="0" collapsed="false">
      <c r="A51" s="22"/>
      <c r="B51" s="18"/>
      <c r="C51" s="18"/>
      <c r="D51" s="18"/>
      <c r="E51" s="17"/>
      <c r="F51" s="17"/>
      <c r="G51" s="17"/>
      <c r="H51" s="17"/>
      <c r="I51" s="23" t="str">
        <f aca="false">IF(A51="","",B51-C51-D51)</f>
        <v/>
      </c>
      <c r="J51" s="21" t="str">
        <f aca="false">IF(A51="","",IFERROR(ROUND((C51+D51)/B51*100,2),0))</f>
        <v/>
      </c>
      <c r="K51" s="13" t="str">
        <f aca="false">IF(A51="","",ROUND((C51+D51)*Settings!$B$15,2))</f>
        <v/>
      </c>
      <c r="L51" s="13" t="str">
        <f aca="false">IF(A51="","",ROUND((C51+D51)*Settings!$B$19,2))</f>
        <v/>
      </c>
      <c r="M51" s="13" t="str">
        <f aca="false">IF(A51="","",E51-F51-G51)</f>
        <v/>
      </c>
      <c r="N51" s="13" t="str">
        <f aca="false">IF(A51="","",IFERROR(ROUND(E51/I51,2),""))</f>
        <v/>
      </c>
    </row>
    <row r="52" customFormat="false" ht="15" hidden="false" customHeight="false" outlineLevel="0" collapsed="false">
      <c r="A52" s="22"/>
      <c r="B52" s="18"/>
      <c r="C52" s="18"/>
      <c r="D52" s="18"/>
      <c r="E52" s="17"/>
      <c r="F52" s="17"/>
      <c r="G52" s="17"/>
      <c r="H52" s="17"/>
      <c r="I52" s="23" t="str">
        <f aca="false">IF(A52="","",B52-C52-D52)</f>
        <v/>
      </c>
      <c r="J52" s="21" t="str">
        <f aca="false">IF(A52="","",IFERROR(ROUND((C52+D52)/B52*100,2),0))</f>
        <v/>
      </c>
      <c r="K52" s="13" t="str">
        <f aca="false">IF(A52="","",ROUND((C52+D52)*Settings!$B$15,2))</f>
        <v/>
      </c>
      <c r="L52" s="13" t="str">
        <f aca="false">IF(A52="","",ROUND((C52+D52)*Settings!$B$19,2))</f>
        <v/>
      </c>
      <c r="M52" s="13" t="str">
        <f aca="false">IF(A52="","",E52-F52-G52)</f>
        <v/>
      </c>
      <c r="N52" s="13" t="str">
        <f aca="false">IF(A52="","",IFERROR(ROUND(E52/I52,2),""))</f>
        <v/>
      </c>
    </row>
    <row r="53" customFormat="false" ht="15" hidden="false" customHeight="false" outlineLevel="0" collapsed="false">
      <c r="A53" s="22"/>
      <c r="B53" s="18"/>
      <c r="C53" s="18"/>
      <c r="D53" s="18"/>
      <c r="E53" s="17"/>
      <c r="F53" s="17"/>
      <c r="G53" s="17"/>
      <c r="H53" s="17"/>
      <c r="I53" s="23" t="str">
        <f aca="false">IF(A53="","",B53-C53-D53)</f>
        <v/>
      </c>
      <c r="J53" s="21" t="str">
        <f aca="false">IF(A53="","",IFERROR(ROUND((C53+D53)/B53*100,2),0))</f>
        <v/>
      </c>
      <c r="K53" s="13" t="str">
        <f aca="false">IF(A53="","",ROUND((C53+D53)*Settings!$B$15,2))</f>
        <v/>
      </c>
      <c r="L53" s="13" t="str">
        <f aca="false">IF(A53="","",ROUND((C53+D53)*Settings!$B$19,2))</f>
        <v/>
      </c>
      <c r="M53" s="13" t="str">
        <f aca="false">IF(A53="","",E53-F53-G53)</f>
        <v/>
      </c>
      <c r="N53" s="13" t="str">
        <f aca="false">IF(A53="","",IFERROR(ROUND(E53/I53,2),""))</f>
        <v/>
      </c>
    </row>
    <row r="54" customFormat="false" ht="15" hidden="false" customHeight="false" outlineLevel="0" collapsed="false">
      <c r="A54" s="22"/>
      <c r="B54" s="18"/>
      <c r="C54" s="18"/>
      <c r="D54" s="18"/>
      <c r="E54" s="17"/>
      <c r="F54" s="17"/>
      <c r="G54" s="17"/>
      <c r="H54" s="17"/>
      <c r="I54" s="23" t="str">
        <f aca="false">IF(A54="","",B54-C54-D54)</f>
        <v/>
      </c>
      <c r="J54" s="21" t="str">
        <f aca="false">IF(A54="","",IFERROR(ROUND((C54+D54)/B54*100,2),0))</f>
        <v/>
      </c>
      <c r="K54" s="13" t="str">
        <f aca="false">IF(A54="","",ROUND((C54+D54)*Settings!$B$15,2))</f>
        <v/>
      </c>
      <c r="L54" s="13" t="str">
        <f aca="false">IF(A54="","",ROUND((C54+D54)*Settings!$B$19,2))</f>
        <v/>
      </c>
      <c r="M54" s="13" t="str">
        <f aca="false">IF(A54="","",E54-F54-G54)</f>
        <v/>
      </c>
      <c r="N54" s="13" t="str">
        <f aca="false">IF(A54="","",IFERROR(ROUND(E54/I54,2),""))</f>
        <v/>
      </c>
    </row>
    <row r="55" customFormat="false" ht="15" hidden="false" customHeight="false" outlineLevel="0" collapsed="false">
      <c r="A55" s="22"/>
      <c r="B55" s="18"/>
      <c r="C55" s="18"/>
      <c r="D55" s="18"/>
      <c r="E55" s="17"/>
      <c r="F55" s="17"/>
      <c r="G55" s="17"/>
      <c r="H55" s="17"/>
      <c r="I55" s="23" t="str">
        <f aca="false">IF(A55="","",B55-C55-D55)</f>
        <v/>
      </c>
      <c r="J55" s="21" t="str">
        <f aca="false">IF(A55="","",IFERROR(ROUND((C55+D55)/B55*100,2),0))</f>
        <v/>
      </c>
      <c r="K55" s="13" t="str">
        <f aca="false">IF(A55="","",ROUND((C55+D55)*Settings!$B$15,2))</f>
        <v/>
      </c>
      <c r="L55" s="13" t="str">
        <f aca="false">IF(A55="","",ROUND((C55+D55)*Settings!$B$19,2))</f>
        <v/>
      </c>
      <c r="M55" s="13" t="str">
        <f aca="false">IF(A55="","",E55-F55-G55)</f>
        <v/>
      </c>
      <c r="N55" s="13" t="str">
        <f aca="false">IF(A55="","",IFERROR(ROUND(E55/I55,2),""))</f>
        <v/>
      </c>
    </row>
    <row r="56" customFormat="false" ht="15" hidden="false" customHeight="false" outlineLevel="0" collapsed="false">
      <c r="A56" s="22"/>
      <c r="B56" s="18"/>
      <c r="C56" s="18"/>
      <c r="D56" s="18"/>
      <c r="E56" s="17"/>
      <c r="F56" s="17"/>
      <c r="G56" s="17"/>
      <c r="H56" s="17"/>
      <c r="I56" s="23" t="str">
        <f aca="false">IF(A56="","",B56-C56-D56)</f>
        <v/>
      </c>
      <c r="J56" s="21" t="str">
        <f aca="false">IF(A56="","",IFERROR(ROUND((C56+D56)/B56*100,2),0))</f>
        <v/>
      </c>
      <c r="K56" s="13" t="str">
        <f aca="false">IF(A56="","",ROUND((C56+D56)*Settings!$B$15,2))</f>
        <v/>
      </c>
      <c r="L56" s="13" t="str">
        <f aca="false">IF(A56="","",ROUND((C56+D56)*Settings!$B$19,2))</f>
        <v/>
      </c>
      <c r="M56" s="13" t="str">
        <f aca="false">IF(A56="","",E56-F56-G56)</f>
        <v/>
      </c>
      <c r="N56" s="13" t="str">
        <f aca="false">IF(A56="","",IFERROR(ROUND(E56/I56,2),""))</f>
        <v/>
      </c>
    </row>
    <row r="57" customFormat="false" ht="15" hidden="false" customHeight="false" outlineLevel="0" collapsed="false">
      <c r="A57" s="5" t="s">
        <v>96</v>
      </c>
      <c r="B57" s="20" t="n">
        <f aca="false">SUM(B5:B56)</f>
        <v>195</v>
      </c>
      <c r="C57" s="20" t="n">
        <f aca="false">SUM(C5:C56)</f>
        <v>11</v>
      </c>
      <c r="D57" s="20" t="n">
        <f aca="false">SUM(D5:D56)</f>
        <v>7</v>
      </c>
      <c r="E57" s="7" t="n">
        <f aca="false">SUM(E5:E56)</f>
        <v>11970</v>
      </c>
      <c r="F57" s="7" t="n">
        <f aca="false">SUM(F5:F56)</f>
        <v>1188</v>
      </c>
      <c r="G57" s="7" t="n">
        <f aca="false">SUM(G5:G56)</f>
        <v>1800</v>
      </c>
      <c r="H57" s="7" t="n">
        <f aca="false">SUM(H5:H56)</f>
        <v>755</v>
      </c>
      <c r="I57" s="20" t="n">
        <f aca="false">SUM(I5:I56)</f>
        <v>177</v>
      </c>
      <c r="J57" s="24" t="n">
        <f aca="false">IFERROR(ROUND((C57+D57)/B57*100,2),0)</f>
        <v>9.23</v>
      </c>
      <c r="K57" s="7" t="n">
        <f aca="false">SUM(K5:K56)</f>
        <v>1170</v>
      </c>
      <c r="L57" s="7" t="n">
        <f aca="false">SUM(L5:L56)</f>
        <v>450</v>
      </c>
      <c r="M57" s="7" t="n">
        <f aca="false">SUM(M5:M56)</f>
        <v>8982</v>
      </c>
      <c r="N57" s="7" t="n">
        <f aca="false">IFERROR(ROUND(E57/I57,2),0)</f>
        <v>67.63</v>
      </c>
    </row>
    <row r="58" customFormat="false" ht="15" hidden="false" customHeight="false" outlineLevel="0" collapsed="false">
      <c r="A58" s="5" t="s">
        <v>144</v>
      </c>
      <c r="B58" s="25" t="n">
        <f aca="false">IFERROR(ROUND(AVERAGE(INDEX($B$5:$B$56,MAX(1,COUNT($A$5:$A$56)-3)):INDEX($B$5:$B$56,COUNT($A$5:$A$56))),2),0)</f>
        <v>32.25</v>
      </c>
      <c r="C58" s="25" t="n">
        <f aca="false">IFERROR(ROUND(AVERAGE(INDEX($C$5:$C$56,MAX(1,COUNT($A$5:$A$56)-3)):INDEX($C$5:$C$56,COUNT($A$5:$A$56))),2),0)</f>
        <v>2</v>
      </c>
      <c r="D58" s="25" t="n">
        <f aca="false">IFERROR(ROUND(AVERAGE(INDEX($D$5:$D$56,MAX(1,COUNT($A$5:$A$56)-3)):INDEX($D$5:$D$56,COUNT($A$5:$A$56))),2),0)</f>
        <v>1</v>
      </c>
      <c r="E58" s="7" t="n">
        <f aca="false">IFERROR(ROUND(AVERAGE(INDEX($E$5:$E$56,MAX(1,COUNT($A$5:$A$56)-3)):INDEX($E$5:$E$56,COUNT($A$5:$A$56))),2),0)</f>
        <v>1985</v>
      </c>
      <c r="F58" s="7" t="n">
        <f aca="false">IFERROR(ROUND(AVERAGE(INDEX($F$5:$F$56,MAX(1,COUNT($A$5:$A$56)-3)):INDEX($F$5:$F$56,COUNT($A$5:$A$56))),2),0)</f>
        <v>197</v>
      </c>
      <c r="G58" s="7" t="n">
        <f aca="false">IFERROR(ROUND(AVERAGE(INDEX($G$5:$G$56,MAX(1,COUNT($A$5:$A$56)-3)):INDEX($G$5:$G$56,COUNT($A$5:$A$56))),2),0)</f>
        <v>300</v>
      </c>
      <c r="H58" s="7" t="n">
        <f aca="false">IFERROR(ROUND(AVERAGE(INDEX($H$5:$H$56,MAX(1,COUNT($A$5:$A$56)-3)):INDEX($H$5:$H$56,COUNT($A$5:$A$56))),2),0)</f>
        <v>125</v>
      </c>
      <c r="I58" s="25" t="n">
        <f aca="false">IFERROR(ROUND(AVERAGE(INDEX($I$5:$I$56,MAX(1,COUNT($A$5:$A$56)-3)):INDEX($I$5:$I$56,COUNT($A$5:$A$56))),2),0)</f>
        <v>29.25</v>
      </c>
      <c r="J58" s="24" t="n">
        <f aca="false">IFERROR(ROUND((C58+D58)/B58*100,2),0)</f>
        <v>9.3</v>
      </c>
      <c r="K58" s="7" t="n">
        <f aca="false">IFERROR(ROUND(AVERAGE(INDEX($K$5:$K$56,MAX(1,COUNT($A$5:$A$56)-3)):INDEX($K$5:$K$56,COUNT($A$5:$A$56))),2),0)</f>
        <v>195</v>
      </c>
      <c r="L58" s="7" t="n">
        <f aca="false">IFERROR(ROUND(AVERAGE(INDEX($L$5:$L$56,MAX(1,COUNT($A$5:$A$56)-3)):INDEX($L$5:$L$56,COUNT($A$5:$A$56))),2),0)</f>
        <v>75</v>
      </c>
      <c r="M58" s="7" t="n">
        <f aca="false">IFERROR(ROUND(AVERAGE(INDEX($M$5:$M$56,MAX(1,COUNT($A$5:$A$56)-3)):INDEX($M$5:$M$56,COUNT($A$5:$A$56))),2),0)</f>
        <v>1488</v>
      </c>
      <c r="N58" s="7" t="n">
        <f aca="false">IFERROR(ROUND(E58/I58,2),0)</f>
        <v>67.86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70"/>
  </cols>
  <sheetData>
    <row r="1" customFormat="false" ht="17.35" hidden="false" customHeight="false" outlineLevel="0" collapsed="false">
      <c r="A1" s="2" t="s">
        <v>145</v>
      </c>
    </row>
    <row r="2" customFormat="false" ht="15" hidden="false" customHeight="false" outlineLevel="0" collapsed="false">
      <c r="A2" s="3" t="s">
        <v>146</v>
      </c>
    </row>
    <row r="4" customFormat="false" ht="15" hidden="false" customHeight="false" outlineLevel="0" collapsed="false">
      <c r="A4" s="4" t="s">
        <v>40</v>
      </c>
      <c r="B4" s="26" t="n">
        <f aca="false">Settings!$B$11</f>
        <v>40</v>
      </c>
      <c r="C4" s="3" t="s">
        <v>106</v>
      </c>
    </row>
    <row r="5" customFormat="false" ht="15" hidden="false" customHeight="false" outlineLevel="0" collapsed="false">
      <c r="A5" s="4" t="s">
        <v>42</v>
      </c>
      <c r="B5" s="21" t="n">
        <f aca="false">Settings!$B$12</f>
        <v>75</v>
      </c>
      <c r="C5" s="3" t="s">
        <v>106</v>
      </c>
    </row>
    <row r="6" customFormat="false" ht="15" hidden="false" customHeight="false" outlineLevel="0" collapsed="false">
      <c r="A6" s="4" t="s">
        <v>147</v>
      </c>
      <c r="B6" s="26" t="n">
        <f aca="false">IFERROR(ROUND(SUMPRODUCT('Service Menu'!C5:C44,'Service Menu'!F5:F44)/SUM('Service Menu'!F5:F44),1),0)</f>
        <v>46.1</v>
      </c>
      <c r="C6" s="3" t="s">
        <v>148</v>
      </c>
    </row>
    <row r="7" customFormat="false" ht="15" hidden="false" customHeight="false" outlineLevel="0" collapsed="false">
      <c r="A7" s="4" t="s">
        <v>149</v>
      </c>
      <c r="B7" s="9"/>
      <c r="C7" s="3" t="s">
        <v>103</v>
      </c>
    </row>
    <row r="8" customFormat="false" ht="15" hidden="false" customHeight="false" outlineLevel="0" collapsed="false">
      <c r="A8" s="4" t="s">
        <v>150</v>
      </c>
      <c r="B8" s="26" t="n">
        <f aca="false">IF(B7="",B6,B7)</f>
        <v>46.1</v>
      </c>
      <c r="C8" s="3" t="s">
        <v>105</v>
      </c>
    </row>
    <row r="9" customFormat="false" ht="15" hidden="false" customHeight="false" outlineLevel="0" collapsed="false">
      <c r="A9" s="4" t="s">
        <v>151</v>
      </c>
      <c r="B9" s="8" t="n">
        <v>10</v>
      </c>
      <c r="C9" s="3" t="s">
        <v>152</v>
      </c>
    </row>
    <row r="10" customFormat="false" ht="15" hidden="false" customHeight="false" outlineLevel="0" collapsed="false">
      <c r="A10" s="4" t="s">
        <v>153</v>
      </c>
      <c r="B10" s="26" t="n">
        <f aca="false">B8+B9</f>
        <v>56.1</v>
      </c>
      <c r="C10" s="3" t="s">
        <v>154</v>
      </c>
    </row>
    <row r="11" customFormat="false" ht="15" hidden="false" customHeight="false" outlineLevel="0" collapsed="false">
      <c r="A11" s="5" t="s">
        <v>155</v>
      </c>
      <c r="B11" s="20" t="n">
        <f aca="false">IFERROR(INT(B4*60/B10),0)</f>
        <v>42</v>
      </c>
      <c r="C11" s="3" t="s">
        <v>156</v>
      </c>
    </row>
    <row r="12" customFormat="false" ht="15" hidden="false" customHeight="false" outlineLevel="0" collapsed="false">
      <c r="A12" s="5" t="s">
        <v>157</v>
      </c>
      <c r="B12" s="20" t="n">
        <f aca="false">ROUND(B11*B5/100,0)</f>
        <v>32</v>
      </c>
      <c r="C12" s="3" t="s">
        <v>158</v>
      </c>
    </row>
    <row r="13" customFormat="false" ht="15" hidden="false" customHeight="false" outlineLevel="0" collapsed="false">
      <c r="A13" s="4" t="s">
        <v>48</v>
      </c>
      <c r="B13" s="13" t="n">
        <f aca="false">Settings!$B$15</f>
        <v>65</v>
      </c>
      <c r="C13" s="3" t="s">
        <v>106</v>
      </c>
    </row>
    <row r="14" customFormat="false" ht="15" hidden="false" customHeight="false" outlineLevel="0" collapsed="false">
      <c r="A14" s="4" t="s">
        <v>159</v>
      </c>
      <c r="B14" s="13" t="n">
        <f aca="false">ROUND(B11*B13,2)</f>
        <v>2730</v>
      </c>
      <c r="C14" s="3" t="s">
        <v>160</v>
      </c>
    </row>
    <row r="15" customFormat="false" ht="15" hidden="false" customHeight="false" outlineLevel="0" collapsed="false">
      <c r="A15" s="5" t="s">
        <v>161</v>
      </c>
      <c r="B15" s="7" t="n">
        <f aca="false">ROUND(B12*B13,2)</f>
        <v>2080</v>
      </c>
      <c r="C15" s="3" t="s">
        <v>162</v>
      </c>
    </row>
    <row r="17" customFormat="false" ht="15" hidden="false" customHeight="false" outlineLevel="0" collapsed="false">
      <c r="A17" s="5" t="s">
        <v>163</v>
      </c>
      <c r="B17" s="20" t="n">
        <f aca="false">IF(COUNT('Weekly Log'!A5:A56)=0,"n/a",IFERROR(INDEX('Weekly Log'!B5:B56,MATCH(MAX('Weekly Log'!A5:A56),'Weekly Log'!A5:A56,0)),"n/a"))</f>
        <v>31</v>
      </c>
      <c r="C17" s="3" t="s">
        <v>164</v>
      </c>
    </row>
    <row r="18" customFormat="false" ht="15" hidden="false" customHeight="false" outlineLevel="0" collapsed="false">
      <c r="A18" s="4" t="s">
        <v>165</v>
      </c>
      <c r="B18" s="27" t="n">
        <f aca="false">IFERROR(B17-B12,"n/a")</f>
        <v>-1</v>
      </c>
      <c r="C18" s="3"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3" min="3" style="1" width="60"/>
  </cols>
  <sheetData>
    <row r="1" customFormat="false" ht="17.35" hidden="false" customHeight="false" outlineLevel="0" collapsed="false">
      <c r="A1" s="2" t="s">
        <v>167</v>
      </c>
    </row>
    <row r="2" customFormat="false" ht="15" hidden="false" customHeight="false" outlineLevel="0" collapsed="false">
      <c r="A2" s="5" t="s">
        <v>60</v>
      </c>
      <c r="B2" s="7" t="n">
        <f aca="false">Settings!$B$21</f>
        <v>49.17</v>
      </c>
      <c r="C2" s="3" t="s">
        <v>106</v>
      </c>
    </row>
    <row r="3" customFormat="false" ht="15" hidden="false" customHeight="false" outlineLevel="0" collapsed="false">
      <c r="A3" s="5" t="s">
        <v>58</v>
      </c>
      <c r="B3" s="12" t="n">
        <f aca="false">Settings!$B$20</f>
        <v>120</v>
      </c>
      <c r="C3" s="3" t="s">
        <v>106</v>
      </c>
    </row>
    <row r="4" customFormat="false" ht="15" hidden="false" customHeight="false" outlineLevel="0" collapsed="false">
      <c r="A4" s="5" t="s">
        <v>168</v>
      </c>
      <c r="B4" s="20" t="n">
        <f aca="false">COUNTA('Service Menu'!A5:A44)</f>
        <v>8</v>
      </c>
    </row>
    <row r="5" customFormat="false" ht="15" hidden="false" customHeight="false" outlineLevel="0" collapsed="false">
      <c r="A5" s="5" t="s">
        <v>169</v>
      </c>
      <c r="B5" s="20" t="n">
        <f aca="false">SUMPRODUCT(('Service Menu'!A5:A44&lt;&gt;"")*('Service Menu'!E5:E44&lt;'Service Menu'!H5:H44))</f>
        <v>1</v>
      </c>
      <c r="C5" s="3" t="s">
        <v>170</v>
      </c>
    </row>
    <row r="6" customFormat="false" ht="15" hidden="false" customHeight="false" outlineLevel="0" collapsed="false">
      <c r="A6" s="5" t="s">
        <v>171</v>
      </c>
      <c r="B6" s="20" t="n">
        <f aca="false">COUNTIF('Service Menu'!J5:J44,"&lt;0")</f>
        <v>3</v>
      </c>
      <c r="C6" s="3" t="s">
        <v>172</v>
      </c>
    </row>
    <row r="7" customFormat="false" ht="15" hidden="false" customHeight="false" outlineLevel="0" collapsed="false">
      <c r="A7" s="5" t="s">
        <v>173</v>
      </c>
      <c r="B7" s="7" t="n">
        <f aca="false">'Service Menu'!K45</f>
        <v>2830</v>
      </c>
    </row>
    <row r="8" customFormat="false" ht="15" hidden="false" customHeight="false" outlineLevel="0" collapsed="false">
      <c r="A8" s="5" t="s">
        <v>174</v>
      </c>
      <c r="B8" s="7" t="n">
        <f aca="false">'Service Menu'!L45</f>
        <v>2612</v>
      </c>
      <c r="C8" s="3" t="s">
        <v>175</v>
      </c>
    </row>
    <row r="9" customFormat="false" ht="15" hidden="false" customHeight="false" outlineLevel="0" collapsed="false">
      <c r="A9" s="5" t="s">
        <v>176</v>
      </c>
      <c r="B9" s="5" t="str">
        <f aca="false">IFERROR(INDEX('Service Menu'!A5:A44,MATCH(MAX('Service Menu'!M5:M44),'Service Menu'!M5:M44,0)),"")</f>
        <v>Express facial</v>
      </c>
      <c r="C9" s="3" t="s">
        <v>177</v>
      </c>
    </row>
    <row r="10" customFormat="false" ht="15" hidden="false" customHeight="false" outlineLevel="0" collapsed="false">
      <c r="A10" s="5" t="s">
        <v>178</v>
      </c>
      <c r="B10" s="5" t="str">
        <f aca="false">IFERROR(INDEX('Service Menu'!A5:A44,MATCH(MIN('Service Menu'!M5:M44),'Service Menu'!M5:M44,0)),"")</f>
        <v>Gel manicure</v>
      </c>
      <c r="C10" s="3" t="s">
        <v>179</v>
      </c>
    </row>
    <row r="11" customFormat="false" ht="15" hidden="false" customHeight="false" outlineLevel="0" collapsed="false">
      <c r="A11" s="5" t="s">
        <v>180</v>
      </c>
      <c r="B11" s="5" t="str">
        <f aca="false">'Booth vs Commission'!B15</f>
        <v>Booth rent pays more</v>
      </c>
    </row>
    <row r="12" customFormat="false" ht="15" hidden="false" customHeight="false" outlineLevel="0" collapsed="false">
      <c r="A12" s="5" t="s">
        <v>120</v>
      </c>
      <c r="B12" s="7" t="n">
        <f aca="false">'Booth vs Commission'!B16</f>
        <v>2888.89</v>
      </c>
      <c r="C12" s="3" t="s">
        <v>181</v>
      </c>
    </row>
    <row r="13" customFormat="false" ht="15" hidden="false" customHeight="false" outlineLevel="0" collapsed="false">
      <c r="A13" s="5" t="s">
        <v>182</v>
      </c>
      <c r="B13" s="7" t="n">
        <f aca="false">'Weekly Log'!K57</f>
        <v>1170</v>
      </c>
      <c r="C13" s="3" t="s">
        <v>183</v>
      </c>
    </row>
    <row r="14" customFormat="false" ht="15" hidden="false" customHeight="false" outlineLevel="0" collapsed="false">
      <c r="A14" s="5" t="s">
        <v>184</v>
      </c>
      <c r="B14" s="7" t="n">
        <f aca="false">'Weekly Log'!L57</f>
        <v>450</v>
      </c>
      <c r="C14" s="3" t="s">
        <v>183</v>
      </c>
    </row>
    <row r="15" customFormat="false" ht="15" hidden="false" customHeight="false" outlineLevel="0" collapsed="false">
      <c r="A15" s="5" t="s">
        <v>157</v>
      </c>
      <c r="B15" s="20" t="n">
        <f aca="false">Capacity!B12</f>
        <v>32</v>
      </c>
      <c r="C15" s="3"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2026-10-06T12:10:27Z</dcterms:created>
  <dc:creator>openpyxl</dc:creator>
  <dc:description/>
  <dc:language>en-US</dc:language>
  <cp:lastModifiedBy/>
  <dcterms:modified xsi:type="dcterms:W3CDTF">2026-10-06T12:10:27Z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