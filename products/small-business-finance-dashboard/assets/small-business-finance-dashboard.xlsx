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Expenses" sheetId="3" state="visible" r:id="rId5"/>
    <sheet name="Monthly P&amp;L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<sst xmlns="http://schemas.openxmlformats.org/spreadsheetml/2006/main" count="101" uniqueCount="79">
  <si>
    <t xml:space="preserve">Small Business Finance Dashboard</t>
  </si>
  <si>
    <t xml:space="preserve">by Knackdesk · knackdesk.com</t>
  </si>
  <si>
    <t xml:space="preserve">HOW TO USE</t>
  </si>
  <si>
    <t xml:space="preserve">1. Settings: the year and the share of pre-tax profit you want to set aside for tax. The percentage is yours to choose; the workbook does not know your tax rate.</t>
  </si>
  <si>
    <t xml:space="preserve">2. Expenses: one row per operating expense category, one column per month. Monthly totals feed the P&amp;L automatically; yearly totals and each category's share are calculated.</t>
  </si>
  <si>
    <t xml:space="preserve">3. Monthly P&amp;L: enter revenue, cost of sales, interest and owner draws for each month as it closes. Gross, operating and pre-tax profit, margins, the tax set-aside, retained profit and the running total are calculated. Operating expenses default to the Expenses sheet total.</t>
  </si>
  <si>
    <t xml:space="preserve">4. Summary: year-to-date totals and margins, average monthly revenue, best and worst months, tax set aside, draws and the largest expense category.</t>
  </si>
  <si>
    <t xml:space="preserve">LEGEND</t>
  </si>
  <si>
    <t xml:space="preserve">Blue text = a cell you type into.   Black text = a formula, leave it alone.   Yellow fill = key inputs.</t>
  </si>
  <si>
    <t xml:space="preserve">Blue cells that already contain a formula (operating expenses pulled from the Expenses sheet) may be overwritten with your own figure.</t>
  </si>
  <si>
    <t xml:space="preserve">DEFINITIONS</t>
  </si>
  <si>
    <t xml:space="preserve">Gross profit = revenue − cost of sales. Operating profit = gross profit − operating expenses. Pre-tax profit = operating profit − interest.</t>
  </si>
  <si>
    <t xml:space="preserve">Tax set-aside = pre-tax profit × your percentage (zero in a loss month). Retained = pre-tax profit − tax set-aside − owner draws. Margins are each profit ÷ revenue.</t>
  </si>
  <si>
    <t xml:space="preserve">Enter figures excluding VAT or sales tax you collect. Arithmetic only; not tax, accounting or financial advice. Support: hello@knackdesk.com</t>
  </si>
  <si>
    <t xml:space="preserve">Settings</t>
  </si>
  <si>
    <t xml:space="preserve">Year</t>
  </si>
  <si>
    <t xml:space="preserve">Shown on the P&amp;L and Summary.</t>
  </si>
  <si>
    <t xml:space="preserve">Tax set-aside (% of pre-tax profit)</t>
  </si>
  <si>
    <t xml:space="preserve">Last year's tax and contributions ÷ last year's profit is a reasonable starting point.</t>
  </si>
  <si>
    <t xml:space="preserve">Business name</t>
  </si>
  <si>
    <t xml:space="preserve">Example Studio</t>
  </si>
  <si>
    <t xml:space="preserve">Optional label.</t>
  </si>
  <si>
    <t xml:space="preserve">Expenses</t>
  </si>
  <si>
    <t xml:space="preserve">Operating expenses by category and month, excluding cost of sales (which goes on the P&amp;L). Blank months count as zero.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</si>
  <si>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</si>
  <si>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</si>
  <si>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</si>
  <si>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</si>
  <si>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</si>
  <si>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</si>
  <si>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</si>
  <si>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</si>
  <si>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</si>
  <si>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</si>
  <si>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</si>
  <si>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</si>
  <si>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</si>
  <si>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</si>
  <si>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Share %</t>
  </si>
  <si>
    <t xml:space="preserve">Rent and utilities</t>
  </si>
  <si>
    <t xml:space="preserve">Salaries and contractors</t>
  </si>
  <si>
    <t xml:space="preserve">Software and subscriptions</t>
  </si>
  <si>
    <t xml:space="preserve">Marketing</t>
  </si>
  <si>
    <t xml:space="preserve">Insurance</t>
  </si>
  <si>
    <t xml:space="preserve">Accounting and legal</t>
  </si>
  <si>
    <t xml:space="preserve">Travel</t>
  </si>
  <si>
    <t xml:space="preserve">Other</t>
  </si>
  <si>
    <t xml:space="preserve">Total per month</t>
  </si>
  <si>
    <t xml:space="preserve">Monthly P&amp;L</t>
  </si>
  <si>
    <t xml:space="preserve">Enter revenue, cost of sales, interest and owner draws each month. Operating expenses come from the Expenses sheet. Leave future months' revenue blank.</t>
  </si>
  <si>
    <t xml:space="preserve">Month</t>
  </si>
  <si>
    <t xml:space="preserve">Revenue</t>
  </si>
  <si>
    <t xml:space="preserve">Cost of sales</t>
  </si>
  <si>
    <t xml:space="preserve">Gross profit</t>
  </si>
  <si>
    <t xml:space="preserve">Gross margin %</t>
  </si>
  <si>
    <t xml:space="preserve">Operating expenses</t>
  </si>
  <si>
    <t xml:space="preserve">Operating profit</t>
  </si>
  <si>
    <t xml:space="preserve">Operating margin %</t>
  </si>
  <si>
    <t xml:space="preserve">Interest</t>
  </si>
  <si>
    <t xml:space="preserve">Pre-tax profit</t>
  </si>
  <si>
    <t xml:space="preserve">Tax set-aside</t>
  </si>
  <si>
    <t xml:space="preserve">Profit after set-aside</t>
  </si>
  <si>
    <t xml:space="preserve">Margin after set-aside %</t>
  </si>
  <si>
    <t xml:space="preserve">Owner draws</t>
  </si>
  <si>
    <t xml:space="preserve">Retained in business</t>
  </si>
  <si>
    <t xml:space="preserve">Cumulative retained</t>
  </si>
  <si>
    <t xml:space="preserve">Summary (year to date)</t>
  </si>
  <si>
    <t xml:space="preserve">after interest</t>
  </si>
  <si>
    <t xml:space="preserve">Set aside for tax</t>
  </si>
  <si>
    <t xml:space="preserve">at the Settings percentage</t>
  </si>
  <si>
    <t xml:space="preserve">Retained in the business</t>
  </si>
  <si>
    <t xml:space="preserve">pre-tax profit − tax set-aside − draws</t>
  </si>
  <si>
    <t xml:space="preserve">Months entered</t>
  </si>
  <si>
    <t xml:space="preserve">Average monthly revenue</t>
  </si>
  <si>
    <t xml:space="preserve">Best month (revenue)</t>
  </si>
  <si>
    <t xml:space="preserve">Worst month (revenue)</t>
  </si>
  <si>
    <t xml:space="preserve">Largest expense category</t>
  </si>
  <si>
    <t xml:space="preserve">Largest category share of expenses %</t>
  </si>
  <si>
    <t xml:space="preserve">Operating expenses as % of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</si>
</sst>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#,##0.00;\(#,##0.00\);\-"/>
    <numFmt numFmtId="168" formatCode="0.0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3" t="s">
        <v>15</v>
      </c>
      <c r="B2" s="5" t="n">
        <v>2026</v>
      </c>
      <c r="C2" s="2" t="s">
        <v>16</v>
      </c>
    </row>
    <row r="3" customFormat="false" ht="15" hidden="false" customHeight="false" outlineLevel="0" collapsed="false">
      <c r="A3" s="3" t="s">
        <v>17</v>
      </c>
      <c r="B3" s="6" t="n">
        <v>25</v>
      </c>
      <c r="C3" s="2" t="s">
        <v>18</v>
      </c>
    </row>
    <row r="4" customFormat="false" ht="15" hidden="false" customHeight="false" outlineLevel="0" collapsed="false">
      <c r="A4" s="3" t="s">
        <v>19</v>
      </c>
      <c r="B4" s="7" t="s">
        <v>20</v>
      </c>
      <c r="C4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1"/>
    <col collapsed="false" customWidth="true" hidden="false" outlineLevel="0" max="14" min="14" style="0" width="13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</row>
    <row r="5" customFormat="false" ht="15" hidden="false" customHeight="false" outlineLevel="0" collapsed="false">
      <c r="A5" s="7" t="s">
        <v>39</v>
      </c>
      <c r="B5" s="9" t="n">
        <v>900</v>
      </c>
      <c r="C5" s="10" t="n">
        <v>900</v>
      </c>
      <c r="D5" s="10" t="n">
        <v>990</v>
      </c>
      <c r="E5" s="10"/>
      <c r="F5" s="10"/>
      <c r="G5" s="10"/>
      <c r="H5" s="10"/>
      <c r="I5" s="10"/>
      <c r="J5" s="10"/>
      <c r="K5" s="10"/>
      <c r="L5" s="10"/>
      <c r="M5" s="10"/>
      <c r="N5" s="11" t="n">
        <f aca="false">IF(A5="","",SUM(B5:M5))</f>
        <v>2790</v>
      </c>
      <c r="O5" s="12" t="n">
        <f aca="false">IF(A5="","",IFERROR(ROUND(N5/$N$21*100,2),""))</f>
        <v>14.26</v>
      </c>
    </row>
    <row r="6" customFormat="false" ht="15" hidden="false" customHeight="false" outlineLevel="0" collapsed="false">
      <c r="A6" s="13" t="s">
        <v>40</v>
      </c>
      <c r="B6" s="10" t="n">
        <v>4200</v>
      </c>
      <c r="C6" s="10" t="n">
        <v>4200</v>
      </c>
      <c r="D6" s="10" t="n">
        <v>4620</v>
      </c>
      <c r="E6" s="10"/>
      <c r="F6" s="10"/>
      <c r="G6" s="10"/>
      <c r="H6" s="10"/>
      <c r="I6" s="10"/>
      <c r="J6" s="10"/>
      <c r="K6" s="10"/>
      <c r="L6" s="10"/>
      <c r="M6" s="10"/>
      <c r="N6" s="11" t="n">
        <f aca="false">IF(A6="","",SUM(B6:M6))</f>
        <v>13020</v>
      </c>
      <c r="O6" s="12" t="n">
        <f aca="false">IF(A6="","",IFERROR(ROUND(N6/$N$21*100,2),""))</f>
        <v>66.56</v>
      </c>
    </row>
    <row r="7" customFormat="false" ht="15" hidden="false" customHeight="false" outlineLevel="0" collapsed="false">
      <c r="A7" s="13" t="s">
        <v>41</v>
      </c>
      <c r="B7" s="10" t="n">
        <v>260</v>
      </c>
      <c r="C7" s="10" t="n">
        <v>260</v>
      </c>
      <c r="D7" s="10" t="n">
        <v>286</v>
      </c>
      <c r="E7" s="10"/>
      <c r="F7" s="10"/>
      <c r="G7" s="10"/>
      <c r="H7" s="10"/>
      <c r="I7" s="10"/>
      <c r="J7" s="10"/>
      <c r="K7" s="10"/>
      <c r="L7" s="10"/>
      <c r="M7" s="10"/>
      <c r="N7" s="11" t="n">
        <f aca="false">IF(A7="","",SUM(B7:M7))</f>
        <v>806</v>
      </c>
      <c r="O7" s="12" t="n">
        <f aca="false">IF(A7="","",IFERROR(ROUND(N7/$N$21*100,2),""))</f>
        <v>4.12</v>
      </c>
    </row>
    <row r="8" customFormat="false" ht="15" hidden="false" customHeight="false" outlineLevel="0" collapsed="false">
      <c r="A8" s="13" t="s">
        <v>42</v>
      </c>
      <c r="B8" s="10" t="n">
        <v>500</v>
      </c>
      <c r="C8" s="10" t="n">
        <v>500</v>
      </c>
      <c r="D8" s="10" t="n">
        <v>550</v>
      </c>
      <c r="E8" s="10"/>
      <c r="F8" s="10"/>
      <c r="G8" s="10"/>
      <c r="H8" s="10"/>
      <c r="I8" s="10"/>
      <c r="J8" s="10"/>
      <c r="K8" s="10"/>
      <c r="L8" s="10"/>
      <c r="M8" s="10"/>
      <c r="N8" s="11" t="n">
        <f aca="false">IF(A8="","",SUM(B8:M8))</f>
        <v>1550</v>
      </c>
      <c r="O8" s="12" t="n">
        <f aca="false">IF(A8="","",IFERROR(ROUND(N8/$N$21*100,2),""))</f>
        <v>7.92</v>
      </c>
    </row>
    <row r="9" customFormat="false" ht="15" hidden="false" customHeight="false" outlineLevel="0" collapsed="false">
      <c r="A9" s="13" t="s">
        <v>43</v>
      </c>
      <c r="B9" s="10" t="n">
        <v>120</v>
      </c>
      <c r="C9" s="10" t="n">
        <v>120</v>
      </c>
      <c r="D9" s="10" t="n">
        <v>132</v>
      </c>
      <c r="E9" s="10"/>
      <c r="F9" s="10"/>
      <c r="G9" s="10"/>
      <c r="H9" s="10"/>
      <c r="I9" s="10"/>
      <c r="J9" s="10"/>
      <c r="K9" s="10"/>
      <c r="L9" s="10"/>
      <c r="M9" s="10"/>
      <c r="N9" s="11" t="n">
        <f aca="false">IF(A9="","",SUM(B9:M9))</f>
        <v>372</v>
      </c>
      <c r="O9" s="12" t="n">
        <f aca="false">IF(A9="","",IFERROR(ROUND(N9/$N$21*100,2),""))</f>
        <v>1.9</v>
      </c>
    </row>
    <row r="10" customFormat="false" ht="15" hidden="false" customHeight="false" outlineLevel="0" collapsed="false">
      <c r="A10" s="13" t="s">
        <v>44</v>
      </c>
      <c r="B10" s="10" t="n">
        <v>150</v>
      </c>
      <c r="C10" s="10" t="n">
        <v>150</v>
      </c>
      <c r="D10" s="10" t="n">
        <v>165</v>
      </c>
      <c r="E10" s="10"/>
      <c r="F10" s="10"/>
      <c r="G10" s="10"/>
      <c r="H10" s="10"/>
      <c r="I10" s="10"/>
      <c r="J10" s="10"/>
      <c r="K10" s="10"/>
      <c r="L10" s="10"/>
      <c r="M10" s="10"/>
      <c r="N10" s="11" t="n">
        <f aca="false">IF(A10="","",SUM(B10:M10))</f>
        <v>465</v>
      </c>
      <c r="O10" s="12" t="n">
        <f aca="false">IF(A10="","",IFERROR(ROUND(N10/$N$21*100,2),""))</f>
        <v>2.38</v>
      </c>
    </row>
    <row r="11" customFormat="false" ht="15" hidden="false" customHeight="false" outlineLevel="0" collapsed="false">
      <c r="A11" s="13" t="s">
        <v>45</v>
      </c>
      <c r="B11" s="10" t="n">
        <v>80</v>
      </c>
      <c r="C11" s="10" t="n">
        <v>80</v>
      </c>
      <c r="D11" s="10" t="n">
        <v>88</v>
      </c>
      <c r="E11" s="10"/>
      <c r="F11" s="10"/>
      <c r="G11" s="10"/>
      <c r="H11" s="10"/>
      <c r="I11" s="10"/>
      <c r="J11" s="10"/>
      <c r="K11" s="10"/>
      <c r="L11" s="10"/>
      <c r="M11" s="10"/>
      <c r="N11" s="11" t="n">
        <f aca="false">IF(A11="","",SUM(B11:M11))</f>
        <v>248</v>
      </c>
      <c r="O11" s="12" t="n">
        <f aca="false">IF(A11="","",IFERROR(ROUND(N11/$N$21*100,2),""))</f>
        <v>1.27</v>
      </c>
    </row>
    <row r="12" customFormat="false" ht="15" hidden="false" customHeight="false" outlineLevel="0" collapsed="false">
      <c r="A12" s="13" t="s">
        <v>46</v>
      </c>
      <c r="B12" s="10" t="n">
        <v>100</v>
      </c>
      <c r="C12" s="10" t="n">
        <v>100</v>
      </c>
      <c r="D12" s="10" t="n">
        <v>110</v>
      </c>
      <c r="E12" s="10"/>
      <c r="F12" s="10"/>
      <c r="G12" s="10"/>
      <c r="H12" s="10"/>
      <c r="I12" s="10"/>
      <c r="J12" s="10"/>
      <c r="K12" s="10"/>
      <c r="L12" s="10"/>
      <c r="M12" s="10"/>
      <c r="N12" s="11" t="n">
        <f aca="false">IF(A12="","",SUM(B12:M12))</f>
        <v>310</v>
      </c>
      <c r="O12" s="12" t="n">
        <f aca="false">IF(A12="","",IFERROR(ROUND(N12/$N$21*100,2),""))</f>
        <v>1.58</v>
      </c>
    </row>
    <row r="13" customFormat="false" ht="15" hidden="false" customHeight="false" outlineLevel="0" collapsed="false">
      <c r="A13" s="1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 t="str">
        <f aca="false">IF(A13="","",SUM(B13:M13))</f>
        <v/>
      </c>
      <c r="O13" s="12" t="str">
        <f aca="false">IF(A13="","",IFERROR(ROUND(N13/$N$21*100,2),""))</f>
        <v/>
      </c>
    </row>
    <row r="14" customFormat="false" ht="15" hidden="false" customHeight="false" outlineLevel="0" collapsed="false">
      <c r="A14" s="1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 t="str">
        <f aca="false">IF(A14="","",SUM(B14:M14))</f>
        <v/>
      </c>
      <c r="O14" s="12" t="str">
        <f aca="false">IF(A14="","",IFERROR(ROUND(N14/$N$21*100,2),""))</f>
        <v/>
      </c>
    </row>
    <row r="15" customFormat="false" ht="15" hidden="false" customHeight="false" outlineLevel="0" collapsed="false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 t="str">
        <f aca="false">IF(A15="","",SUM(B15:M15))</f>
        <v/>
      </c>
      <c r="O15" s="12" t="str">
        <f aca="false">IF(A15="","",IFERROR(ROUND(N15/$N$21*100,2),""))</f>
        <v/>
      </c>
    </row>
    <row r="16" customFormat="false" ht="15" hidden="false" customHeight="false" outlineLevel="0" collapsed="false">
      <c r="A16" s="1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 t="str">
        <f aca="false">IF(A16="","",SUM(B16:M16))</f>
        <v/>
      </c>
      <c r="O16" s="12" t="str">
        <f aca="false">IF(A16="","",IFERROR(ROUND(N16/$N$21*100,2),""))</f>
        <v/>
      </c>
    </row>
    <row r="17" customFormat="false" ht="15" hidden="false" customHeight="false" outlineLevel="0" collapsed="false">
      <c r="A17" s="1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 t="str">
        <f aca="false">IF(A17="","",SUM(B17:M17))</f>
        <v/>
      </c>
      <c r="O17" s="12" t="str">
        <f aca="false">IF(A17="","",IFERROR(ROUND(N17/$N$21*100,2),""))</f>
        <v/>
      </c>
    </row>
    <row r="18" customFormat="false" ht="15" hidden="false" customHeight="false" outlineLevel="0" collapsed="false">
      <c r="A18" s="1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 t="str">
        <f aca="false">IF(A18="","",SUM(B18:M18))</f>
        <v/>
      </c>
      <c r="O18" s="12" t="str">
        <f aca="false">IF(A18="","",IFERROR(ROUND(N18/$N$21*100,2),""))</f>
        <v/>
      </c>
    </row>
    <row r="19" customFormat="false" ht="15" hidden="false" customHeight="false" outlineLevel="0" collapsed="false">
      <c r="A19" s="1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 t="str">
        <f aca="false">IF(A19="","",SUM(B19:M19))</f>
        <v/>
      </c>
      <c r="O19" s="12" t="str">
        <f aca="false">IF(A19="","",IFERROR(ROUND(N19/$N$21*100,2),""))</f>
        <v/>
      </c>
    </row>
    <row r="20" customFormat="false" ht="15" hidden="false" customHeight="false" outlineLevel="0" collapsed="false">
      <c r="A20" s="1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 t="str">
        <f aca="false">IF(A20="","",SUM(B20:M20))</f>
        <v/>
      </c>
      <c r="O20" s="12" t="str">
        <f aca="false">IF(A20="","",IFERROR(ROUND(N20/$N$21*100,2),""))</f>
        <v/>
      </c>
    </row>
    <row r="21" customFormat="false" ht="15" hidden="false" customHeight="false" outlineLevel="0" collapsed="false">
      <c r="A21" s="4" t="s">
        <v>47</v>
      </c>
      <c r="B21" s="14" t="n">
        <f aca="false">SUM(B5:B20)</f>
        <v>6310</v>
      </c>
      <c r="C21" s="14" t="n">
        <f aca="false">SUM(C5:C20)</f>
        <v>6310</v>
      </c>
      <c r="D21" s="14" t="n">
        <f aca="false">SUM(D5:D20)</f>
        <v>6941</v>
      </c>
      <c r="E21" s="14" t="n">
        <f aca="false">SUM(E5:E20)</f>
        <v>0</v>
      </c>
      <c r="F21" s="14" t="n">
        <f aca="false">SUM(F5:F20)</f>
        <v>0</v>
      </c>
      <c r="G21" s="14" t="n">
        <f aca="false">SUM(G5:G20)</f>
        <v>0</v>
      </c>
      <c r="H21" s="14" t="n">
        <f aca="false">SUM(H5:H20)</f>
        <v>0</v>
      </c>
      <c r="I21" s="14" t="n">
        <f aca="false">SUM(I5:I20)</f>
        <v>0</v>
      </c>
      <c r="J21" s="14" t="n">
        <f aca="false">SUM(J5:J20)</f>
        <v>0</v>
      </c>
      <c r="K21" s="14" t="n">
        <f aca="false">SUM(K5:K20)</f>
        <v>0</v>
      </c>
      <c r="L21" s="14" t="n">
        <f aca="false">SUM(L5:L20)</f>
        <v>0</v>
      </c>
      <c r="M21" s="14" t="n">
        <f aca="false">SUM(M5:M20)</f>
        <v>0</v>
      </c>
      <c r="N21" s="14" t="n">
        <f aca="false">SUM(N5:N20)</f>
        <v>19561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6" min="15" style="0" width="13"/>
  </cols>
  <sheetData>
    <row r="1" customFormat="false" ht="17.35" hidden="false" customHeight="false" outlineLevel="0" collapsed="false">
      <c r="A1" s="1" t="s">
        <v>48</v>
      </c>
      <c r="B1" s="4" t="str">
        <f aca="false">Settings!$B$4&amp;" · "&amp;Settings!$B$2</f>
        <v>Example Studio · 2026</v>
      </c>
    </row>
    <row r="2" customFormat="false" ht="15" hidden="false" customHeight="false" outlineLevel="0" collapsed="false">
      <c r="A2" s="2" t="s">
        <v>49</v>
      </c>
    </row>
    <row r="4" customFormat="false" ht="39.55" hidden="false" customHeight="false" outlineLevel="0" collapsed="false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8" t="s">
        <v>61</v>
      </c>
      <c r="M4" s="8" t="s">
        <v>62</v>
      </c>
      <c r="N4" s="8" t="s">
        <v>63</v>
      </c>
      <c r="O4" s="8" t="s">
        <v>64</v>
      </c>
      <c r="P4" s="8" t="s">
        <v>65</v>
      </c>
    </row>
    <row r="5" customFormat="false" ht="15" hidden="false" customHeight="false" outlineLevel="0" collapsed="false">
      <c r="A5" s="4" t="s">
        <v>25</v>
      </c>
      <c r="B5" s="9" t="n">
        <v>14000</v>
      </c>
      <c r="C5" s="9" t="n">
        <v>3500</v>
      </c>
      <c r="D5" s="11" t="n">
        <f aca="false">IF(B5="","",B5-C5)</f>
        <v>10500</v>
      </c>
      <c r="E5" s="12" t="n">
        <f aca="false">IF(B5="","",IFERROR(ROUND(D5/B5*100,2),""))</f>
        <v>75</v>
      </c>
      <c r="F5" s="10" t="n">
        <f aca="false">IF(B5="","",Expenses!B21)</f>
        <v>6310</v>
      </c>
      <c r="G5" s="11" t="n">
        <f aca="false">IF(B5="","",D5-F5)</f>
        <v>4190</v>
      </c>
      <c r="H5" s="12" t="n">
        <f aca="false">IF(B5="","",IFERROR(ROUND(G5/B5*100,2),""))</f>
        <v>29.93</v>
      </c>
      <c r="I5" s="10" t="n">
        <v>50</v>
      </c>
      <c r="J5" s="11" t="n">
        <f aca="false">IF(B5="","",G5-I5)</f>
        <v>4140</v>
      </c>
      <c r="K5" s="11" t="n">
        <f aca="false">IF(B5="","",ROUND(MAX(0,J5)*Settings!$B$3/100,2))</f>
        <v>1035</v>
      </c>
      <c r="L5" s="11" t="n">
        <f aca="false">IF(B5="","",J5-K5)</f>
        <v>3105</v>
      </c>
      <c r="M5" s="12" t="n">
        <f aca="false">IF(B5="","",IFERROR(ROUND(L5/B5*100,2),""))</f>
        <v>22.18</v>
      </c>
      <c r="N5" s="9" t="n">
        <v>3000</v>
      </c>
      <c r="O5" s="11" t="n">
        <f aca="false">IF(B5="","",L5-N5)</f>
        <v>105</v>
      </c>
      <c r="P5" s="11" t="n">
        <f aca="false">IF(B5="","",O5)</f>
        <v>105</v>
      </c>
    </row>
    <row r="6" customFormat="false" ht="15" hidden="false" customHeight="false" outlineLevel="0" collapsed="false">
      <c r="A6" s="4" t="s">
        <v>26</v>
      </c>
      <c r="B6" s="10" t="n">
        <v>12500</v>
      </c>
      <c r="C6" s="10" t="n">
        <v>3100</v>
      </c>
      <c r="D6" s="11" t="n">
        <f aca="false">IF(B6="","",B6-C6)</f>
        <v>9400</v>
      </c>
      <c r="E6" s="12" t="n">
        <f aca="false">IF(B6="","",IFERROR(ROUND(D6/B6*100,2),""))</f>
        <v>75.2</v>
      </c>
      <c r="F6" s="10" t="n">
        <f aca="false">IF(B6="","",Expenses!C21)</f>
        <v>6310</v>
      </c>
      <c r="G6" s="11" t="n">
        <f aca="false">IF(B6="","",D6-F6)</f>
        <v>3090</v>
      </c>
      <c r="H6" s="12" t="n">
        <f aca="false">IF(B6="","",IFERROR(ROUND(G6/B6*100,2),""))</f>
        <v>24.72</v>
      </c>
      <c r="I6" s="10" t="n">
        <v>50</v>
      </c>
      <c r="J6" s="11" t="n">
        <f aca="false">IF(B6="","",G6-I6)</f>
        <v>3040</v>
      </c>
      <c r="K6" s="11" t="n">
        <f aca="false">IF(B6="","",ROUND(MAX(0,J6)*Settings!$B$3/100,2))</f>
        <v>760</v>
      </c>
      <c r="L6" s="11" t="n">
        <f aca="false">IF(B6="","",J6-K6)</f>
        <v>2280</v>
      </c>
      <c r="M6" s="12" t="n">
        <f aca="false">IF(B6="","",IFERROR(ROUND(L6/B6*100,2),""))</f>
        <v>18.24</v>
      </c>
      <c r="N6" s="10" t="n">
        <v>3000</v>
      </c>
      <c r="O6" s="11" t="n">
        <f aca="false">IF(B6="","",L6-N6)</f>
        <v>-720</v>
      </c>
      <c r="P6" s="11" t="n">
        <f aca="false">IF(B6="","",O6+N(P5))</f>
        <v>-615</v>
      </c>
    </row>
    <row r="7" customFormat="false" ht="15" hidden="false" customHeight="false" outlineLevel="0" collapsed="false">
      <c r="A7" s="4" t="s">
        <v>27</v>
      </c>
      <c r="B7" s="10" t="n">
        <v>16800</v>
      </c>
      <c r="C7" s="10" t="n">
        <v>4200</v>
      </c>
      <c r="D7" s="11" t="n">
        <f aca="false">IF(B7="","",B7-C7)</f>
        <v>12600</v>
      </c>
      <c r="E7" s="12" t="n">
        <f aca="false">IF(B7="","",IFERROR(ROUND(D7/B7*100,2),""))</f>
        <v>75</v>
      </c>
      <c r="F7" s="10" t="n">
        <f aca="false">IF(B7="","",Expenses!D21)</f>
        <v>6941</v>
      </c>
      <c r="G7" s="11" t="n">
        <f aca="false">IF(B7="","",D7-F7)</f>
        <v>5659</v>
      </c>
      <c r="H7" s="12" t="n">
        <f aca="false">IF(B7="","",IFERROR(ROUND(G7/B7*100,2),""))</f>
        <v>33.68</v>
      </c>
      <c r="I7" s="10" t="n">
        <v>50</v>
      </c>
      <c r="J7" s="11" t="n">
        <f aca="false">IF(B7="","",G7-I7)</f>
        <v>5609</v>
      </c>
      <c r="K7" s="11" t="n">
        <f aca="false">IF(B7="","",ROUND(MAX(0,J7)*Settings!$B$3/100,2))</f>
        <v>1402.25</v>
      </c>
      <c r="L7" s="11" t="n">
        <f aca="false">IF(B7="","",J7-K7)</f>
        <v>4206.75</v>
      </c>
      <c r="M7" s="12" t="n">
        <f aca="false">IF(B7="","",IFERROR(ROUND(L7/B7*100,2),""))</f>
        <v>25.04</v>
      </c>
      <c r="N7" s="10" t="n">
        <v>3500</v>
      </c>
      <c r="O7" s="11" t="n">
        <f aca="false">IF(B7="","",L7-N7)</f>
        <v>706.75</v>
      </c>
      <c r="P7" s="11" t="n">
        <f aca="false">IF(B7="","",O7+N(P6))</f>
        <v>91.75</v>
      </c>
    </row>
    <row r="8" customFormat="false" ht="15" hidden="false" customHeight="false" outlineLevel="0" collapsed="false">
      <c r="A8" s="4" t="s">
        <v>28</v>
      </c>
      <c r="B8" s="10"/>
      <c r="C8" s="10"/>
      <c r="D8" s="11" t="str">
        <f aca="false">IF(B8="","",B8-C8)</f>
        <v/>
      </c>
      <c r="E8" s="12" t="str">
        <f aca="false">IF(B8="","",IFERROR(ROUND(D8/B8*100,2),""))</f>
        <v/>
      </c>
      <c r="F8" s="10" t="str">
        <f aca="false">IF(B8="","",Expenses!E21)</f>
        <v/>
      </c>
      <c r="G8" s="11" t="str">
        <f aca="false">IF(B8="","",D8-F8)</f>
        <v/>
      </c>
      <c r="H8" s="12" t="str">
        <f aca="false">IF(B8="","",IFERROR(ROUND(G8/B8*100,2),""))</f>
        <v/>
      </c>
      <c r="I8" s="10"/>
      <c r="J8" s="11" t="str">
        <f aca="false">IF(B8="","",G8-I8)</f>
        <v/>
      </c>
      <c r="K8" s="11" t="str">
        <f aca="false">IF(B8="","",ROUND(MAX(0,J8)*Settings!$B$3/100,2))</f>
        <v/>
      </c>
      <c r="L8" s="11" t="str">
        <f aca="false">IF(B8="","",J8-K8)</f>
        <v/>
      </c>
      <c r="M8" s="12" t="str">
        <f aca="false">IF(B8="","",IFERROR(ROUND(L8/B8*100,2),""))</f>
        <v/>
      </c>
      <c r="N8" s="10"/>
      <c r="O8" s="11" t="str">
        <f aca="false">IF(B8="","",L8-N8)</f>
        <v/>
      </c>
      <c r="P8" s="11" t="str">
        <f aca="false">IF(B8="","",O8+N(P7))</f>
        <v/>
      </c>
    </row>
    <row r="9" customFormat="false" ht="15" hidden="false" customHeight="false" outlineLevel="0" collapsed="false">
      <c r="A9" s="4" t="s">
        <v>29</v>
      </c>
      <c r="B9" s="10"/>
      <c r="C9" s="10"/>
      <c r="D9" s="11" t="str">
        <f aca="false">IF(B9="","",B9-C9)</f>
        <v/>
      </c>
      <c r="E9" s="12" t="str">
        <f aca="false">IF(B9="","",IFERROR(ROUND(D9/B9*100,2),""))</f>
        <v/>
      </c>
      <c r="F9" s="10" t="str">
        <f aca="false">IF(B9="","",Expenses!F21)</f>
        <v/>
      </c>
      <c r="G9" s="11" t="str">
        <f aca="false">IF(B9="","",D9-F9)</f>
        <v/>
      </c>
      <c r="H9" s="12" t="str">
        <f aca="false">IF(B9="","",IFERROR(ROUND(G9/B9*100,2),""))</f>
        <v/>
      </c>
      <c r="I9" s="10"/>
      <c r="J9" s="11" t="str">
        <f aca="false">IF(B9="","",G9-I9)</f>
        <v/>
      </c>
      <c r="K9" s="11" t="str">
        <f aca="false">IF(B9="","",ROUND(MAX(0,J9)*Settings!$B$3/100,2))</f>
        <v/>
      </c>
      <c r="L9" s="11" t="str">
        <f aca="false">IF(B9="","",J9-K9)</f>
        <v/>
      </c>
      <c r="M9" s="12" t="str">
        <f aca="false">IF(B9="","",IFERROR(ROUND(L9/B9*100,2),""))</f>
        <v/>
      </c>
      <c r="N9" s="10"/>
      <c r="O9" s="11" t="str">
        <f aca="false">IF(B9="","",L9-N9)</f>
        <v/>
      </c>
      <c r="P9" s="11" t="str">
        <f aca="false">IF(B9="","",O9+N(P8))</f>
        <v/>
      </c>
    </row>
    <row r="10" customFormat="false" ht="15" hidden="false" customHeight="false" outlineLevel="0" collapsed="false">
      <c r="A10" s="4" t="s">
        <v>30</v>
      </c>
      <c r="B10" s="10"/>
      <c r="C10" s="10"/>
      <c r="D10" s="11" t="str">
        <f aca="false">IF(B10="","",B10-C10)</f>
        <v/>
      </c>
      <c r="E10" s="12" t="str">
        <f aca="false">IF(B10="","",IFERROR(ROUND(D10/B10*100,2),""))</f>
        <v/>
      </c>
      <c r="F10" s="10" t="str">
        <f aca="false">IF(B10="","",Expenses!G21)</f>
        <v/>
      </c>
      <c r="G10" s="11" t="str">
        <f aca="false">IF(B10="","",D10-F10)</f>
        <v/>
      </c>
      <c r="H10" s="12" t="str">
        <f aca="false">IF(B10="","",IFERROR(ROUND(G10/B10*100,2),""))</f>
        <v/>
      </c>
      <c r="I10" s="10"/>
      <c r="J10" s="11" t="str">
        <f aca="false">IF(B10="","",G10-I10)</f>
        <v/>
      </c>
      <c r="K10" s="11" t="str">
        <f aca="false">IF(B10="","",ROUND(MAX(0,J10)*Settings!$B$3/100,2))</f>
        <v/>
      </c>
      <c r="L10" s="11" t="str">
        <f aca="false">IF(B10="","",J10-K10)</f>
        <v/>
      </c>
      <c r="M10" s="12" t="str">
        <f aca="false">IF(B10="","",IFERROR(ROUND(L10/B10*100,2),""))</f>
        <v/>
      </c>
      <c r="N10" s="10"/>
      <c r="O10" s="11" t="str">
        <f aca="false">IF(B10="","",L10-N10)</f>
        <v/>
      </c>
      <c r="P10" s="11" t="str">
        <f aca="false">IF(B10="","",O10+N(P9))</f>
        <v/>
      </c>
    </row>
    <row r="11" customFormat="false" ht="15" hidden="false" customHeight="false" outlineLevel="0" collapsed="false">
      <c r="A11" s="4" t="s">
        <v>31</v>
      </c>
      <c r="B11" s="10"/>
      <c r="C11" s="10"/>
      <c r="D11" s="11" t="str">
        <f aca="false">IF(B11="","",B11-C11)</f>
        <v/>
      </c>
      <c r="E11" s="12" t="str">
        <f aca="false">IF(B11="","",IFERROR(ROUND(D11/B11*100,2),""))</f>
        <v/>
      </c>
      <c r="F11" s="10" t="str">
        <f aca="false">IF(B11="","",Expenses!H21)</f>
        <v/>
      </c>
      <c r="G11" s="11" t="str">
        <f aca="false">IF(B11="","",D11-F11)</f>
        <v/>
      </c>
      <c r="H11" s="12" t="str">
        <f aca="false">IF(B11="","",IFERROR(ROUND(G11/B11*100,2),""))</f>
        <v/>
      </c>
      <c r="I11" s="10"/>
      <c r="J11" s="11" t="str">
        <f aca="false">IF(B11="","",G11-I11)</f>
        <v/>
      </c>
      <c r="K11" s="11" t="str">
        <f aca="false">IF(B11="","",ROUND(MAX(0,J11)*Settings!$B$3/100,2))</f>
        <v/>
      </c>
      <c r="L11" s="11" t="str">
        <f aca="false">IF(B11="","",J11-K11)</f>
        <v/>
      </c>
      <c r="M11" s="12" t="str">
        <f aca="false">IF(B11="","",IFERROR(ROUND(L11/B11*100,2),""))</f>
        <v/>
      </c>
      <c r="N11" s="10"/>
      <c r="O11" s="11" t="str">
        <f aca="false">IF(B11="","",L11-N11)</f>
        <v/>
      </c>
      <c r="P11" s="11" t="str">
        <f aca="false">IF(B11="","",O11+N(P10))</f>
        <v/>
      </c>
    </row>
    <row r="12" customFormat="false" ht="15" hidden="false" customHeight="false" outlineLevel="0" collapsed="false">
      <c r="A12" s="4" t="s">
        <v>32</v>
      </c>
      <c r="B12" s="10"/>
      <c r="C12" s="10"/>
      <c r="D12" s="11" t="str">
        <f aca="false">IF(B12="","",B12-C12)</f>
        <v/>
      </c>
      <c r="E12" s="12" t="str">
        <f aca="false">IF(B12="","",IFERROR(ROUND(D12/B12*100,2),""))</f>
        <v/>
      </c>
      <c r="F12" s="10" t="str">
        <f aca="false">IF(B12="","",Expenses!I21)</f>
        <v/>
      </c>
      <c r="G12" s="11" t="str">
        <f aca="false">IF(B12="","",D12-F12)</f>
        <v/>
      </c>
      <c r="H12" s="12" t="str">
        <f aca="false">IF(B12="","",IFERROR(ROUND(G12/B12*100,2),""))</f>
        <v/>
      </c>
      <c r="I12" s="10"/>
      <c r="J12" s="11" t="str">
        <f aca="false">IF(B12="","",G12-I12)</f>
        <v/>
      </c>
      <c r="K12" s="11" t="str">
        <f aca="false">IF(B12="","",ROUND(MAX(0,J12)*Settings!$B$3/100,2))</f>
        <v/>
      </c>
      <c r="L12" s="11" t="str">
        <f aca="false">IF(B12="","",J12-K12)</f>
        <v/>
      </c>
      <c r="M12" s="12" t="str">
        <f aca="false">IF(B12="","",IFERROR(ROUND(L12/B12*100,2),""))</f>
        <v/>
      </c>
      <c r="N12" s="10"/>
      <c r="O12" s="11" t="str">
        <f aca="false">IF(B12="","",L12-N12)</f>
        <v/>
      </c>
      <c r="P12" s="11" t="str">
        <f aca="false">IF(B12="","",O12+N(P11))</f>
        <v/>
      </c>
    </row>
    <row r="13" customFormat="false" ht="15" hidden="false" customHeight="false" outlineLevel="0" collapsed="false">
      <c r="A13" s="4" t="s">
        <v>33</v>
      </c>
      <c r="B13" s="10"/>
      <c r="C13" s="10"/>
      <c r="D13" s="11" t="str">
        <f aca="false">IF(B13="","",B13-C13)</f>
        <v/>
      </c>
      <c r="E13" s="12" t="str">
        <f aca="false">IF(B13="","",IFERROR(ROUND(D13/B13*100,2),""))</f>
        <v/>
      </c>
      <c r="F13" s="10" t="str">
        <f aca="false">IF(B13="","",Expenses!J21)</f>
        <v/>
      </c>
      <c r="G13" s="11" t="str">
        <f aca="false">IF(B13="","",D13-F13)</f>
        <v/>
      </c>
      <c r="H13" s="12" t="str">
        <f aca="false">IF(B13="","",IFERROR(ROUND(G13/B13*100,2),""))</f>
        <v/>
      </c>
      <c r="I13" s="10"/>
      <c r="J13" s="11" t="str">
        <f aca="false">IF(B13="","",G13-I13)</f>
        <v/>
      </c>
      <c r="K13" s="11" t="str">
        <f aca="false">IF(B13="","",ROUND(MAX(0,J13)*Settings!$B$3/100,2))</f>
        <v/>
      </c>
      <c r="L13" s="11" t="str">
        <f aca="false">IF(B13="","",J13-K13)</f>
        <v/>
      </c>
      <c r="M13" s="12" t="str">
        <f aca="false">IF(B13="","",IFERROR(ROUND(L13/B13*100,2),""))</f>
        <v/>
      </c>
      <c r="N13" s="10"/>
      <c r="O13" s="11" t="str">
        <f aca="false">IF(B13="","",L13-N13)</f>
        <v/>
      </c>
      <c r="P13" s="11" t="str">
        <f aca="false">IF(B13="","",O13+N(P12))</f>
        <v/>
      </c>
    </row>
    <row r="14" customFormat="false" ht="15" hidden="false" customHeight="false" outlineLevel="0" collapsed="false">
      <c r="A14" s="4" t="s">
        <v>34</v>
      </c>
      <c r="B14" s="10"/>
      <c r="C14" s="10"/>
      <c r="D14" s="11" t="str">
        <f aca="false">IF(B14="","",B14-C14)</f>
        <v/>
      </c>
      <c r="E14" s="12" t="str">
        <f aca="false">IF(B14="","",IFERROR(ROUND(D14/B14*100,2),""))</f>
        <v/>
      </c>
      <c r="F14" s="10" t="str">
        <f aca="false">IF(B14="","",Expenses!K21)</f>
        <v/>
      </c>
      <c r="G14" s="11" t="str">
        <f aca="false">IF(B14="","",D14-F14)</f>
        <v/>
      </c>
      <c r="H14" s="12" t="str">
        <f aca="false">IF(B14="","",IFERROR(ROUND(G14/B14*100,2),""))</f>
        <v/>
      </c>
      <c r="I14" s="10"/>
      <c r="J14" s="11" t="str">
        <f aca="false">IF(B14="","",G14-I14)</f>
        <v/>
      </c>
      <c r="K14" s="11" t="str">
        <f aca="false">IF(B14="","",ROUND(MAX(0,J14)*Settings!$B$3/100,2))</f>
        <v/>
      </c>
      <c r="L14" s="11" t="str">
        <f aca="false">IF(B14="","",J14-K14)</f>
        <v/>
      </c>
      <c r="M14" s="12" t="str">
        <f aca="false">IF(B14="","",IFERROR(ROUND(L14/B14*100,2),""))</f>
        <v/>
      </c>
      <c r="N14" s="10"/>
      <c r="O14" s="11" t="str">
        <f aca="false">IF(B14="","",L14-N14)</f>
        <v/>
      </c>
      <c r="P14" s="11" t="str">
        <f aca="false">IF(B14="","",O14+N(P13))</f>
        <v/>
      </c>
    </row>
    <row r="15" customFormat="false" ht="15" hidden="false" customHeight="false" outlineLevel="0" collapsed="false">
      <c r="A15" s="4" t="s">
        <v>35</v>
      </c>
      <c r="B15" s="10"/>
      <c r="C15" s="10"/>
      <c r="D15" s="11" t="str">
        <f aca="false">IF(B15="","",B15-C15)</f>
        <v/>
      </c>
      <c r="E15" s="12" t="str">
        <f aca="false">IF(B15="","",IFERROR(ROUND(D15/B15*100,2),""))</f>
        <v/>
      </c>
      <c r="F15" s="10" t="str">
        <f aca="false">IF(B15="","",Expenses!L21)</f>
        <v/>
      </c>
      <c r="G15" s="11" t="str">
        <f aca="false">IF(B15="","",D15-F15)</f>
        <v/>
      </c>
      <c r="H15" s="12" t="str">
        <f aca="false">IF(B15="","",IFERROR(ROUND(G15/B15*100,2),""))</f>
        <v/>
      </c>
      <c r="I15" s="10"/>
      <c r="J15" s="11" t="str">
        <f aca="false">IF(B15="","",G15-I15)</f>
        <v/>
      </c>
      <c r="K15" s="11" t="str">
        <f aca="false">IF(B15="","",ROUND(MAX(0,J15)*Settings!$B$3/100,2))</f>
        <v/>
      </c>
      <c r="L15" s="11" t="str">
        <f aca="false">IF(B15="","",J15-K15)</f>
        <v/>
      </c>
      <c r="M15" s="12" t="str">
        <f aca="false">IF(B15="","",IFERROR(ROUND(L15/B15*100,2),""))</f>
        <v/>
      </c>
      <c r="N15" s="10"/>
      <c r="O15" s="11" t="str">
        <f aca="false">IF(B15="","",L15-N15)</f>
        <v/>
      </c>
      <c r="P15" s="11" t="str">
        <f aca="false">IF(B15="","",O15+N(P14))</f>
        <v/>
      </c>
    </row>
    <row r="16" customFormat="false" ht="15" hidden="false" customHeight="false" outlineLevel="0" collapsed="false">
      <c r="A16" s="4" t="s">
        <v>36</v>
      </c>
      <c r="B16" s="10"/>
      <c r="C16" s="10"/>
      <c r="D16" s="11" t="str">
        <f aca="false">IF(B16="","",B16-C16)</f>
        <v/>
      </c>
      <c r="E16" s="12" t="str">
        <f aca="false">IF(B16="","",IFERROR(ROUND(D16/B16*100,2),""))</f>
        <v/>
      </c>
      <c r="F16" s="10" t="str">
        <f aca="false">IF(B16="","",Expenses!M21)</f>
        <v/>
      </c>
      <c r="G16" s="11" t="str">
        <f aca="false">IF(B16="","",D16-F16)</f>
        <v/>
      </c>
      <c r="H16" s="12" t="str">
        <f aca="false">IF(B16="","",IFERROR(ROUND(G16/B16*100,2),""))</f>
        <v/>
      </c>
      <c r="I16" s="10"/>
      <c r="J16" s="11" t="str">
        <f aca="false">IF(B16="","",G16-I16)</f>
        <v/>
      </c>
      <c r="K16" s="11" t="str">
        <f aca="false">IF(B16="","",ROUND(MAX(0,J16)*Settings!$B$3/100,2))</f>
        <v/>
      </c>
      <c r="L16" s="11" t="str">
        <f aca="false">IF(B16="","",J16-K16)</f>
        <v/>
      </c>
      <c r="M16" s="12" t="str">
        <f aca="false">IF(B16="","",IFERROR(ROUND(L16/B16*100,2),""))</f>
        <v/>
      </c>
      <c r="N16" s="10"/>
      <c r="O16" s="11" t="str">
        <f aca="false">IF(B16="","",L16-N16)</f>
        <v/>
      </c>
      <c r="P16" s="11" t="str">
        <f aca="false">IF(B16="","",O16+N(P15))</f>
        <v/>
      </c>
    </row>
    <row r="17" customFormat="false" ht="15" hidden="false" customHeight="false" outlineLevel="0" collapsed="false">
      <c r="A17" s="4" t="s">
        <v>15</v>
      </c>
      <c r="B17" s="14" t="n">
        <f aca="false">SUM(B5:B16)</f>
        <v>43300</v>
      </c>
      <c r="C17" s="14" t="n">
        <f aca="false">SUM(C5:C16)</f>
        <v>10800</v>
      </c>
      <c r="D17" s="14" t="n">
        <f aca="false">SUM(D5:D16)</f>
        <v>32500</v>
      </c>
      <c r="E17" s="15" t="n">
        <f aca="false">IFERROR(ROUND(D17/B17*100,2),"")</f>
        <v>75.06</v>
      </c>
      <c r="F17" s="14" t="n">
        <f aca="false">SUM(F5:F16)</f>
        <v>19561</v>
      </c>
      <c r="G17" s="14" t="n">
        <f aca="false">SUM(G5:G16)</f>
        <v>12939</v>
      </c>
      <c r="H17" s="15" t="n">
        <f aca="false">IFERROR(ROUND(G17/B17*100,2),"")</f>
        <v>29.88</v>
      </c>
      <c r="I17" s="14" t="n">
        <f aca="false">SUM(I5:I16)</f>
        <v>150</v>
      </c>
      <c r="J17" s="14" t="n">
        <f aca="false">SUM(J5:J16)</f>
        <v>12789</v>
      </c>
      <c r="K17" s="14" t="n">
        <f aca="false">SUM(K5:K16)</f>
        <v>3197.25</v>
      </c>
      <c r="L17" s="14" t="n">
        <f aca="false">SUM(L5:L16)</f>
        <v>9591.75</v>
      </c>
      <c r="M17" s="15" t="n">
        <f aca="false">IFERROR(ROUND(L17/B17*100,2),"")</f>
        <v>22.15</v>
      </c>
      <c r="N17" s="14" t="n">
        <f aca="false">SUM(N5:N16)</f>
        <v>9500</v>
      </c>
      <c r="O17" s="14" t="n">
        <f aca="false">SUM(O5:O16)</f>
        <v>91.75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4" t="s">
        <v>51</v>
      </c>
      <c r="B2" s="14" t="n">
        <f aca="false">'Monthly P&amp;L'!B17</f>
        <v>43300</v>
      </c>
    </row>
    <row r="3" customFormat="false" ht="15" hidden="false" customHeight="false" outlineLevel="0" collapsed="false">
      <c r="A3" s="4" t="s">
        <v>52</v>
      </c>
      <c r="B3" s="14" t="n">
        <f aca="false">'Monthly P&amp;L'!C17</f>
        <v>10800</v>
      </c>
    </row>
    <row r="4" customFormat="false" ht="15" hidden="false" customHeight="false" outlineLevel="0" collapsed="false">
      <c r="A4" s="4" t="s">
        <v>53</v>
      </c>
      <c r="B4" s="14" t="n">
        <f aca="false">'Monthly P&amp;L'!D17</f>
        <v>32500</v>
      </c>
    </row>
    <row r="5" customFormat="false" ht="15" hidden="false" customHeight="false" outlineLevel="0" collapsed="false">
      <c r="A5" s="4" t="s">
        <v>54</v>
      </c>
      <c r="B5" s="15" t="n">
        <f aca="false">'Monthly P&amp;L'!E17</f>
        <v>75.06</v>
      </c>
    </row>
    <row r="6" customFormat="false" ht="15" hidden="false" customHeight="false" outlineLevel="0" collapsed="false">
      <c r="A6" s="4" t="s">
        <v>55</v>
      </c>
      <c r="B6" s="14" t="n">
        <f aca="false">'Monthly P&amp;L'!F17</f>
        <v>19561</v>
      </c>
    </row>
    <row r="7" customFormat="false" ht="15" hidden="false" customHeight="false" outlineLevel="0" collapsed="false">
      <c r="A7" s="4" t="s">
        <v>56</v>
      </c>
      <c r="B7" s="14" t="n">
        <f aca="false">'Monthly P&amp;L'!G17</f>
        <v>12939</v>
      </c>
    </row>
    <row r="8" customFormat="false" ht="15" hidden="false" customHeight="false" outlineLevel="0" collapsed="false">
      <c r="A8" s="4" t="s">
        <v>57</v>
      </c>
      <c r="B8" s="15" t="n">
        <f aca="false">'Monthly P&amp;L'!H17</f>
        <v>29.88</v>
      </c>
    </row>
    <row r="9" customFormat="false" ht="15" hidden="false" customHeight="false" outlineLevel="0" collapsed="false">
      <c r="A9" s="4" t="s">
        <v>59</v>
      </c>
      <c r="B9" s="14" t="n">
        <f aca="false">'Monthly P&amp;L'!J17</f>
        <v>12789</v>
      </c>
      <c r="C9" s="2" t="s">
        <v>67</v>
      </c>
    </row>
    <row r="10" customFormat="false" ht="15" hidden="false" customHeight="false" outlineLevel="0" collapsed="false">
      <c r="A10" s="4" t="s">
        <v>68</v>
      </c>
      <c r="B10" s="14" t="n">
        <f aca="false">'Monthly P&amp;L'!K17</f>
        <v>3197.25</v>
      </c>
      <c r="C10" s="2" t="s">
        <v>69</v>
      </c>
    </row>
    <row r="11" customFormat="false" ht="15" hidden="false" customHeight="false" outlineLevel="0" collapsed="false">
      <c r="A11" s="4" t="s">
        <v>63</v>
      </c>
      <c r="B11" s="14" t="n">
        <f aca="false">'Monthly P&amp;L'!N17</f>
        <v>9500</v>
      </c>
    </row>
    <row r="12" customFormat="false" ht="15" hidden="false" customHeight="false" outlineLevel="0" collapsed="false">
      <c r="A12" s="4" t="s">
        <v>70</v>
      </c>
      <c r="B12" s="14" t="n">
        <f aca="false">'Monthly P&amp;L'!O17</f>
        <v>91.75</v>
      </c>
      <c r="C12" s="2" t="s">
        <v>71</v>
      </c>
    </row>
    <row r="13" customFormat="false" ht="15" hidden="false" customHeight="false" outlineLevel="0" collapsed="false">
      <c r="A13" s="4" t="s">
        <v>72</v>
      </c>
      <c r="B13" s="16" t="n">
        <f aca="false">COUNT('Monthly P&amp;L'!B5:B16)</f>
        <v>3</v>
      </c>
    </row>
    <row r="14" customFormat="false" ht="15" hidden="false" customHeight="false" outlineLevel="0" collapsed="false">
      <c r="A14" s="4" t="s">
        <v>73</v>
      </c>
      <c r="B14" s="14" t="n">
        <f aca="false">IFERROR(ROUND(B2/B13,2),"")</f>
        <v>14433.33</v>
      </c>
    </row>
    <row r="15" customFormat="false" ht="15" hidden="false" customHeight="false" outlineLevel="0" collapsed="false">
      <c r="A15" s="4" t="s">
        <v>74</v>
      </c>
      <c r="B15" s="4" t="str">
        <f aca="false">IFERROR(INDEX('Monthly P&amp;L'!A5:A16,MATCH(MAX('Monthly P&amp;L'!B5:B16),'Monthly P&amp;L'!B5:B16,0)),"")</f>
        <v>Mar</v>
      </c>
    </row>
    <row r="16" customFormat="false" ht="15" hidden="false" customHeight="false" outlineLevel="0" collapsed="false">
      <c r="A16" s="4" t="s">
        <v>75</v>
      </c>
      <c r="B16" s="4" t="str">
        <f aca="false">IFERROR(INDEX('Monthly P&amp;L'!A5:A16,MATCH(MIN('Monthly P&amp;L'!B5:B16),'Monthly P&amp;L'!B5:B16,0)),"")</f>
        <v>Feb</v>
      </c>
    </row>
    <row r="17" customFormat="false" ht="15" hidden="false" customHeight="false" outlineLevel="0" collapsed="false">
      <c r="A17" s="4" t="s">
        <v>76</v>
      </c>
      <c r="B17" s="4" t="str">
        <f aca="false">IFERROR(INDEX(Expenses!A5:A20,MATCH(MAX(Expenses!N5:N20),Expenses!N5:N20,0)),"")</f>
        <v>Salaries and contractors</v>
      </c>
    </row>
    <row r="18" customFormat="false" ht="15" hidden="false" customHeight="false" outlineLevel="0" collapsed="false">
      <c r="A18" s="4" t="s">
        <v>77</v>
      </c>
      <c r="B18" s="15" t="n">
        <f aca="false">IFERROR(ROUND(MAX(Expenses!N5:N20)/Expenses!N21*100,2),"")</f>
        <v>66.56</v>
      </c>
    </row>
    <row r="19" customFormat="false" ht="15" hidden="false" customHeight="false" outlineLevel="0" collapsed="false">
      <c r="A19" s="4" t="s">
        <v>78</v>
      </c>
      <c r="B19" s="15" t="n">
        <f aca="false">IFERROR(ROUND(B6/B2*100,2),"")</f>
        <v>45.18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2026-10-01T12:46:48Z</dcterms:created>
  <dc:creator>openpyxl</dc:creator>
  <dc:description/>
  <dc:language>en-US</dc:language>
  <cp:lastModifiedBy/>
  <dcterms:modified xsi:type="dcterms:W3CDTF">2026-10-01T12:46:48Z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