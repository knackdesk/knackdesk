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comments4.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5.xml" ContentType="application/vnd.openxmlformats-officedocument.spreadsheetml.comments+xml"/>
  <Override PartName="/xl/workbook.xml" ContentType="application/vnd.openxmlformats-officedocument.spreadsheetml.sheet.main+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Settings" sheetId="2" state="visible" r:id="rId4"/>
    <sheet name="Recipes" sheetId="3" state="visible" r:id="rId5"/>
    <sheet name="Menu" sheetId="4" state="visible" r:id="rId6"/>
    <sheet name="Weekly P&amp;L" sheetId="5" state="visible" r:id="rId7"/>
    <sheet name="Labour" sheetId="6" state="visible" r:id="rId8"/>
    <sheet name="Summary" sheetId="7" state="visible" r:id="rId9"/>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Knackdesk</author>
  </authors>
  <commentList>
    <comment ref="B7" authorId="0">
      <text>
        <r>
          <rPr>
            <sz val="10"/>
            <rFont val="Arial"/>
            <family val="2"/>
          </rPr>
          <t xml:space="preserve">Typed cost: this dish has no recipe on the Recipes sheet.</t>
        </r>
      </text>
    </comment>
  </commentList>
</comments>
</file>

<file path=xl/comments5.xml><?xml version="1.0" encoding="utf-8"?>
<comments xmlns="http://schemas.openxmlformats.org/spreadsheetml/2006/main" xmlns:xdr="http://schemas.openxmlformats.org/drawingml/2006/spreadsheetDrawing">
  <authors>
    <author>Knackdesk</author>
  </authors>
  <commentList>
    <comment ref="G5" authorId="0">
      <text>
        <r>
          <rPr>
            <sz val="10"/>
            <rFont val="Arial"/>
            <family val="2"/>
          </rPr>
          <t xml:space="preserve">Type the week's labour cost from payroll, including taxes and benefits.</t>
        </r>
      </text>
    </comment>
  </commentList>
</comments>
</file>

<file path=xl/comments6.xml><?xml version="1.0" encoding="utf-8"?>
<comments xmlns="http://schemas.openxmlformats.org/spreadsheetml/2006/main" xmlns:xdr="http://schemas.openxmlformats.org/drawingml/2006/spreadsheetDrawing">
  <authors>
    <author>Knackdesk</author>
  </authors>
  <commentList>
    <comment ref="B27" authorId="0">
      <text>
        <r>
          <rPr>
            <sz val="10"/>
            <rFont val="Arial"/>
            <family val="2"/>
          </rPr>
          <t xml:space="preserve">Defaults to weekly revenue from the Menu sheet; type over it with your own forecast.</t>
        </r>
      </text>
    </comment>
  </commentList>
</comments>
</file>

<file path=xl/sharedStrings.xml><?xml version="1.0" encoding="utf-8"?>
<sst xmlns="http://schemas.openxmlformats.org/spreadsheetml/2006/main" count="142" uniqueCount="128">
  <si>
    <t xml:space="preserve">Restaurant Numbers Workbook</t>
  </si>
  <si>
    <t xml:space="preserve">by Knackdesk · knackdesk.com</t>
  </si>
  <si>
    <t xml:space="preserve">HOW TO USE</t>
  </si>
  <si>
    <t xml:space="preserve">1. Settings: your target food cost %, target labour cost %, payroll taxes and benefits, waste allowance, seats, hours open, dining minutes and days open. Every other sheet reads them.</t>
  </si>
  <si>
    <t xml:space="preserve">2. Recipes: one row per ingredient line, with the recipe name repeated on each line. Enter portions on the first line of each recipe to get the cost per portion, waste allowance included.</t>
  </si>
  <si>
    <t xml:space="preserve">3. Menu: one row per dish. Cost per portion is looked up from Recipes by dish name (type over it to use your own figure). Add the menu price and weekly units to get food cost %, gross profit and the price at your target food cost.</t>
  </si>
  <si>
    <t xml:space="preserve">4. Weekly P&amp;L: one row per week with sales, food, beverage and labour cost and other operating costs. Prime cost, food cost %, labour % and operating margin are calculated, with totals in row 17.</t>
  </si>
  <si>
    <t xml:space="preserve">5. Labour: one row per staff member for a typical week with role, hours and wage. Loaded weekly cost, labour % against projected sales and the hours over or under your target are calculated.</t>
  </si>
  <si>
    <t xml:space="preserve">6. Summary: menu items, blended food cost %, best margin dish, highest food cost dish, weekly menu revenue, projected labour %, latest week prime cost % and seat capacity.</t>
  </si>
  <si>
    <t xml:space="preserve">LEGEND</t>
  </si>
  <si>
    <t xml:space="preserve">Blue text = a cell you type into.   Black text = a formula, leave it alone.   Yellow fill = key inputs.</t>
  </si>
  <si>
    <t xml:space="preserve">DEFINITIONS</t>
  </si>
  <si>
    <t xml:space="preserve">Food cost % = cost per portion ÷ menu price. Price at target food cost = cost per portion ÷ target food cost %.</t>
  </si>
  <si>
    <t xml:space="preserve">Prime cost = food cost + beverage cost + labour cost. Prime cost % = prime cost ÷ total sales.</t>
  </si>
  <si>
    <t xml:space="preserve">Labour % = labour cost ÷ sales. Labour cost on the Labour sheet includes your payroll taxes and benefits % from Settings.</t>
  </si>
  <si>
    <t xml:space="preserve">Waste allowance adds a percentage to every recipe's ingredient cost for trim, spoilage and over-portioning.</t>
  </si>
  <si>
    <t xml:space="preserve">The targets in Settings are your own; this workbook does not supply industry benchmarks. Set them from your own history and plan.</t>
  </si>
  <si>
    <t xml:space="preserve">Support: hello@knackdesk.com</t>
  </si>
  <si>
    <t xml:space="preserve">Arithmetic only; not financial advice.</t>
  </si>
  <si>
    <t xml:space="preserve">Settings</t>
  </si>
  <si>
    <t xml:space="preserve">Target food cost %</t>
  </si>
  <si>
    <t xml:space="preserve">Your own target: ingredient cost as a share of the menu price.</t>
  </si>
  <si>
    <t xml:space="preserve">Target labour cost %</t>
  </si>
  <si>
    <t xml:space="preserve">Your own target: loaded labour cost as a share of sales.</t>
  </si>
  <si>
    <t xml:space="preserve">Payroll taxes and benefits %</t>
  </si>
  <si>
    <t xml:space="preserve">Added on top of wages for the true cost of each hour.</t>
  </si>
  <si>
    <t xml:space="preserve">Waste allowance %</t>
  </si>
  <si>
    <t xml:space="preserve">Added to recipe ingredient cost for trim, spoilage and over-portioning.</t>
  </si>
  <si>
    <t xml:space="preserve">Seats</t>
  </si>
  <si>
    <t xml:space="preserve">Seats available for diners.</t>
  </si>
  <si>
    <t xml:space="preserve">Hours open per day</t>
  </si>
  <si>
    <t xml:space="preserve">Service hours per day.</t>
  </si>
  <si>
    <t xml:space="preserve">Average dining minutes</t>
  </si>
  <si>
    <t xml:space="preserve">How long a table is typically occupied.</t>
  </si>
  <si>
    <t xml:space="preserve">Days open per week</t>
  </si>
  <si>
    <t xml:space="preserve">Used for covers per week on the Summary.</t>
  </si>
  <si>
    <t xml:space="preserve">Recipes</t>
  </si>
  <si>
    <t xml:space="preserve">One row per ingredient line. Repeat the recipe name on each line; enter portions on the first line only.</t>
  </si>
  <si>
    <t xml:space="preserve">Recipe</t>
  </si>
  <si>
    <t xml:space="preserve">Ingredient</t>
  </si>
  <si>
    <t xml:space="preserve">Quantity</t>
  </si>
  <si>
    <t xml:space="preserve">Unit cost</t>
  </si>
  <si>
    <t xml:space="preserve">Line cost</t>
  </si>
  <si>
    <t xml:space="preserve">Portions</t>
  </si>
  <si>
    <t xml:space="preserve">Cost per portion</t>
  </si>
  <si>
    <t xml:space="preserve">Pasta pomodoro</t>
  </si>
  <si>
    <t xml:space="preserve">Pasta (kg)</t>
  </si>
  <si>
    <t xml:space="preserve">Tomato sauce (kg)</t>
  </si>
  <si>
    <t xml:space="preserve">Cheese (kg)</t>
  </si>
  <si>
    <t xml:space="preserve">Steak frites</t>
  </si>
  <si>
    <t xml:space="preserve">Steak (kg)</t>
  </si>
  <si>
    <t xml:space="preserve">Potatoes (kg)</t>
  </si>
  <si>
    <t xml:space="preserve">Butter (kg)</t>
  </si>
  <si>
    <t xml:space="preserve">Menu</t>
  </si>
  <si>
    <t xml:space="preserve">Cost per portion is looked up from Recipes by dish name; it is blue because you may type over it with your own figure.</t>
  </si>
  <si>
    <t xml:space="preserve">Dish</t>
  </si>
  <si>
    <t xml:space="preserve">Menu price</t>
  </si>
  <si>
    <t xml:space="preserve">Food cost %</t>
  </si>
  <si>
    <t xml:space="preserve">Gross profit</t>
  </si>
  <si>
    <t xml:space="preserve">Price at target food cost</t>
  </si>
  <si>
    <t xml:space="preserve">Units sold per week</t>
  </si>
  <si>
    <t xml:space="preserve">Weekly food cost</t>
  </si>
  <si>
    <t xml:space="preserve">Weekly revenue</t>
  </si>
  <si>
    <t xml:space="preserve">Weekly gross profit</t>
  </si>
  <si>
    <t xml:space="preserve">House salad</t>
  </si>
  <si>
    <t xml:space="preserve">Total</t>
  </si>
  <si>
    <t xml:space="preserve">Blended food cost %</t>
  </si>
  <si>
    <t xml:space="preserve">weekly food cost ÷ weekly revenue, weighted by units sold</t>
  </si>
  <si>
    <t xml:space="preserve">Weekly P&amp;L</t>
  </si>
  <si>
    <t xml:space="preserve">One row per week. Labour cost is typed from your payroll; the Labour sheet gives a typical week for comparison.</t>
  </si>
  <si>
    <t xml:space="preserve">Week ending</t>
  </si>
  <si>
    <t xml:space="preserve">Food sales</t>
  </si>
  <si>
    <t xml:space="preserve">Beverage sales</t>
  </si>
  <si>
    <t xml:space="preserve">Total sales</t>
  </si>
  <si>
    <t xml:space="preserve">Food cost</t>
  </si>
  <si>
    <t xml:space="preserve">Beverage cost</t>
  </si>
  <si>
    <t xml:space="preserve">Labour cost</t>
  </si>
  <si>
    <t xml:space="preserve">Prime cost</t>
  </si>
  <si>
    <t xml:space="preserve">Prime cost %</t>
  </si>
  <si>
    <t xml:space="preserve">Labour %</t>
  </si>
  <si>
    <t xml:space="preserve">Other operating costs</t>
  </si>
  <si>
    <t xml:space="preserve">Operating profit</t>
  </si>
  <si>
    <t xml:space="preserve">Margin %</t>
  </si>
  <si>
    <t xml:space="preserve">Labour</t>
  </si>
  <si>
    <t xml:space="preserve">One row per staff member for a typical week. Weekly cost includes payroll taxes and benefits from Settings.</t>
  </si>
  <si>
    <t xml:space="preserve">Name</t>
  </si>
  <si>
    <t xml:space="preserve">Role</t>
  </si>
  <si>
    <t xml:space="preserve">Hours</t>
  </si>
  <si>
    <t xml:space="preserve">Hourly wage</t>
  </si>
  <si>
    <t xml:space="preserve">Weekly cost</t>
  </si>
  <si>
    <t xml:space="preserve">Head chef</t>
  </si>
  <si>
    <t xml:space="preserve">kitchen</t>
  </si>
  <si>
    <t xml:space="preserve">Line cook</t>
  </si>
  <si>
    <t xml:space="preserve">Server A</t>
  </si>
  <si>
    <t xml:space="preserve">front of house</t>
  </si>
  <si>
    <t xml:space="preserve">Server B</t>
  </si>
  <si>
    <t xml:space="preserve">Bartender</t>
  </si>
  <si>
    <t xml:space="preserve">bar</t>
  </si>
  <si>
    <t xml:space="preserve">Manager</t>
  </si>
  <si>
    <t xml:space="preserve">management</t>
  </si>
  <si>
    <t xml:space="preserve">Projected weekly sales</t>
  </si>
  <si>
    <t xml:space="preserve">defaults to Menu weekly revenue; type over it</t>
  </si>
  <si>
    <t xml:space="preserve">weekly cost ÷ projected sales</t>
  </si>
  <si>
    <t xml:space="preserve">Allowed labour cost at target</t>
  </si>
  <si>
    <t xml:space="preserve">projected sales × target labour %</t>
  </si>
  <si>
    <t xml:space="preserve">Hours over (+) or under (−) target</t>
  </si>
  <si>
    <t xml:space="preserve">(weekly cost − allowed) ÷ average loaded hourly wage</t>
  </si>
  <si>
    <t xml:space="preserve">Summary</t>
  </si>
  <si>
    <t xml:space="preserve">Menu items</t>
  </si>
  <si>
    <t xml:space="preserve">weighted by units sold</t>
  </si>
  <si>
    <t xml:space="preserve">Best margin dish</t>
  </si>
  <si>
    <t xml:space="preserve">highest gross profit per portion</t>
  </si>
  <si>
    <t xml:space="preserve">Highest food cost % dish</t>
  </si>
  <si>
    <t xml:space="preserve">the dish to re-price or re-cost first</t>
  </si>
  <si>
    <t xml:space="preserve">Weekly revenue from menu</t>
  </si>
  <si>
    <t xml:space="preserve">Projected labour %</t>
  </si>
  <si>
    <t xml:space="preserve">from the Labour sheet</t>
  </si>
  <si>
    <t xml:space="preserve">Latest week prime cost %</t>
  </si>
  <si>
    <t xml:space="preserve">last filled week on Weekly P&amp;L (fill weeks top down)</t>
  </si>
  <si>
    <t xml:space="preserve">Seat capacity</t>
  </si>
  <si>
    <t xml:space="preserve">Occupancy %</t>
  </si>
  <si>
    <t xml:space="preserve">share of seats filled on an average turn</t>
  </si>
  <si>
    <t xml:space="preserve">Turns per day</t>
  </si>
  <si>
    <t xml:space="preserve">hours open × 60 ÷ average dining minutes</t>
  </si>
  <si>
    <t xml:space="preserve">Covers per day</t>
  </si>
  <si>
    <t xml:space="preserve">seats × turns × occupancy</t>
  </si>
  <si>
    <t xml:space="preserve">Covers per week</t>
  </si>
  <si>
    <t xml:space="preserve">covers per day × days open</t>
  </si>
</sst>
</file>

<file path=xl/styles.xml><?xml version="1.0" encoding="utf-8"?>
<styleSheet xmlns="http://schemas.openxmlformats.org/spreadsheetml/2006/main">
  <numFmts count="8">
    <numFmt numFmtId="164" formatCode="General"/>
    <numFmt numFmtId="165" formatCode="0.0"/>
    <numFmt numFmtId="166" formatCode="0"/>
    <numFmt numFmtId="167" formatCode="0.000"/>
    <numFmt numFmtId="168" formatCode="#,##0.00;\(#,##0.00\);\-"/>
    <numFmt numFmtId="169" formatCode="0.00\%"/>
    <numFmt numFmtId="170" formatCode="yyyy\-mm\-dd"/>
    <numFmt numFmtId="171" formatCode="0.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1"/>
      <color rgb="FF666666"/>
      <name val="Arial"/>
      <family val="0"/>
      <charset val="1"/>
    </font>
    <font>
      <sz val="11"/>
      <name val="Arial"/>
      <family val="0"/>
      <charset val="1"/>
    </font>
    <font>
      <b val="true"/>
      <sz val="11"/>
      <name val="Arial"/>
      <family val="0"/>
      <charset val="1"/>
    </font>
    <font>
      <sz val="11"/>
      <color rgb="FF0000FF"/>
      <name val="Arial"/>
      <family val="0"/>
      <charset val="1"/>
    </font>
    <font>
      <sz val="10"/>
      <name val="Arial"/>
      <family val="2"/>
    </font>
  </fonts>
  <fills count="4">
    <fill>
      <patternFill patternType="none"/>
    </fill>
    <fill>
      <patternFill patternType="gray125"/>
    </fill>
    <fill>
      <patternFill patternType="solid">
        <fgColor rgb="FFFFFF00"/>
        <bgColor rgb="FFFFFF00"/>
      </patternFill>
    </fill>
    <fill>
      <patternFill patternType="solid">
        <fgColor rgb="FFE7E6E6"/>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8" fillId="2" borderId="0" xfId="0" applyFont="true" applyBorder="false" applyAlignment="true" applyProtection="true">
      <alignment horizontal="general" vertical="bottom" textRotation="0" wrapText="false" indent="0" shrinkToFit="false"/>
      <protection locked="true" hidden="false"/>
    </xf>
    <xf numFmtId="166" fontId="8" fillId="2" borderId="0" xfId="0" applyFont="true" applyBorder="false" applyAlignment="true" applyProtection="true">
      <alignment horizontal="general" vertical="bottom" textRotation="0" wrapText="false" indent="0" shrinkToFit="false"/>
      <protection locked="true" hidden="false"/>
    </xf>
    <xf numFmtId="164" fontId="7" fillId="3" borderId="0" xfId="0" applyFont="true" applyBorder="fals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7" fontId="8" fillId="0" borderId="0" xfId="0" applyFont="true" applyBorder="false" applyAlignment="true" applyProtection="true">
      <alignment horizontal="general" vertical="bottom" textRotation="0" wrapText="false" indent="0" shrinkToFit="false"/>
      <protection locked="true" hidden="false"/>
    </xf>
    <xf numFmtId="168" fontId="8" fillId="2" borderId="0" xfId="0" applyFont="true" applyBorder="false" applyAlignment="true" applyProtection="true">
      <alignment horizontal="general" vertical="bottom" textRotation="0" wrapText="false" indent="0" shrinkToFit="false"/>
      <protection locked="true" hidden="false"/>
    </xf>
    <xf numFmtId="168" fontId="6" fillId="0" borderId="0" xfId="0" applyFont="true" applyBorder="false" applyAlignment="true" applyProtection="true">
      <alignment horizontal="general" vertical="bottom" textRotation="0" wrapText="false" indent="0" shrinkToFit="false"/>
      <protection locked="true" hidden="false"/>
    </xf>
    <xf numFmtId="166" fontId="8" fillId="0" borderId="0" xfId="0" applyFont="true" applyBorder="false" applyAlignment="true" applyProtection="true">
      <alignment horizontal="general" vertical="bottom" textRotation="0" wrapText="false" indent="0" shrinkToFit="false"/>
      <protection locked="true" hidden="false"/>
    </xf>
    <xf numFmtId="168" fontId="8" fillId="0" borderId="0" xfId="0" applyFont="true" applyBorder="false" applyAlignment="true" applyProtection="true">
      <alignment horizontal="general" vertical="bottom" textRotation="0" wrapText="false" indent="0" shrinkToFit="false"/>
      <protection locked="true" hidden="false"/>
    </xf>
    <xf numFmtId="169" fontId="6" fillId="0" borderId="0" xfId="0" applyFont="true" applyBorder="false" applyAlignment="true" applyProtection="true">
      <alignment horizontal="general" vertical="bottom" textRotation="0" wrapText="false" indent="0" shrinkToFit="false"/>
      <protection locked="true" hidden="false"/>
    </xf>
    <xf numFmtId="166" fontId="7" fillId="0" borderId="0" xfId="0" applyFont="true" applyBorder="false" applyAlignment="true" applyProtection="true">
      <alignment horizontal="general" vertical="bottom" textRotation="0" wrapText="false" indent="0" shrinkToFit="false"/>
      <protection locked="true" hidden="false"/>
    </xf>
    <xf numFmtId="168" fontId="7" fillId="0" borderId="0" xfId="0" applyFont="true" applyBorder="false" applyAlignment="true" applyProtection="true">
      <alignment horizontal="general" vertical="bottom" textRotation="0" wrapText="false" indent="0" shrinkToFit="false"/>
      <protection locked="true" hidden="false"/>
    </xf>
    <xf numFmtId="169" fontId="7" fillId="0" borderId="0" xfId="0" applyFont="true" applyBorder="false" applyAlignment="true" applyProtection="true">
      <alignment horizontal="general" vertical="bottom" textRotation="0" wrapText="false" indent="0" shrinkToFit="false"/>
      <protection locked="true" hidden="false"/>
    </xf>
    <xf numFmtId="170" fontId="8" fillId="0"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71" fontId="6" fillId="0" borderId="0" xfId="0" applyFont="true" applyBorder="false" applyAlignment="true" applyProtection="true">
      <alignment horizontal="general" vertical="bottom" textRotation="0" wrapText="false" indent="0" shrinkToFit="false"/>
      <protection locked="true" hidden="false"/>
    </xf>
    <xf numFmtId="166" fontId="6"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7E6E6"/>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0"/>
  </cols>
  <sheetData>
    <row r="1" customFormat="false" ht="17.35" hidden="false" customHeight="false" outlineLevel="0" collapsed="false">
      <c r="A1" s="2" t="s">
        <v>0</v>
      </c>
    </row>
    <row r="2" customFormat="false" ht="15" hidden="false" customHeight="false" outlineLevel="0" collapsed="false">
      <c r="A2" s="3" t="s">
        <v>1</v>
      </c>
    </row>
    <row r="3" customFormat="false" ht="15" hidden="false" customHeight="false" outlineLevel="0" collapsed="false">
      <c r="A3" s="4"/>
    </row>
    <row r="4" customFormat="false" ht="15" hidden="false" customHeight="false" outlineLevel="0" collapsed="false">
      <c r="A4" s="5" t="s">
        <v>2</v>
      </c>
    </row>
    <row r="5" customFormat="false" ht="15" hidden="false" customHeight="false" outlineLevel="0" collapsed="false">
      <c r="A5" s="4" t="s">
        <v>3</v>
      </c>
    </row>
    <row r="6" customFormat="false" ht="15" hidden="false" customHeight="false" outlineLevel="0" collapsed="false">
      <c r="A6" s="4" t="s">
        <v>4</v>
      </c>
    </row>
    <row r="7" customFormat="false" ht="15" hidden="false" customHeight="false" outlineLevel="0" collapsed="false">
      <c r="A7" s="4" t="s">
        <v>5</v>
      </c>
    </row>
    <row r="8" customFormat="false" ht="15" hidden="false" customHeight="false" outlineLevel="0" collapsed="false">
      <c r="A8" s="4" t="s">
        <v>6</v>
      </c>
    </row>
    <row r="9" customFormat="false" ht="15" hidden="false" customHeight="false" outlineLevel="0" collapsed="false">
      <c r="A9" s="4" t="s">
        <v>7</v>
      </c>
    </row>
    <row r="10" customFormat="false" ht="15" hidden="false" customHeight="false" outlineLevel="0" collapsed="false">
      <c r="A10" s="4" t="s">
        <v>8</v>
      </c>
    </row>
    <row r="11" customFormat="false" ht="15" hidden="false" customHeight="false" outlineLevel="0" collapsed="false">
      <c r="A11" s="4"/>
    </row>
    <row r="12" customFormat="false" ht="15" hidden="false" customHeight="false" outlineLevel="0" collapsed="false">
      <c r="A12" s="5" t="s">
        <v>9</v>
      </c>
    </row>
    <row r="13" customFormat="false" ht="15" hidden="false" customHeight="false" outlineLevel="0" collapsed="false">
      <c r="A13" s="4" t="s">
        <v>10</v>
      </c>
    </row>
    <row r="14" customFormat="false" ht="15" hidden="false" customHeight="false" outlineLevel="0" collapsed="false">
      <c r="A14" s="4"/>
    </row>
    <row r="15" customFormat="false" ht="15" hidden="false" customHeight="false" outlineLevel="0" collapsed="false">
      <c r="A15" s="5" t="s">
        <v>11</v>
      </c>
    </row>
    <row r="16" customFormat="false" ht="15" hidden="false" customHeight="false" outlineLevel="0" collapsed="false">
      <c r="A16" s="4" t="s">
        <v>12</v>
      </c>
    </row>
    <row r="17" customFormat="false" ht="15" hidden="false" customHeight="false" outlineLevel="0" collapsed="false">
      <c r="A17" s="4" t="s">
        <v>13</v>
      </c>
    </row>
    <row r="18" customFormat="false" ht="15" hidden="false" customHeight="false" outlineLevel="0" collapsed="false">
      <c r="A18" s="4" t="s">
        <v>14</v>
      </c>
    </row>
    <row r="19" customFormat="false" ht="15" hidden="false" customHeight="false" outlineLevel="0" collapsed="false">
      <c r="A19" s="4" t="s">
        <v>15</v>
      </c>
    </row>
    <row r="20" customFormat="false" ht="15" hidden="false" customHeight="false" outlineLevel="0" collapsed="false">
      <c r="A20" s="4" t="s">
        <v>16</v>
      </c>
    </row>
    <row r="21" customFormat="false" ht="15" hidden="false" customHeight="false" outlineLevel="0" collapsed="false">
      <c r="A21" s="4" t="s">
        <v>17</v>
      </c>
    </row>
    <row r="22" customFormat="false" ht="15" hidden="false" customHeight="false" outlineLevel="0" collapsed="false">
      <c r="A22" s="4"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0"/>
    <col collapsed="false" customWidth="true" hidden="false" outlineLevel="0" max="2" min="2" style="1" width="14"/>
    <col collapsed="false" customWidth="true" hidden="false" outlineLevel="0" max="3" min="3" style="1" width="70"/>
  </cols>
  <sheetData>
    <row r="1" customFormat="false" ht="17.35" hidden="false" customHeight="false" outlineLevel="0" collapsed="false">
      <c r="A1" s="2" t="s">
        <v>19</v>
      </c>
    </row>
    <row r="2" customFormat="false" ht="15" hidden="false" customHeight="false" outlineLevel="0" collapsed="false">
      <c r="A2" s="4" t="s">
        <v>20</v>
      </c>
      <c r="B2" s="6" t="n">
        <v>30</v>
      </c>
      <c r="C2" s="3" t="s">
        <v>21</v>
      </c>
    </row>
    <row r="3" customFormat="false" ht="15" hidden="false" customHeight="false" outlineLevel="0" collapsed="false">
      <c r="A3" s="4" t="s">
        <v>22</v>
      </c>
      <c r="B3" s="6" t="n">
        <v>28</v>
      </c>
      <c r="C3" s="3" t="s">
        <v>23</v>
      </c>
    </row>
    <row r="4" customFormat="false" ht="15" hidden="false" customHeight="false" outlineLevel="0" collapsed="false">
      <c r="A4" s="4" t="s">
        <v>24</v>
      </c>
      <c r="B4" s="6" t="n">
        <v>12</v>
      </c>
      <c r="C4" s="3" t="s">
        <v>25</v>
      </c>
    </row>
    <row r="5" customFormat="false" ht="15" hidden="false" customHeight="false" outlineLevel="0" collapsed="false">
      <c r="A5" s="4" t="s">
        <v>26</v>
      </c>
      <c r="B5" s="6" t="n">
        <v>5</v>
      </c>
      <c r="C5" s="3" t="s">
        <v>27</v>
      </c>
    </row>
    <row r="6" customFormat="false" ht="15" hidden="false" customHeight="false" outlineLevel="0" collapsed="false">
      <c r="A6" s="4" t="s">
        <v>28</v>
      </c>
      <c r="B6" s="7" t="n">
        <v>60</v>
      </c>
      <c r="C6" s="3" t="s">
        <v>29</v>
      </c>
    </row>
    <row r="7" customFormat="false" ht="15" hidden="false" customHeight="false" outlineLevel="0" collapsed="false">
      <c r="A7" s="4" t="s">
        <v>30</v>
      </c>
      <c r="B7" s="6" t="n">
        <v>8</v>
      </c>
      <c r="C7" s="3" t="s">
        <v>31</v>
      </c>
    </row>
    <row r="8" customFormat="false" ht="15" hidden="false" customHeight="false" outlineLevel="0" collapsed="false">
      <c r="A8" s="4" t="s">
        <v>32</v>
      </c>
      <c r="B8" s="7" t="n">
        <v>75</v>
      </c>
      <c r="C8" s="3" t="s">
        <v>33</v>
      </c>
    </row>
    <row r="9" customFormat="false" ht="15" hidden="false" customHeight="false" outlineLevel="0" collapsed="false">
      <c r="A9" s="4" t="s">
        <v>34</v>
      </c>
      <c r="B9" s="7" t="n">
        <v>6</v>
      </c>
      <c r="C9" s="3"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1" width="22"/>
    <col collapsed="false" customWidth="true" hidden="false" outlineLevel="0" max="3" min="3" style="1" width="11"/>
    <col collapsed="false" customWidth="true" hidden="false" outlineLevel="0" max="5" min="4" style="1" width="12"/>
    <col collapsed="false" customWidth="true" hidden="false" outlineLevel="0" max="6" min="6" style="1" width="10"/>
    <col collapsed="false" customWidth="true" hidden="false" outlineLevel="0" max="7" min="7" style="1" width="15"/>
  </cols>
  <sheetData>
    <row r="1" customFormat="false" ht="17.35" hidden="false" customHeight="false" outlineLevel="0" collapsed="false">
      <c r="A1" s="2" t="s">
        <v>36</v>
      </c>
    </row>
    <row r="2" customFormat="false" ht="15" hidden="false" customHeight="false" outlineLevel="0" collapsed="false">
      <c r="A2" s="3" t="s">
        <v>37</v>
      </c>
    </row>
    <row r="4" customFormat="false" ht="26.85" hidden="false" customHeight="false" outlineLevel="0" collapsed="false">
      <c r="A4" s="8" t="s">
        <v>38</v>
      </c>
      <c r="B4" s="8" t="s">
        <v>39</v>
      </c>
      <c r="C4" s="8" t="s">
        <v>40</v>
      </c>
      <c r="D4" s="8" t="s">
        <v>41</v>
      </c>
      <c r="E4" s="8" t="s">
        <v>42</v>
      </c>
      <c r="F4" s="8" t="s">
        <v>43</v>
      </c>
      <c r="G4" s="8" t="s">
        <v>44</v>
      </c>
    </row>
    <row r="5" customFormat="false" ht="15" hidden="false" customHeight="false" outlineLevel="0" collapsed="false">
      <c r="A5" s="9" t="s">
        <v>45</v>
      </c>
      <c r="B5" s="9" t="s">
        <v>46</v>
      </c>
      <c r="C5" s="10" t="n">
        <v>0.12</v>
      </c>
      <c r="D5" s="11" t="n">
        <v>2.4</v>
      </c>
      <c r="E5" s="12" t="n">
        <f aca="false">IF(A5="","",ROUND(C5*D5,2))</f>
        <v>0.29</v>
      </c>
      <c r="F5" s="7" t="n">
        <v>1</v>
      </c>
      <c r="G5" s="12" t="n">
        <f aca="false">IF(OR(A5="",F5=""),"",ROUND(SUMIF($A$5:$A$44,A5,$E$5:$E$44)*(1+Settings!$B$5/100)/F5,2))</f>
        <v>1.16</v>
      </c>
    </row>
    <row r="6" customFormat="false" ht="15" hidden="false" customHeight="false" outlineLevel="0" collapsed="false">
      <c r="A6" s="9" t="s">
        <v>45</v>
      </c>
      <c r="B6" s="9" t="s">
        <v>47</v>
      </c>
      <c r="C6" s="10" t="n">
        <v>0.15</v>
      </c>
      <c r="D6" s="11" t="n">
        <v>3</v>
      </c>
      <c r="E6" s="12" t="n">
        <f aca="false">IF(A6="","",ROUND(C6*D6,2))</f>
        <v>0.45</v>
      </c>
      <c r="F6" s="13"/>
      <c r="G6" s="12" t="str">
        <f aca="false">IF(OR(A6="",F6=""),"",ROUND(SUMIF($A$5:$A$44,A6,$E$5:$E$44)*(1+Settings!$B$5/100)/F6,2))</f>
        <v/>
      </c>
    </row>
    <row r="7" customFormat="false" ht="15" hidden="false" customHeight="false" outlineLevel="0" collapsed="false">
      <c r="A7" s="9" t="s">
        <v>45</v>
      </c>
      <c r="B7" s="9" t="s">
        <v>48</v>
      </c>
      <c r="C7" s="10" t="n">
        <v>0.03</v>
      </c>
      <c r="D7" s="11" t="n">
        <v>12</v>
      </c>
      <c r="E7" s="12" t="n">
        <f aca="false">IF(A7="","",ROUND(C7*D7,2))</f>
        <v>0.36</v>
      </c>
      <c r="F7" s="13"/>
      <c r="G7" s="12" t="str">
        <f aca="false">IF(OR(A7="",F7=""),"",ROUND(SUMIF($A$5:$A$44,A7,$E$5:$E$44)*(1+Settings!$B$5/100)/F7,2))</f>
        <v/>
      </c>
    </row>
    <row r="8" customFormat="false" ht="15" hidden="false" customHeight="false" outlineLevel="0" collapsed="false">
      <c r="A8" s="9" t="s">
        <v>49</v>
      </c>
      <c r="B8" s="9" t="s">
        <v>50</v>
      </c>
      <c r="C8" s="10" t="n">
        <v>0.25</v>
      </c>
      <c r="D8" s="11" t="n">
        <v>28</v>
      </c>
      <c r="E8" s="12" t="n">
        <f aca="false">IF(A8="","",ROUND(C8*D8,2))</f>
        <v>7</v>
      </c>
      <c r="F8" s="7" t="n">
        <v>1</v>
      </c>
      <c r="G8" s="12" t="n">
        <f aca="false">IF(OR(A8="",F8=""),"",ROUND(SUMIF($A$5:$A$44,A8,$E$5:$E$44)*(1+Settings!$B$5/100)/F8,2))</f>
        <v>8.01</v>
      </c>
    </row>
    <row r="9" customFormat="false" ht="15" hidden="false" customHeight="false" outlineLevel="0" collapsed="false">
      <c r="A9" s="9" t="s">
        <v>49</v>
      </c>
      <c r="B9" s="9" t="s">
        <v>51</v>
      </c>
      <c r="C9" s="10" t="n">
        <v>0.3</v>
      </c>
      <c r="D9" s="11" t="n">
        <v>1.2</v>
      </c>
      <c r="E9" s="12" t="n">
        <f aca="false">IF(A9="","",ROUND(C9*D9,2))</f>
        <v>0.36</v>
      </c>
      <c r="F9" s="13"/>
      <c r="G9" s="12" t="str">
        <f aca="false">IF(OR(A9="",F9=""),"",ROUND(SUMIF($A$5:$A$44,A9,$E$5:$E$44)*(1+Settings!$B$5/100)/F9,2))</f>
        <v/>
      </c>
    </row>
    <row r="10" customFormat="false" ht="15" hidden="false" customHeight="false" outlineLevel="0" collapsed="false">
      <c r="A10" s="9" t="s">
        <v>49</v>
      </c>
      <c r="B10" s="9" t="s">
        <v>52</v>
      </c>
      <c r="C10" s="10" t="n">
        <v>0.03</v>
      </c>
      <c r="D10" s="11" t="n">
        <v>9</v>
      </c>
      <c r="E10" s="12" t="n">
        <f aca="false">IF(A10="","",ROUND(C10*D10,2))</f>
        <v>0.27</v>
      </c>
      <c r="F10" s="13"/>
      <c r="G10" s="12" t="str">
        <f aca="false">IF(OR(A10="",F10=""),"",ROUND(SUMIF($A$5:$A$44,A10,$E$5:$E$44)*(1+Settings!$B$5/100)/F10,2))</f>
        <v/>
      </c>
    </row>
    <row r="11" customFormat="false" ht="15" hidden="false" customHeight="false" outlineLevel="0" collapsed="false">
      <c r="A11" s="9"/>
      <c r="B11" s="9"/>
      <c r="C11" s="10"/>
      <c r="D11" s="14"/>
      <c r="E11" s="12" t="str">
        <f aca="false">IF(A11="","",ROUND(C11*D11,2))</f>
        <v/>
      </c>
      <c r="F11" s="13"/>
      <c r="G11" s="12" t="str">
        <f aca="false">IF(OR(A11="",F11=""),"",ROUND(SUMIF($A$5:$A$44,A11,$E$5:$E$44)*(1+Settings!$B$5/100)/F11,2))</f>
        <v/>
      </c>
    </row>
    <row r="12" customFormat="false" ht="15" hidden="false" customHeight="false" outlineLevel="0" collapsed="false">
      <c r="A12" s="9"/>
      <c r="B12" s="9"/>
      <c r="C12" s="10"/>
      <c r="D12" s="14"/>
      <c r="E12" s="12" t="str">
        <f aca="false">IF(A12="","",ROUND(C12*D12,2))</f>
        <v/>
      </c>
      <c r="F12" s="13"/>
      <c r="G12" s="12" t="str">
        <f aca="false">IF(OR(A12="",F12=""),"",ROUND(SUMIF($A$5:$A$44,A12,$E$5:$E$44)*(1+Settings!$B$5/100)/F12,2))</f>
        <v/>
      </c>
    </row>
    <row r="13" customFormat="false" ht="15" hidden="false" customHeight="false" outlineLevel="0" collapsed="false">
      <c r="A13" s="9"/>
      <c r="B13" s="9"/>
      <c r="C13" s="10"/>
      <c r="D13" s="14"/>
      <c r="E13" s="12" t="str">
        <f aca="false">IF(A13="","",ROUND(C13*D13,2))</f>
        <v/>
      </c>
      <c r="F13" s="13"/>
      <c r="G13" s="12" t="str">
        <f aca="false">IF(OR(A13="",F13=""),"",ROUND(SUMIF($A$5:$A$44,A13,$E$5:$E$44)*(1+Settings!$B$5/100)/F13,2))</f>
        <v/>
      </c>
    </row>
    <row r="14" customFormat="false" ht="15" hidden="false" customHeight="false" outlineLevel="0" collapsed="false">
      <c r="A14" s="9"/>
      <c r="B14" s="9"/>
      <c r="C14" s="10"/>
      <c r="D14" s="14"/>
      <c r="E14" s="12" t="str">
        <f aca="false">IF(A14="","",ROUND(C14*D14,2))</f>
        <v/>
      </c>
      <c r="F14" s="13"/>
      <c r="G14" s="12" t="str">
        <f aca="false">IF(OR(A14="",F14=""),"",ROUND(SUMIF($A$5:$A$44,A14,$E$5:$E$44)*(1+Settings!$B$5/100)/F14,2))</f>
        <v/>
      </c>
    </row>
    <row r="15" customFormat="false" ht="15" hidden="false" customHeight="false" outlineLevel="0" collapsed="false">
      <c r="A15" s="9"/>
      <c r="B15" s="9"/>
      <c r="C15" s="10"/>
      <c r="D15" s="14"/>
      <c r="E15" s="12" t="str">
        <f aca="false">IF(A15="","",ROUND(C15*D15,2))</f>
        <v/>
      </c>
      <c r="F15" s="13"/>
      <c r="G15" s="12" t="str">
        <f aca="false">IF(OR(A15="",F15=""),"",ROUND(SUMIF($A$5:$A$44,A15,$E$5:$E$44)*(1+Settings!$B$5/100)/F15,2))</f>
        <v/>
      </c>
    </row>
    <row r="16" customFormat="false" ht="15" hidden="false" customHeight="false" outlineLevel="0" collapsed="false">
      <c r="A16" s="9"/>
      <c r="B16" s="9"/>
      <c r="C16" s="10"/>
      <c r="D16" s="14"/>
      <c r="E16" s="12" t="str">
        <f aca="false">IF(A16="","",ROUND(C16*D16,2))</f>
        <v/>
      </c>
      <c r="F16" s="13"/>
      <c r="G16" s="12" t="str">
        <f aca="false">IF(OR(A16="",F16=""),"",ROUND(SUMIF($A$5:$A$44,A16,$E$5:$E$44)*(1+Settings!$B$5/100)/F16,2))</f>
        <v/>
      </c>
    </row>
    <row r="17" customFormat="false" ht="15" hidden="false" customHeight="false" outlineLevel="0" collapsed="false">
      <c r="A17" s="9"/>
      <c r="B17" s="9"/>
      <c r="C17" s="10"/>
      <c r="D17" s="14"/>
      <c r="E17" s="12" t="str">
        <f aca="false">IF(A17="","",ROUND(C17*D17,2))</f>
        <v/>
      </c>
      <c r="F17" s="13"/>
      <c r="G17" s="12" t="str">
        <f aca="false">IF(OR(A17="",F17=""),"",ROUND(SUMIF($A$5:$A$44,A17,$E$5:$E$44)*(1+Settings!$B$5/100)/F17,2))</f>
        <v/>
      </c>
    </row>
    <row r="18" customFormat="false" ht="15" hidden="false" customHeight="false" outlineLevel="0" collapsed="false">
      <c r="A18" s="9"/>
      <c r="B18" s="9"/>
      <c r="C18" s="10"/>
      <c r="D18" s="14"/>
      <c r="E18" s="12" t="str">
        <f aca="false">IF(A18="","",ROUND(C18*D18,2))</f>
        <v/>
      </c>
      <c r="F18" s="13"/>
      <c r="G18" s="12" t="str">
        <f aca="false">IF(OR(A18="",F18=""),"",ROUND(SUMIF($A$5:$A$44,A18,$E$5:$E$44)*(1+Settings!$B$5/100)/F18,2))</f>
        <v/>
      </c>
    </row>
    <row r="19" customFormat="false" ht="15" hidden="false" customHeight="false" outlineLevel="0" collapsed="false">
      <c r="A19" s="9"/>
      <c r="B19" s="9"/>
      <c r="C19" s="10"/>
      <c r="D19" s="14"/>
      <c r="E19" s="12" t="str">
        <f aca="false">IF(A19="","",ROUND(C19*D19,2))</f>
        <v/>
      </c>
      <c r="F19" s="13"/>
      <c r="G19" s="12" t="str">
        <f aca="false">IF(OR(A19="",F19=""),"",ROUND(SUMIF($A$5:$A$44,A19,$E$5:$E$44)*(1+Settings!$B$5/100)/F19,2))</f>
        <v/>
      </c>
    </row>
    <row r="20" customFormat="false" ht="15" hidden="false" customHeight="false" outlineLevel="0" collapsed="false">
      <c r="A20" s="9"/>
      <c r="B20" s="9"/>
      <c r="C20" s="10"/>
      <c r="D20" s="14"/>
      <c r="E20" s="12" t="str">
        <f aca="false">IF(A20="","",ROUND(C20*D20,2))</f>
        <v/>
      </c>
      <c r="F20" s="13"/>
      <c r="G20" s="12" t="str">
        <f aca="false">IF(OR(A20="",F20=""),"",ROUND(SUMIF($A$5:$A$44,A20,$E$5:$E$44)*(1+Settings!$B$5/100)/F20,2))</f>
        <v/>
      </c>
    </row>
    <row r="21" customFormat="false" ht="15" hidden="false" customHeight="false" outlineLevel="0" collapsed="false">
      <c r="A21" s="9"/>
      <c r="B21" s="9"/>
      <c r="C21" s="10"/>
      <c r="D21" s="14"/>
      <c r="E21" s="12" t="str">
        <f aca="false">IF(A21="","",ROUND(C21*D21,2))</f>
        <v/>
      </c>
      <c r="F21" s="13"/>
      <c r="G21" s="12" t="str">
        <f aca="false">IF(OR(A21="",F21=""),"",ROUND(SUMIF($A$5:$A$44,A21,$E$5:$E$44)*(1+Settings!$B$5/100)/F21,2))</f>
        <v/>
      </c>
    </row>
    <row r="22" customFormat="false" ht="15" hidden="false" customHeight="false" outlineLevel="0" collapsed="false">
      <c r="A22" s="9"/>
      <c r="B22" s="9"/>
      <c r="C22" s="10"/>
      <c r="D22" s="14"/>
      <c r="E22" s="12" t="str">
        <f aca="false">IF(A22="","",ROUND(C22*D22,2))</f>
        <v/>
      </c>
      <c r="F22" s="13"/>
      <c r="G22" s="12" t="str">
        <f aca="false">IF(OR(A22="",F22=""),"",ROUND(SUMIF($A$5:$A$44,A22,$E$5:$E$44)*(1+Settings!$B$5/100)/F22,2))</f>
        <v/>
      </c>
    </row>
    <row r="23" customFormat="false" ht="15" hidden="false" customHeight="false" outlineLevel="0" collapsed="false">
      <c r="A23" s="9"/>
      <c r="B23" s="9"/>
      <c r="C23" s="10"/>
      <c r="D23" s="14"/>
      <c r="E23" s="12" t="str">
        <f aca="false">IF(A23="","",ROUND(C23*D23,2))</f>
        <v/>
      </c>
      <c r="F23" s="13"/>
      <c r="G23" s="12" t="str">
        <f aca="false">IF(OR(A23="",F23=""),"",ROUND(SUMIF($A$5:$A$44,A23,$E$5:$E$44)*(1+Settings!$B$5/100)/F23,2))</f>
        <v/>
      </c>
    </row>
    <row r="24" customFormat="false" ht="15" hidden="false" customHeight="false" outlineLevel="0" collapsed="false">
      <c r="A24" s="9"/>
      <c r="B24" s="9"/>
      <c r="C24" s="10"/>
      <c r="D24" s="14"/>
      <c r="E24" s="12" t="str">
        <f aca="false">IF(A24="","",ROUND(C24*D24,2))</f>
        <v/>
      </c>
      <c r="F24" s="13"/>
      <c r="G24" s="12" t="str">
        <f aca="false">IF(OR(A24="",F24=""),"",ROUND(SUMIF($A$5:$A$44,A24,$E$5:$E$44)*(1+Settings!$B$5/100)/F24,2))</f>
        <v/>
      </c>
    </row>
    <row r="25" customFormat="false" ht="15" hidden="false" customHeight="false" outlineLevel="0" collapsed="false">
      <c r="A25" s="9"/>
      <c r="B25" s="9"/>
      <c r="C25" s="10"/>
      <c r="D25" s="14"/>
      <c r="E25" s="12" t="str">
        <f aca="false">IF(A25="","",ROUND(C25*D25,2))</f>
        <v/>
      </c>
      <c r="F25" s="13"/>
      <c r="G25" s="12" t="str">
        <f aca="false">IF(OR(A25="",F25=""),"",ROUND(SUMIF($A$5:$A$44,A25,$E$5:$E$44)*(1+Settings!$B$5/100)/F25,2))</f>
        <v/>
      </c>
    </row>
    <row r="26" customFormat="false" ht="15" hidden="false" customHeight="false" outlineLevel="0" collapsed="false">
      <c r="A26" s="9"/>
      <c r="B26" s="9"/>
      <c r="C26" s="10"/>
      <c r="D26" s="14"/>
      <c r="E26" s="12" t="str">
        <f aca="false">IF(A26="","",ROUND(C26*D26,2))</f>
        <v/>
      </c>
      <c r="F26" s="13"/>
      <c r="G26" s="12" t="str">
        <f aca="false">IF(OR(A26="",F26=""),"",ROUND(SUMIF($A$5:$A$44,A26,$E$5:$E$44)*(1+Settings!$B$5/100)/F26,2))</f>
        <v/>
      </c>
    </row>
    <row r="27" customFormat="false" ht="15" hidden="false" customHeight="false" outlineLevel="0" collapsed="false">
      <c r="A27" s="9"/>
      <c r="B27" s="9"/>
      <c r="C27" s="10"/>
      <c r="D27" s="14"/>
      <c r="E27" s="12" t="str">
        <f aca="false">IF(A27="","",ROUND(C27*D27,2))</f>
        <v/>
      </c>
      <c r="F27" s="13"/>
      <c r="G27" s="12" t="str">
        <f aca="false">IF(OR(A27="",F27=""),"",ROUND(SUMIF($A$5:$A$44,A27,$E$5:$E$44)*(1+Settings!$B$5/100)/F27,2))</f>
        <v/>
      </c>
    </row>
    <row r="28" customFormat="false" ht="15" hidden="false" customHeight="false" outlineLevel="0" collapsed="false">
      <c r="A28" s="9"/>
      <c r="B28" s="9"/>
      <c r="C28" s="10"/>
      <c r="D28" s="14"/>
      <c r="E28" s="12" t="str">
        <f aca="false">IF(A28="","",ROUND(C28*D28,2))</f>
        <v/>
      </c>
      <c r="F28" s="13"/>
      <c r="G28" s="12" t="str">
        <f aca="false">IF(OR(A28="",F28=""),"",ROUND(SUMIF($A$5:$A$44,A28,$E$5:$E$44)*(1+Settings!$B$5/100)/F28,2))</f>
        <v/>
      </c>
    </row>
    <row r="29" customFormat="false" ht="15" hidden="false" customHeight="false" outlineLevel="0" collapsed="false">
      <c r="A29" s="9"/>
      <c r="B29" s="9"/>
      <c r="C29" s="10"/>
      <c r="D29" s="14"/>
      <c r="E29" s="12" t="str">
        <f aca="false">IF(A29="","",ROUND(C29*D29,2))</f>
        <v/>
      </c>
      <c r="F29" s="13"/>
      <c r="G29" s="12" t="str">
        <f aca="false">IF(OR(A29="",F29=""),"",ROUND(SUMIF($A$5:$A$44,A29,$E$5:$E$44)*(1+Settings!$B$5/100)/F29,2))</f>
        <v/>
      </c>
    </row>
    <row r="30" customFormat="false" ht="15" hidden="false" customHeight="false" outlineLevel="0" collapsed="false">
      <c r="A30" s="9"/>
      <c r="B30" s="9"/>
      <c r="C30" s="10"/>
      <c r="D30" s="14"/>
      <c r="E30" s="12" t="str">
        <f aca="false">IF(A30="","",ROUND(C30*D30,2))</f>
        <v/>
      </c>
      <c r="F30" s="13"/>
      <c r="G30" s="12" t="str">
        <f aca="false">IF(OR(A30="",F30=""),"",ROUND(SUMIF($A$5:$A$44,A30,$E$5:$E$44)*(1+Settings!$B$5/100)/F30,2))</f>
        <v/>
      </c>
    </row>
    <row r="31" customFormat="false" ht="15" hidden="false" customHeight="false" outlineLevel="0" collapsed="false">
      <c r="A31" s="9"/>
      <c r="B31" s="9"/>
      <c r="C31" s="10"/>
      <c r="D31" s="14"/>
      <c r="E31" s="12" t="str">
        <f aca="false">IF(A31="","",ROUND(C31*D31,2))</f>
        <v/>
      </c>
      <c r="F31" s="13"/>
      <c r="G31" s="12" t="str">
        <f aca="false">IF(OR(A31="",F31=""),"",ROUND(SUMIF($A$5:$A$44,A31,$E$5:$E$44)*(1+Settings!$B$5/100)/F31,2))</f>
        <v/>
      </c>
    </row>
    <row r="32" customFormat="false" ht="15" hidden="false" customHeight="false" outlineLevel="0" collapsed="false">
      <c r="A32" s="9"/>
      <c r="B32" s="9"/>
      <c r="C32" s="10"/>
      <c r="D32" s="14"/>
      <c r="E32" s="12" t="str">
        <f aca="false">IF(A32="","",ROUND(C32*D32,2))</f>
        <v/>
      </c>
      <c r="F32" s="13"/>
      <c r="G32" s="12" t="str">
        <f aca="false">IF(OR(A32="",F32=""),"",ROUND(SUMIF($A$5:$A$44,A32,$E$5:$E$44)*(1+Settings!$B$5/100)/F32,2))</f>
        <v/>
      </c>
    </row>
    <row r="33" customFormat="false" ht="15" hidden="false" customHeight="false" outlineLevel="0" collapsed="false">
      <c r="A33" s="9"/>
      <c r="B33" s="9"/>
      <c r="C33" s="10"/>
      <c r="D33" s="14"/>
      <c r="E33" s="12" t="str">
        <f aca="false">IF(A33="","",ROUND(C33*D33,2))</f>
        <v/>
      </c>
      <c r="F33" s="13"/>
      <c r="G33" s="12" t="str">
        <f aca="false">IF(OR(A33="",F33=""),"",ROUND(SUMIF($A$5:$A$44,A33,$E$5:$E$44)*(1+Settings!$B$5/100)/F33,2))</f>
        <v/>
      </c>
    </row>
    <row r="34" customFormat="false" ht="15" hidden="false" customHeight="false" outlineLevel="0" collapsed="false">
      <c r="A34" s="9"/>
      <c r="B34" s="9"/>
      <c r="C34" s="10"/>
      <c r="D34" s="14"/>
      <c r="E34" s="12" t="str">
        <f aca="false">IF(A34="","",ROUND(C34*D34,2))</f>
        <v/>
      </c>
      <c r="F34" s="13"/>
      <c r="G34" s="12" t="str">
        <f aca="false">IF(OR(A34="",F34=""),"",ROUND(SUMIF($A$5:$A$44,A34,$E$5:$E$44)*(1+Settings!$B$5/100)/F34,2))</f>
        <v/>
      </c>
    </row>
    <row r="35" customFormat="false" ht="15" hidden="false" customHeight="false" outlineLevel="0" collapsed="false">
      <c r="A35" s="9"/>
      <c r="B35" s="9"/>
      <c r="C35" s="10"/>
      <c r="D35" s="14"/>
      <c r="E35" s="12" t="str">
        <f aca="false">IF(A35="","",ROUND(C35*D35,2))</f>
        <v/>
      </c>
      <c r="F35" s="13"/>
      <c r="G35" s="12" t="str">
        <f aca="false">IF(OR(A35="",F35=""),"",ROUND(SUMIF($A$5:$A$44,A35,$E$5:$E$44)*(1+Settings!$B$5/100)/F35,2))</f>
        <v/>
      </c>
    </row>
    <row r="36" customFormat="false" ht="15" hidden="false" customHeight="false" outlineLevel="0" collapsed="false">
      <c r="A36" s="9"/>
      <c r="B36" s="9"/>
      <c r="C36" s="10"/>
      <c r="D36" s="14"/>
      <c r="E36" s="12" t="str">
        <f aca="false">IF(A36="","",ROUND(C36*D36,2))</f>
        <v/>
      </c>
      <c r="F36" s="13"/>
      <c r="G36" s="12" t="str">
        <f aca="false">IF(OR(A36="",F36=""),"",ROUND(SUMIF($A$5:$A$44,A36,$E$5:$E$44)*(1+Settings!$B$5/100)/F36,2))</f>
        <v/>
      </c>
    </row>
    <row r="37" customFormat="false" ht="15" hidden="false" customHeight="false" outlineLevel="0" collapsed="false">
      <c r="A37" s="9"/>
      <c r="B37" s="9"/>
      <c r="C37" s="10"/>
      <c r="D37" s="14"/>
      <c r="E37" s="12" t="str">
        <f aca="false">IF(A37="","",ROUND(C37*D37,2))</f>
        <v/>
      </c>
      <c r="F37" s="13"/>
      <c r="G37" s="12" t="str">
        <f aca="false">IF(OR(A37="",F37=""),"",ROUND(SUMIF($A$5:$A$44,A37,$E$5:$E$44)*(1+Settings!$B$5/100)/F37,2))</f>
        <v/>
      </c>
    </row>
    <row r="38" customFormat="false" ht="15" hidden="false" customHeight="false" outlineLevel="0" collapsed="false">
      <c r="A38" s="9"/>
      <c r="B38" s="9"/>
      <c r="C38" s="10"/>
      <c r="D38" s="14"/>
      <c r="E38" s="12" t="str">
        <f aca="false">IF(A38="","",ROUND(C38*D38,2))</f>
        <v/>
      </c>
      <c r="F38" s="13"/>
      <c r="G38" s="12" t="str">
        <f aca="false">IF(OR(A38="",F38=""),"",ROUND(SUMIF($A$5:$A$44,A38,$E$5:$E$44)*(1+Settings!$B$5/100)/F38,2))</f>
        <v/>
      </c>
    </row>
    <row r="39" customFormat="false" ht="15" hidden="false" customHeight="false" outlineLevel="0" collapsed="false">
      <c r="A39" s="9"/>
      <c r="B39" s="9"/>
      <c r="C39" s="10"/>
      <c r="D39" s="14"/>
      <c r="E39" s="12" t="str">
        <f aca="false">IF(A39="","",ROUND(C39*D39,2))</f>
        <v/>
      </c>
      <c r="F39" s="13"/>
      <c r="G39" s="12" t="str">
        <f aca="false">IF(OR(A39="",F39=""),"",ROUND(SUMIF($A$5:$A$44,A39,$E$5:$E$44)*(1+Settings!$B$5/100)/F39,2))</f>
        <v/>
      </c>
    </row>
    <row r="40" customFormat="false" ht="15" hidden="false" customHeight="false" outlineLevel="0" collapsed="false">
      <c r="A40" s="9"/>
      <c r="B40" s="9"/>
      <c r="C40" s="10"/>
      <c r="D40" s="14"/>
      <c r="E40" s="12" t="str">
        <f aca="false">IF(A40="","",ROUND(C40*D40,2))</f>
        <v/>
      </c>
      <c r="F40" s="13"/>
      <c r="G40" s="12" t="str">
        <f aca="false">IF(OR(A40="",F40=""),"",ROUND(SUMIF($A$5:$A$44,A40,$E$5:$E$44)*(1+Settings!$B$5/100)/F40,2))</f>
        <v/>
      </c>
    </row>
    <row r="41" customFormat="false" ht="15" hidden="false" customHeight="false" outlineLevel="0" collapsed="false">
      <c r="A41" s="9"/>
      <c r="B41" s="9"/>
      <c r="C41" s="10"/>
      <c r="D41" s="14"/>
      <c r="E41" s="12" t="str">
        <f aca="false">IF(A41="","",ROUND(C41*D41,2))</f>
        <v/>
      </c>
      <c r="F41" s="13"/>
      <c r="G41" s="12" t="str">
        <f aca="false">IF(OR(A41="",F41=""),"",ROUND(SUMIF($A$5:$A$44,A41,$E$5:$E$44)*(1+Settings!$B$5/100)/F41,2))</f>
        <v/>
      </c>
    </row>
    <row r="42" customFormat="false" ht="15" hidden="false" customHeight="false" outlineLevel="0" collapsed="false">
      <c r="A42" s="9"/>
      <c r="B42" s="9"/>
      <c r="C42" s="10"/>
      <c r="D42" s="14"/>
      <c r="E42" s="12" t="str">
        <f aca="false">IF(A42="","",ROUND(C42*D42,2))</f>
        <v/>
      </c>
      <c r="F42" s="13"/>
      <c r="G42" s="12" t="str">
        <f aca="false">IF(OR(A42="",F42=""),"",ROUND(SUMIF($A$5:$A$44,A42,$E$5:$E$44)*(1+Settings!$B$5/100)/F42,2))</f>
        <v/>
      </c>
    </row>
    <row r="43" customFormat="false" ht="15" hidden="false" customHeight="false" outlineLevel="0" collapsed="false">
      <c r="A43" s="9"/>
      <c r="B43" s="9"/>
      <c r="C43" s="10"/>
      <c r="D43" s="14"/>
      <c r="E43" s="12" t="str">
        <f aca="false">IF(A43="","",ROUND(C43*D43,2))</f>
        <v/>
      </c>
      <c r="F43" s="13"/>
      <c r="G43" s="12" t="str">
        <f aca="false">IF(OR(A43="",F43=""),"",ROUND(SUMIF($A$5:$A$44,A43,$E$5:$E$44)*(1+Settings!$B$5/100)/F43,2))</f>
        <v/>
      </c>
    </row>
    <row r="44" customFormat="false" ht="15" hidden="false" customHeight="false" outlineLevel="0" collapsed="false">
      <c r="A44" s="9"/>
      <c r="B44" s="9"/>
      <c r="C44" s="10"/>
      <c r="D44" s="14"/>
      <c r="E44" s="12" t="str">
        <f aca="false">IF(A44="","",ROUND(C44*D44,2))</f>
        <v/>
      </c>
      <c r="F44" s="13"/>
      <c r="G44" s="12" t="str">
        <f aca="false">IF(OR(A44="",F44=""),"",ROUND(SUMIF($A$5:$A$44,A44,$E$5:$E$44)*(1+Settings!$B$5/100)/F44,2))</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13"/>
    <col collapsed="false" customWidth="true" hidden="false" outlineLevel="0" max="5" min="3" style="1" width="12"/>
    <col collapsed="false" customWidth="true" hidden="false" outlineLevel="0" max="6" min="6" style="1" width="15"/>
    <col collapsed="false" customWidth="true" hidden="false" outlineLevel="0" max="7" min="7" style="1" width="12"/>
    <col collapsed="false" customWidth="true" hidden="false" outlineLevel="0" max="9" min="8" style="1" width="14"/>
    <col collapsed="false" customWidth="true" hidden="false" outlineLevel="0" max="10" min="10" style="1" width="15"/>
  </cols>
  <sheetData>
    <row r="1" customFormat="false" ht="17.35" hidden="false" customHeight="false" outlineLevel="0" collapsed="false">
      <c r="A1" s="2" t="s">
        <v>53</v>
      </c>
    </row>
    <row r="2" customFormat="false" ht="15" hidden="false" customHeight="false" outlineLevel="0" collapsed="false">
      <c r="A2" s="3" t="s">
        <v>54</v>
      </c>
    </row>
    <row r="4" customFormat="false" ht="26.85" hidden="false" customHeight="false" outlineLevel="0" collapsed="false">
      <c r="A4" s="8" t="s">
        <v>55</v>
      </c>
      <c r="B4" s="8" t="s">
        <v>44</v>
      </c>
      <c r="C4" s="8" t="s">
        <v>56</v>
      </c>
      <c r="D4" s="8" t="s">
        <v>57</v>
      </c>
      <c r="E4" s="8" t="s">
        <v>58</v>
      </c>
      <c r="F4" s="8" t="s">
        <v>59</v>
      </c>
      <c r="G4" s="8" t="s">
        <v>60</v>
      </c>
      <c r="H4" s="8" t="s">
        <v>61</v>
      </c>
      <c r="I4" s="8" t="s">
        <v>62</v>
      </c>
      <c r="J4" s="8" t="s">
        <v>63</v>
      </c>
    </row>
    <row r="5" customFormat="false" ht="15" hidden="false" customHeight="false" outlineLevel="0" collapsed="false">
      <c r="A5" s="9" t="s">
        <v>45</v>
      </c>
      <c r="B5" s="14" t="n">
        <f aca="false">IF(A5="","",IFERROR(INDEX(Recipes!$G$5:$G$44,MATCH(A5,Recipes!$A$5:$A$44,0)),""))</f>
        <v>1.16</v>
      </c>
      <c r="C5" s="11" t="n">
        <v>12.5</v>
      </c>
      <c r="D5" s="15" t="n">
        <f aca="false">IF(A5="","",IFERROR(ROUND(B5/C5*100,2),""))</f>
        <v>9.28</v>
      </c>
      <c r="E5" s="12" t="n">
        <f aca="false">IF(A5="","",IFERROR(C5-B5,""))</f>
        <v>11.34</v>
      </c>
      <c r="F5" s="12" t="n">
        <f aca="false">IF(A5="","",IFERROR(ROUND(B5/(Settings!$B$2/100),2),""))</f>
        <v>3.87</v>
      </c>
      <c r="G5" s="7" t="n">
        <v>180</v>
      </c>
      <c r="H5" s="12" t="n">
        <f aca="false">IF(A5="","",IFERROR(ROUND(B5*G5,2),""))</f>
        <v>208.8</v>
      </c>
      <c r="I5" s="12" t="n">
        <f aca="false">IF(A5="","",IFERROR(ROUND(C5*G5,2),""))</f>
        <v>2250</v>
      </c>
      <c r="J5" s="12" t="n">
        <f aca="false">IF(A5="","",IFERROR(I5-H5,""))</f>
        <v>2041.2</v>
      </c>
    </row>
    <row r="6" customFormat="false" ht="15" hidden="false" customHeight="false" outlineLevel="0" collapsed="false">
      <c r="A6" s="9" t="s">
        <v>49</v>
      </c>
      <c r="B6" s="14" t="n">
        <f aca="false">IF(A6="","",IFERROR(INDEX(Recipes!$G$5:$G$44,MATCH(A6,Recipes!$A$5:$A$44,0)),""))</f>
        <v>8.01</v>
      </c>
      <c r="C6" s="11" t="n">
        <v>24</v>
      </c>
      <c r="D6" s="15" t="n">
        <f aca="false">IF(A6="","",IFERROR(ROUND(B6/C6*100,2),""))</f>
        <v>33.38</v>
      </c>
      <c r="E6" s="12" t="n">
        <f aca="false">IF(A6="","",IFERROR(C6-B6,""))</f>
        <v>15.99</v>
      </c>
      <c r="F6" s="12" t="n">
        <f aca="false">IF(A6="","",IFERROR(ROUND(B6/(Settings!$B$2/100),2),""))</f>
        <v>26.7</v>
      </c>
      <c r="G6" s="7" t="n">
        <v>60</v>
      </c>
      <c r="H6" s="12" t="n">
        <f aca="false">IF(A6="","",IFERROR(ROUND(B6*G6,2),""))</f>
        <v>480.6</v>
      </c>
      <c r="I6" s="12" t="n">
        <f aca="false">IF(A6="","",IFERROR(ROUND(C6*G6,2),""))</f>
        <v>1440</v>
      </c>
      <c r="J6" s="12" t="n">
        <f aca="false">IF(A6="","",IFERROR(I6-H6,""))</f>
        <v>959.4</v>
      </c>
    </row>
    <row r="7" customFormat="false" ht="15" hidden="false" customHeight="false" outlineLevel="0" collapsed="false">
      <c r="A7" s="9" t="s">
        <v>64</v>
      </c>
      <c r="B7" s="14" t="n">
        <v>1.8</v>
      </c>
      <c r="C7" s="11" t="n">
        <v>7.5</v>
      </c>
      <c r="D7" s="15" t="n">
        <f aca="false">IF(A7="","",IFERROR(ROUND(B7/C7*100,2),""))</f>
        <v>24</v>
      </c>
      <c r="E7" s="12" t="n">
        <f aca="false">IF(A7="","",IFERROR(C7-B7,""))</f>
        <v>5.7</v>
      </c>
      <c r="F7" s="12" t="n">
        <f aca="false">IF(A7="","",IFERROR(ROUND(B7/(Settings!$B$2/100),2),""))</f>
        <v>6</v>
      </c>
      <c r="G7" s="7" t="n">
        <v>90</v>
      </c>
      <c r="H7" s="12" t="n">
        <f aca="false">IF(A7="","",IFERROR(ROUND(B7*G7,2),""))</f>
        <v>162</v>
      </c>
      <c r="I7" s="12" t="n">
        <f aca="false">IF(A7="","",IFERROR(ROUND(C7*G7,2),""))</f>
        <v>675</v>
      </c>
      <c r="J7" s="12" t="n">
        <f aca="false">IF(A7="","",IFERROR(I7-H7,""))</f>
        <v>513</v>
      </c>
    </row>
    <row r="8" customFormat="false" ht="15" hidden="false" customHeight="false" outlineLevel="0" collapsed="false">
      <c r="A8" s="9"/>
      <c r="B8" s="14" t="str">
        <f aca="false">IF(A8="","",IFERROR(INDEX(Recipes!$G$5:$G$44,MATCH(A8,Recipes!$A$5:$A$44,0)),""))</f>
        <v/>
      </c>
      <c r="C8" s="14"/>
      <c r="D8" s="15" t="str">
        <f aca="false">IF(A8="","",IFERROR(ROUND(B8/C8*100,2),""))</f>
        <v/>
      </c>
      <c r="E8" s="12" t="str">
        <f aca="false">IF(A8="","",IFERROR(C8-B8,""))</f>
        <v/>
      </c>
      <c r="F8" s="12" t="str">
        <f aca="false">IF(A8="","",IFERROR(ROUND(B8/(Settings!$B$2/100),2),""))</f>
        <v/>
      </c>
      <c r="G8" s="13"/>
      <c r="H8" s="12" t="str">
        <f aca="false">IF(A8="","",IFERROR(ROUND(B8*G8,2),""))</f>
        <v/>
      </c>
      <c r="I8" s="12" t="str">
        <f aca="false">IF(A8="","",IFERROR(ROUND(C8*G8,2),""))</f>
        <v/>
      </c>
      <c r="J8" s="12" t="str">
        <f aca="false">IF(A8="","",IFERROR(I8-H8,""))</f>
        <v/>
      </c>
    </row>
    <row r="9" customFormat="false" ht="15" hidden="false" customHeight="false" outlineLevel="0" collapsed="false">
      <c r="A9" s="9"/>
      <c r="B9" s="14" t="str">
        <f aca="false">IF(A9="","",IFERROR(INDEX(Recipes!$G$5:$G$44,MATCH(A9,Recipes!$A$5:$A$44,0)),""))</f>
        <v/>
      </c>
      <c r="C9" s="14"/>
      <c r="D9" s="15" t="str">
        <f aca="false">IF(A9="","",IFERROR(ROUND(B9/C9*100,2),""))</f>
        <v/>
      </c>
      <c r="E9" s="12" t="str">
        <f aca="false">IF(A9="","",IFERROR(C9-B9,""))</f>
        <v/>
      </c>
      <c r="F9" s="12" t="str">
        <f aca="false">IF(A9="","",IFERROR(ROUND(B9/(Settings!$B$2/100),2),""))</f>
        <v/>
      </c>
      <c r="G9" s="13"/>
      <c r="H9" s="12" t="str">
        <f aca="false">IF(A9="","",IFERROR(ROUND(B9*G9,2),""))</f>
        <v/>
      </c>
      <c r="I9" s="12" t="str">
        <f aca="false">IF(A9="","",IFERROR(ROUND(C9*G9,2),""))</f>
        <v/>
      </c>
      <c r="J9" s="12" t="str">
        <f aca="false">IF(A9="","",IFERROR(I9-H9,""))</f>
        <v/>
      </c>
    </row>
    <row r="10" customFormat="false" ht="15" hidden="false" customHeight="false" outlineLevel="0" collapsed="false">
      <c r="A10" s="9"/>
      <c r="B10" s="14" t="str">
        <f aca="false">IF(A10="","",IFERROR(INDEX(Recipes!$G$5:$G$44,MATCH(A10,Recipes!$A$5:$A$44,0)),""))</f>
        <v/>
      </c>
      <c r="C10" s="14"/>
      <c r="D10" s="15" t="str">
        <f aca="false">IF(A10="","",IFERROR(ROUND(B10/C10*100,2),""))</f>
        <v/>
      </c>
      <c r="E10" s="12" t="str">
        <f aca="false">IF(A10="","",IFERROR(C10-B10,""))</f>
        <v/>
      </c>
      <c r="F10" s="12" t="str">
        <f aca="false">IF(A10="","",IFERROR(ROUND(B10/(Settings!$B$2/100),2),""))</f>
        <v/>
      </c>
      <c r="G10" s="13"/>
      <c r="H10" s="12" t="str">
        <f aca="false">IF(A10="","",IFERROR(ROUND(B10*G10,2),""))</f>
        <v/>
      </c>
      <c r="I10" s="12" t="str">
        <f aca="false">IF(A10="","",IFERROR(ROUND(C10*G10,2),""))</f>
        <v/>
      </c>
      <c r="J10" s="12" t="str">
        <f aca="false">IF(A10="","",IFERROR(I10-H10,""))</f>
        <v/>
      </c>
    </row>
    <row r="11" customFormat="false" ht="15" hidden="false" customHeight="false" outlineLevel="0" collapsed="false">
      <c r="A11" s="9"/>
      <c r="B11" s="14" t="str">
        <f aca="false">IF(A11="","",IFERROR(INDEX(Recipes!$G$5:$G$44,MATCH(A11,Recipes!$A$5:$A$44,0)),""))</f>
        <v/>
      </c>
      <c r="C11" s="14"/>
      <c r="D11" s="15" t="str">
        <f aca="false">IF(A11="","",IFERROR(ROUND(B11/C11*100,2),""))</f>
        <v/>
      </c>
      <c r="E11" s="12" t="str">
        <f aca="false">IF(A11="","",IFERROR(C11-B11,""))</f>
        <v/>
      </c>
      <c r="F11" s="12" t="str">
        <f aca="false">IF(A11="","",IFERROR(ROUND(B11/(Settings!$B$2/100),2),""))</f>
        <v/>
      </c>
      <c r="G11" s="13"/>
      <c r="H11" s="12" t="str">
        <f aca="false">IF(A11="","",IFERROR(ROUND(B11*G11,2),""))</f>
        <v/>
      </c>
      <c r="I11" s="12" t="str">
        <f aca="false">IF(A11="","",IFERROR(ROUND(C11*G11,2),""))</f>
        <v/>
      </c>
      <c r="J11" s="12" t="str">
        <f aca="false">IF(A11="","",IFERROR(I11-H11,""))</f>
        <v/>
      </c>
    </row>
    <row r="12" customFormat="false" ht="15" hidden="false" customHeight="false" outlineLevel="0" collapsed="false">
      <c r="A12" s="9"/>
      <c r="B12" s="14" t="str">
        <f aca="false">IF(A12="","",IFERROR(INDEX(Recipes!$G$5:$G$44,MATCH(A12,Recipes!$A$5:$A$44,0)),""))</f>
        <v/>
      </c>
      <c r="C12" s="14"/>
      <c r="D12" s="15" t="str">
        <f aca="false">IF(A12="","",IFERROR(ROUND(B12/C12*100,2),""))</f>
        <v/>
      </c>
      <c r="E12" s="12" t="str">
        <f aca="false">IF(A12="","",IFERROR(C12-B12,""))</f>
        <v/>
      </c>
      <c r="F12" s="12" t="str">
        <f aca="false">IF(A12="","",IFERROR(ROUND(B12/(Settings!$B$2/100),2),""))</f>
        <v/>
      </c>
      <c r="G12" s="13"/>
      <c r="H12" s="12" t="str">
        <f aca="false">IF(A12="","",IFERROR(ROUND(B12*G12,2),""))</f>
        <v/>
      </c>
      <c r="I12" s="12" t="str">
        <f aca="false">IF(A12="","",IFERROR(ROUND(C12*G12,2),""))</f>
        <v/>
      </c>
      <c r="J12" s="12" t="str">
        <f aca="false">IF(A12="","",IFERROR(I12-H12,""))</f>
        <v/>
      </c>
    </row>
    <row r="13" customFormat="false" ht="15" hidden="false" customHeight="false" outlineLevel="0" collapsed="false">
      <c r="A13" s="9"/>
      <c r="B13" s="14" t="str">
        <f aca="false">IF(A13="","",IFERROR(INDEX(Recipes!$G$5:$G$44,MATCH(A13,Recipes!$A$5:$A$44,0)),""))</f>
        <v/>
      </c>
      <c r="C13" s="14"/>
      <c r="D13" s="15" t="str">
        <f aca="false">IF(A13="","",IFERROR(ROUND(B13/C13*100,2),""))</f>
        <v/>
      </c>
      <c r="E13" s="12" t="str">
        <f aca="false">IF(A13="","",IFERROR(C13-B13,""))</f>
        <v/>
      </c>
      <c r="F13" s="12" t="str">
        <f aca="false">IF(A13="","",IFERROR(ROUND(B13/(Settings!$B$2/100),2),""))</f>
        <v/>
      </c>
      <c r="G13" s="13"/>
      <c r="H13" s="12" t="str">
        <f aca="false">IF(A13="","",IFERROR(ROUND(B13*G13,2),""))</f>
        <v/>
      </c>
      <c r="I13" s="12" t="str">
        <f aca="false">IF(A13="","",IFERROR(ROUND(C13*G13,2),""))</f>
        <v/>
      </c>
      <c r="J13" s="12" t="str">
        <f aca="false">IF(A13="","",IFERROR(I13-H13,""))</f>
        <v/>
      </c>
    </row>
    <row r="14" customFormat="false" ht="15" hidden="false" customHeight="false" outlineLevel="0" collapsed="false">
      <c r="A14" s="9"/>
      <c r="B14" s="14" t="str">
        <f aca="false">IF(A14="","",IFERROR(INDEX(Recipes!$G$5:$G$44,MATCH(A14,Recipes!$A$5:$A$44,0)),""))</f>
        <v/>
      </c>
      <c r="C14" s="14"/>
      <c r="D14" s="15" t="str">
        <f aca="false">IF(A14="","",IFERROR(ROUND(B14/C14*100,2),""))</f>
        <v/>
      </c>
      <c r="E14" s="12" t="str">
        <f aca="false">IF(A14="","",IFERROR(C14-B14,""))</f>
        <v/>
      </c>
      <c r="F14" s="12" t="str">
        <f aca="false">IF(A14="","",IFERROR(ROUND(B14/(Settings!$B$2/100),2),""))</f>
        <v/>
      </c>
      <c r="G14" s="13"/>
      <c r="H14" s="12" t="str">
        <f aca="false">IF(A14="","",IFERROR(ROUND(B14*G14,2),""))</f>
        <v/>
      </c>
      <c r="I14" s="12" t="str">
        <f aca="false">IF(A14="","",IFERROR(ROUND(C14*G14,2),""))</f>
        <v/>
      </c>
      <c r="J14" s="12" t="str">
        <f aca="false">IF(A14="","",IFERROR(I14-H14,""))</f>
        <v/>
      </c>
    </row>
    <row r="15" customFormat="false" ht="15" hidden="false" customHeight="false" outlineLevel="0" collapsed="false">
      <c r="A15" s="9"/>
      <c r="B15" s="14" t="str">
        <f aca="false">IF(A15="","",IFERROR(INDEX(Recipes!$G$5:$G$44,MATCH(A15,Recipes!$A$5:$A$44,0)),""))</f>
        <v/>
      </c>
      <c r="C15" s="14"/>
      <c r="D15" s="15" t="str">
        <f aca="false">IF(A15="","",IFERROR(ROUND(B15/C15*100,2),""))</f>
        <v/>
      </c>
      <c r="E15" s="12" t="str">
        <f aca="false">IF(A15="","",IFERROR(C15-B15,""))</f>
        <v/>
      </c>
      <c r="F15" s="12" t="str">
        <f aca="false">IF(A15="","",IFERROR(ROUND(B15/(Settings!$B$2/100),2),""))</f>
        <v/>
      </c>
      <c r="G15" s="13"/>
      <c r="H15" s="12" t="str">
        <f aca="false">IF(A15="","",IFERROR(ROUND(B15*G15,2),""))</f>
        <v/>
      </c>
      <c r="I15" s="12" t="str">
        <f aca="false">IF(A15="","",IFERROR(ROUND(C15*G15,2),""))</f>
        <v/>
      </c>
      <c r="J15" s="12" t="str">
        <f aca="false">IF(A15="","",IFERROR(I15-H15,""))</f>
        <v/>
      </c>
    </row>
    <row r="16" customFormat="false" ht="15" hidden="false" customHeight="false" outlineLevel="0" collapsed="false">
      <c r="A16" s="9"/>
      <c r="B16" s="14" t="str">
        <f aca="false">IF(A16="","",IFERROR(INDEX(Recipes!$G$5:$G$44,MATCH(A16,Recipes!$A$5:$A$44,0)),""))</f>
        <v/>
      </c>
      <c r="C16" s="14"/>
      <c r="D16" s="15" t="str">
        <f aca="false">IF(A16="","",IFERROR(ROUND(B16/C16*100,2),""))</f>
        <v/>
      </c>
      <c r="E16" s="12" t="str">
        <f aca="false">IF(A16="","",IFERROR(C16-B16,""))</f>
        <v/>
      </c>
      <c r="F16" s="12" t="str">
        <f aca="false">IF(A16="","",IFERROR(ROUND(B16/(Settings!$B$2/100),2),""))</f>
        <v/>
      </c>
      <c r="G16" s="13"/>
      <c r="H16" s="12" t="str">
        <f aca="false">IF(A16="","",IFERROR(ROUND(B16*G16,2),""))</f>
        <v/>
      </c>
      <c r="I16" s="12" t="str">
        <f aca="false">IF(A16="","",IFERROR(ROUND(C16*G16,2),""))</f>
        <v/>
      </c>
      <c r="J16" s="12" t="str">
        <f aca="false">IF(A16="","",IFERROR(I16-H16,""))</f>
        <v/>
      </c>
    </row>
    <row r="17" customFormat="false" ht="15" hidden="false" customHeight="false" outlineLevel="0" collapsed="false">
      <c r="A17" s="9"/>
      <c r="B17" s="14" t="str">
        <f aca="false">IF(A17="","",IFERROR(INDEX(Recipes!$G$5:$G$44,MATCH(A17,Recipes!$A$5:$A$44,0)),""))</f>
        <v/>
      </c>
      <c r="C17" s="14"/>
      <c r="D17" s="15" t="str">
        <f aca="false">IF(A17="","",IFERROR(ROUND(B17/C17*100,2),""))</f>
        <v/>
      </c>
      <c r="E17" s="12" t="str">
        <f aca="false">IF(A17="","",IFERROR(C17-B17,""))</f>
        <v/>
      </c>
      <c r="F17" s="12" t="str">
        <f aca="false">IF(A17="","",IFERROR(ROUND(B17/(Settings!$B$2/100),2),""))</f>
        <v/>
      </c>
      <c r="G17" s="13"/>
      <c r="H17" s="12" t="str">
        <f aca="false">IF(A17="","",IFERROR(ROUND(B17*G17,2),""))</f>
        <v/>
      </c>
      <c r="I17" s="12" t="str">
        <f aca="false">IF(A17="","",IFERROR(ROUND(C17*G17,2),""))</f>
        <v/>
      </c>
      <c r="J17" s="12" t="str">
        <f aca="false">IF(A17="","",IFERROR(I17-H17,""))</f>
        <v/>
      </c>
    </row>
    <row r="18" customFormat="false" ht="15" hidden="false" customHeight="false" outlineLevel="0" collapsed="false">
      <c r="A18" s="9"/>
      <c r="B18" s="14" t="str">
        <f aca="false">IF(A18="","",IFERROR(INDEX(Recipes!$G$5:$G$44,MATCH(A18,Recipes!$A$5:$A$44,0)),""))</f>
        <v/>
      </c>
      <c r="C18" s="14"/>
      <c r="D18" s="15" t="str">
        <f aca="false">IF(A18="","",IFERROR(ROUND(B18/C18*100,2),""))</f>
        <v/>
      </c>
      <c r="E18" s="12" t="str">
        <f aca="false">IF(A18="","",IFERROR(C18-B18,""))</f>
        <v/>
      </c>
      <c r="F18" s="12" t="str">
        <f aca="false">IF(A18="","",IFERROR(ROUND(B18/(Settings!$B$2/100),2),""))</f>
        <v/>
      </c>
      <c r="G18" s="13"/>
      <c r="H18" s="12" t="str">
        <f aca="false">IF(A18="","",IFERROR(ROUND(B18*G18,2),""))</f>
        <v/>
      </c>
      <c r="I18" s="12" t="str">
        <f aca="false">IF(A18="","",IFERROR(ROUND(C18*G18,2),""))</f>
        <v/>
      </c>
      <c r="J18" s="12" t="str">
        <f aca="false">IF(A18="","",IFERROR(I18-H18,""))</f>
        <v/>
      </c>
    </row>
    <row r="19" customFormat="false" ht="15" hidden="false" customHeight="false" outlineLevel="0" collapsed="false">
      <c r="A19" s="9"/>
      <c r="B19" s="14" t="str">
        <f aca="false">IF(A19="","",IFERROR(INDEX(Recipes!$G$5:$G$44,MATCH(A19,Recipes!$A$5:$A$44,0)),""))</f>
        <v/>
      </c>
      <c r="C19" s="14"/>
      <c r="D19" s="15" t="str">
        <f aca="false">IF(A19="","",IFERROR(ROUND(B19/C19*100,2),""))</f>
        <v/>
      </c>
      <c r="E19" s="12" t="str">
        <f aca="false">IF(A19="","",IFERROR(C19-B19,""))</f>
        <v/>
      </c>
      <c r="F19" s="12" t="str">
        <f aca="false">IF(A19="","",IFERROR(ROUND(B19/(Settings!$B$2/100),2),""))</f>
        <v/>
      </c>
      <c r="G19" s="13"/>
      <c r="H19" s="12" t="str">
        <f aca="false">IF(A19="","",IFERROR(ROUND(B19*G19,2),""))</f>
        <v/>
      </c>
      <c r="I19" s="12" t="str">
        <f aca="false">IF(A19="","",IFERROR(ROUND(C19*G19,2),""))</f>
        <v/>
      </c>
      <c r="J19" s="12" t="str">
        <f aca="false">IF(A19="","",IFERROR(I19-H19,""))</f>
        <v/>
      </c>
    </row>
    <row r="20" customFormat="false" ht="15" hidden="false" customHeight="false" outlineLevel="0" collapsed="false">
      <c r="A20" s="9"/>
      <c r="B20" s="14" t="str">
        <f aca="false">IF(A20="","",IFERROR(INDEX(Recipes!$G$5:$G$44,MATCH(A20,Recipes!$A$5:$A$44,0)),""))</f>
        <v/>
      </c>
      <c r="C20" s="14"/>
      <c r="D20" s="15" t="str">
        <f aca="false">IF(A20="","",IFERROR(ROUND(B20/C20*100,2),""))</f>
        <v/>
      </c>
      <c r="E20" s="12" t="str">
        <f aca="false">IF(A20="","",IFERROR(C20-B20,""))</f>
        <v/>
      </c>
      <c r="F20" s="12" t="str">
        <f aca="false">IF(A20="","",IFERROR(ROUND(B20/(Settings!$B$2/100),2),""))</f>
        <v/>
      </c>
      <c r="G20" s="13"/>
      <c r="H20" s="12" t="str">
        <f aca="false">IF(A20="","",IFERROR(ROUND(B20*G20,2),""))</f>
        <v/>
      </c>
      <c r="I20" s="12" t="str">
        <f aca="false">IF(A20="","",IFERROR(ROUND(C20*G20,2),""))</f>
        <v/>
      </c>
      <c r="J20" s="12" t="str">
        <f aca="false">IF(A20="","",IFERROR(I20-H20,""))</f>
        <v/>
      </c>
    </row>
    <row r="21" customFormat="false" ht="15" hidden="false" customHeight="false" outlineLevel="0" collapsed="false">
      <c r="A21" s="9"/>
      <c r="B21" s="14" t="str">
        <f aca="false">IF(A21="","",IFERROR(INDEX(Recipes!$G$5:$G$44,MATCH(A21,Recipes!$A$5:$A$44,0)),""))</f>
        <v/>
      </c>
      <c r="C21" s="14"/>
      <c r="D21" s="15" t="str">
        <f aca="false">IF(A21="","",IFERROR(ROUND(B21/C21*100,2),""))</f>
        <v/>
      </c>
      <c r="E21" s="12" t="str">
        <f aca="false">IF(A21="","",IFERROR(C21-B21,""))</f>
        <v/>
      </c>
      <c r="F21" s="12" t="str">
        <f aca="false">IF(A21="","",IFERROR(ROUND(B21/(Settings!$B$2/100),2),""))</f>
        <v/>
      </c>
      <c r="G21" s="13"/>
      <c r="H21" s="12" t="str">
        <f aca="false">IF(A21="","",IFERROR(ROUND(B21*G21,2),""))</f>
        <v/>
      </c>
      <c r="I21" s="12" t="str">
        <f aca="false">IF(A21="","",IFERROR(ROUND(C21*G21,2),""))</f>
        <v/>
      </c>
      <c r="J21" s="12" t="str">
        <f aca="false">IF(A21="","",IFERROR(I21-H21,""))</f>
        <v/>
      </c>
    </row>
    <row r="22" customFormat="false" ht="15" hidden="false" customHeight="false" outlineLevel="0" collapsed="false">
      <c r="A22" s="9"/>
      <c r="B22" s="14" t="str">
        <f aca="false">IF(A22="","",IFERROR(INDEX(Recipes!$G$5:$G$44,MATCH(A22,Recipes!$A$5:$A$44,0)),""))</f>
        <v/>
      </c>
      <c r="C22" s="14"/>
      <c r="D22" s="15" t="str">
        <f aca="false">IF(A22="","",IFERROR(ROUND(B22/C22*100,2),""))</f>
        <v/>
      </c>
      <c r="E22" s="12" t="str">
        <f aca="false">IF(A22="","",IFERROR(C22-B22,""))</f>
        <v/>
      </c>
      <c r="F22" s="12" t="str">
        <f aca="false">IF(A22="","",IFERROR(ROUND(B22/(Settings!$B$2/100),2),""))</f>
        <v/>
      </c>
      <c r="G22" s="13"/>
      <c r="H22" s="12" t="str">
        <f aca="false">IF(A22="","",IFERROR(ROUND(B22*G22,2),""))</f>
        <v/>
      </c>
      <c r="I22" s="12" t="str">
        <f aca="false">IF(A22="","",IFERROR(ROUND(C22*G22,2),""))</f>
        <v/>
      </c>
      <c r="J22" s="12" t="str">
        <f aca="false">IF(A22="","",IFERROR(I22-H22,""))</f>
        <v/>
      </c>
    </row>
    <row r="23" customFormat="false" ht="15" hidden="false" customHeight="false" outlineLevel="0" collapsed="false">
      <c r="A23" s="9"/>
      <c r="B23" s="14" t="str">
        <f aca="false">IF(A23="","",IFERROR(INDEX(Recipes!$G$5:$G$44,MATCH(A23,Recipes!$A$5:$A$44,0)),""))</f>
        <v/>
      </c>
      <c r="C23" s="14"/>
      <c r="D23" s="15" t="str">
        <f aca="false">IF(A23="","",IFERROR(ROUND(B23/C23*100,2),""))</f>
        <v/>
      </c>
      <c r="E23" s="12" t="str">
        <f aca="false">IF(A23="","",IFERROR(C23-B23,""))</f>
        <v/>
      </c>
      <c r="F23" s="12" t="str">
        <f aca="false">IF(A23="","",IFERROR(ROUND(B23/(Settings!$B$2/100),2),""))</f>
        <v/>
      </c>
      <c r="G23" s="13"/>
      <c r="H23" s="12" t="str">
        <f aca="false">IF(A23="","",IFERROR(ROUND(B23*G23,2),""))</f>
        <v/>
      </c>
      <c r="I23" s="12" t="str">
        <f aca="false">IF(A23="","",IFERROR(ROUND(C23*G23,2),""))</f>
        <v/>
      </c>
      <c r="J23" s="12" t="str">
        <f aca="false">IF(A23="","",IFERROR(I23-H23,""))</f>
        <v/>
      </c>
    </row>
    <row r="24" customFormat="false" ht="15" hidden="false" customHeight="false" outlineLevel="0" collapsed="false">
      <c r="A24" s="9"/>
      <c r="B24" s="14" t="str">
        <f aca="false">IF(A24="","",IFERROR(INDEX(Recipes!$G$5:$G$44,MATCH(A24,Recipes!$A$5:$A$44,0)),""))</f>
        <v/>
      </c>
      <c r="C24" s="14"/>
      <c r="D24" s="15" t="str">
        <f aca="false">IF(A24="","",IFERROR(ROUND(B24/C24*100,2),""))</f>
        <v/>
      </c>
      <c r="E24" s="12" t="str">
        <f aca="false">IF(A24="","",IFERROR(C24-B24,""))</f>
        <v/>
      </c>
      <c r="F24" s="12" t="str">
        <f aca="false">IF(A24="","",IFERROR(ROUND(B24/(Settings!$B$2/100),2),""))</f>
        <v/>
      </c>
      <c r="G24" s="13"/>
      <c r="H24" s="12" t="str">
        <f aca="false">IF(A24="","",IFERROR(ROUND(B24*G24,2),""))</f>
        <v/>
      </c>
      <c r="I24" s="12" t="str">
        <f aca="false">IF(A24="","",IFERROR(ROUND(C24*G24,2),""))</f>
        <v/>
      </c>
      <c r="J24" s="12" t="str">
        <f aca="false">IF(A24="","",IFERROR(I24-H24,""))</f>
        <v/>
      </c>
    </row>
    <row r="25" customFormat="false" ht="15" hidden="false" customHeight="false" outlineLevel="0" collapsed="false">
      <c r="A25" s="9"/>
      <c r="B25" s="14" t="str">
        <f aca="false">IF(A25="","",IFERROR(INDEX(Recipes!$G$5:$G$44,MATCH(A25,Recipes!$A$5:$A$44,0)),""))</f>
        <v/>
      </c>
      <c r="C25" s="14"/>
      <c r="D25" s="15" t="str">
        <f aca="false">IF(A25="","",IFERROR(ROUND(B25/C25*100,2),""))</f>
        <v/>
      </c>
      <c r="E25" s="12" t="str">
        <f aca="false">IF(A25="","",IFERROR(C25-B25,""))</f>
        <v/>
      </c>
      <c r="F25" s="12" t="str">
        <f aca="false">IF(A25="","",IFERROR(ROUND(B25/(Settings!$B$2/100),2),""))</f>
        <v/>
      </c>
      <c r="G25" s="13"/>
      <c r="H25" s="12" t="str">
        <f aca="false">IF(A25="","",IFERROR(ROUND(B25*G25,2),""))</f>
        <v/>
      </c>
      <c r="I25" s="12" t="str">
        <f aca="false">IF(A25="","",IFERROR(ROUND(C25*G25,2),""))</f>
        <v/>
      </c>
      <c r="J25" s="12" t="str">
        <f aca="false">IF(A25="","",IFERROR(I25-H25,""))</f>
        <v/>
      </c>
    </row>
    <row r="26" customFormat="false" ht="15" hidden="false" customHeight="false" outlineLevel="0" collapsed="false">
      <c r="A26" s="9"/>
      <c r="B26" s="14" t="str">
        <f aca="false">IF(A26="","",IFERROR(INDEX(Recipes!$G$5:$G$44,MATCH(A26,Recipes!$A$5:$A$44,0)),""))</f>
        <v/>
      </c>
      <c r="C26" s="14"/>
      <c r="D26" s="15" t="str">
        <f aca="false">IF(A26="","",IFERROR(ROUND(B26/C26*100,2),""))</f>
        <v/>
      </c>
      <c r="E26" s="12" t="str">
        <f aca="false">IF(A26="","",IFERROR(C26-B26,""))</f>
        <v/>
      </c>
      <c r="F26" s="12" t="str">
        <f aca="false">IF(A26="","",IFERROR(ROUND(B26/(Settings!$B$2/100),2),""))</f>
        <v/>
      </c>
      <c r="G26" s="13"/>
      <c r="H26" s="12" t="str">
        <f aca="false">IF(A26="","",IFERROR(ROUND(B26*G26,2),""))</f>
        <v/>
      </c>
      <c r="I26" s="12" t="str">
        <f aca="false">IF(A26="","",IFERROR(ROUND(C26*G26,2),""))</f>
        <v/>
      </c>
      <c r="J26" s="12" t="str">
        <f aca="false">IF(A26="","",IFERROR(I26-H26,""))</f>
        <v/>
      </c>
    </row>
    <row r="27" customFormat="false" ht="15" hidden="false" customHeight="false" outlineLevel="0" collapsed="false">
      <c r="A27" s="9"/>
      <c r="B27" s="14" t="str">
        <f aca="false">IF(A27="","",IFERROR(INDEX(Recipes!$G$5:$G$44,MATCH(A27,Recipes!$A$5:$A$44,0)),""))</f>
        <v/>
      </c>
      <c r="C27" s="14"/>
      <c r="D27" s="15" t="str">
        <f aca="false">IF(A27="","",IFERROR(ROUND(B27/C27*100,2),""))</f>
        <v/>
      </c>
      <c r="E27" s="12" t="str">
        <f aca="false">IF(A27="","",IFERROR(C27-B27,""))</f>
        <v/>
      </c>
      <c r="F27" s="12" t="str">
        <f aca="false">IF(A27="","",IFERROR(ROUND(B27/(Settings!$B$2/100),2),""))</f>
        <v/>
      </c>
      <c r="G27" s="13"/>
      <c r="H27" s="12" t="str">
        <f aca="false">IF(A27="","",IFERROR(ROUND(B27*G27,2),""))</f>
        <v/>
      </c>
      <c r="I27" s="12" t="str">
        <f aca="false">IF(A27="","",IFERROR(ROUND(C27*G27,2),""))</f>
        <v/>
      </c>
      <c r="J27" s="12" t="str">
        <f aca="false">IF(A27="","",IFERROR(I27-H27,""))</f>
        <v/>
      </c>
    </row>
    <row r="28" customFormat="false" ht="15" hidden="false" customHeight="false" outlineLevel="0" collapsed="false">
      <c r="A28" s="9"/>
      <c r="B28" s="14" t="str">
        <f aca="false">IF(A28="","",IFERROR(INDEX(Recipes!$G$5:$G$44,MATCH(A28,Recipes!$A$5:$A$44,0)),""))</f>
        <v/>
      </c>
      <c r="C28" s="14"/>
      <c r="D28" s="15" t="str">
        <f aca="false">IF(A28="","",IFERROR(ROUND(B28/C28*100,2),""))</f>
        <v/>
      </c>
      <c r="E28" s="12" t="str">
        <f aca="false">IF(A28="","",IFERROR(C28-B28,""))</f>
        <v/>
      </c>
      <c r="F28" s="12" t="str">
        <f aca="false">IF(A28="","",IFERROR(ROUND(B28/(Settings!$B$2/100),2),""))</f>
        <v/>
      </c>
      <c r="G28" s="13"/>
      <c r="H28" s="12" t="str">
        <f aca="false">IF(A28="","",IFERROR(ROUND(B28*G28,2),""))</f>
        <v/>
      </c>
      <c r="I28" s="12" t="str">
        <f aca="false">IF(A28="","",IFERROR(ROUND(C28*G28,2),""))</f>
        <v/>
      </c>
      <c r="J28" s="12" t="str">
        <f aca="false">IF(A28="","",IFERROR(I28-H28,""))</f>
        <v/>
      </c>
    </row>
    <row r="29" customFormat="false" ht="15" hidden="false" customHeight="false" outlineLevel="0" collapsed="false">
      <c r="A29" s="9"/>
      <c r="B29" s="14" t="str">
        <f aca="false">IF(A29="","",IFERROR(INDEX(Recipes!$G$5:$G$44,MATCH(A29,Recipes!$A$5:$A$44,0)),""))</f>
        <v/>
      </c>
      <c r="C29" s="14"/>
      <c r="D29" s="15" t="str">
        <f aca="false">IF(A29="","",IFERROR(ROUND(B29/C29*100,2),""))</f>
        <v/>
      </c>
      <c r="E29" s="12" t="str">
        <f aca="false">IF(A29="","",IFERROR(C29-B29,""))</f>
        <v/>
      </c>
      <c r="F29" s="12" t="str">
        <f aca="false">IF(A29="","",IFERROR(ROUND(B29/(Settings!$B$2/100),2),""))</f>
        <v/>
      </c>
      <c r="G29" s="13"/>
      <c r="H29" s="12" t="str">
        <f aca="false">IF(A29="","",IFERROR(ROUND(B29*G29,2),""))</f>
        <v/>
      </c>
      <c r="I29" s="12" t="str">
        <f aca="false">IF(A29="","",IFERROR(ROUND(C29*G29,2),""))</f>
        <v/>
      </c>
      <c r="J29" s="12" t="str">
        <f aca="false">IF(A29="","",IFERROR(I29-H29,""))</f>
        <v/>
      </c>
    </row>
    <row r="30" customFormat="false" ht="15" hidden="false" customHeight="false" outlineLevel="0" collapsed="false">
      <c r="A30" s="9"/>
      <c r="B30" s="14" t="str">
        <f aca="false">IF(A30="","",IFERROR(INDEX(Recipes!$G$5:$G$44,MATCH(A30,Recipes!$A$5:$A$44,0)),""))</f>
        <v/>
      </c>
      <c r="C30" s="14"/>
      <c r="D30" s="15" t="str">
        <f aca="false">IF(A30="","",IFERROR(ROUND(B30/C30*100,2),""))</f>
        <v/>
      </c>
      <c r="E30" s="12" t="str">
        <f aca="false">IF(A30="","",IFERROR(C30-B30,""))</f>
        <v/>
      </c>
      <c r="F30" s="12" t="str">
        <f aca="false">IF(A30="","",IFERROR(ROUND(B30/(Settings!$B$2/100),2),""))</f>
        <v/>
      </c>
      <c r="G30" s="13"/>
      <c r="H30" s="12" t="str">
        <f aca="false">IF(A30="","",IFERROR(ROUND(B30*G30,2),""))</f>
        <v/>
      </c>
      <c r="I30" s="12" t="str">
        <f aca="false">IF(A30="","",IFERROR(ROUND(C30*G30,2),""))</f>
        <v/>
      </c>
      <c r="J30" s="12" t="str">
        <f aca="false">IF(A30="","",IFERROR(I30-H30,""))</f>
        <v/>
      </c>
    </row>
    <row r="31" customFormat="false" ht="15" hidden="false" customHeight="false" outlineLevel="0" collapsed="false">
      <c r="A31" s="9"/>
      <c r="B31" s="14" t="str">
        <f aca="false">IF(A31="","",IFERROR(INDEX(Recipes!$G$5:$G$44,MATCH(A31,Recipes!$A$5:$A$44,0)),""))</f>
        <v/>
      </c>
      <c r="C31" s="14"/>
      <c r="D31" s="15" t="str">
        <f aca="false">IF(A31="","",IFERROR(ROUND(B31/C31*100,2),""))</f>
        <v/>
      </c>
      <c r="E31" s="12" t="str">
        <f aca="false">IF(A31="","",IFERROR(C31-B31,""))</f>
        <v/>
      </c>
      <c r="F31" s="12" t="str">
        <f aca="false">IF(A31="","",IFERROR(ROUND(B31/(Settings!$B$2/100),2),""))</f>
        <v/>
      </c>
      <c r="G31" s="13"/>
      <c r="H31" s="12" t="str">
        <f aca="false">IF(A31="","",IFERROR(ROUND(B31*G31,2),""))</f>
        <v/>
      </c>
      <c r="I31" s="12" t="str">
        <f aca="false">IF(A31="","",IFERROR(ROUND(C31*G31,2),""))</f>
        <v/>
      </c>
      <c r="J31" s="12" t="str">
        <f aca="false">IF(A31="","",IFERROR(I31-H31,""))</f>
        <v/>
      </c>
    </row>
    <row r="32" customFormat="false" ht="15" hidden="false" customHeight="false" outlineLevel="0" collapsed="false">
      <c r="A32" s="9"/>
      <c r="B32" s="14" t="str">
        <f aca="false">IF(A32="","",IFERROR(INDEX(Recipes!$G$5:$G$44,MATCH(A32,Recipes!$A$5:$A$44,0)),""))</f>
        <v/>
      </c>
      <c r="C32" s="14"/>
      <c r="D32" s="15" t="str">
        <f aca="false">IF(A32="","",IFERROR(ROUND(B32/C32*100,2),""))</f>
        <v/>
      </c>
      <c r="E32" s="12" t="str">
        <f aca="false">IF(A32="","",IFERROR(C32-B32,""))</f>
        <v/>
      </c>
      <c r="F32" s="12" t="str">
        <f aca="false">IF(A32="","",IFERROR(ROUND(B32/(Settings!$B$2/100),2),""))</f>
        <v/>
      </c>
      <c r="G32" s="13"/>
      <c r="H32" s="12" t="str">
        <f aca="false">IF(A32="","",IFERROR(ROUND(B32*G32,2),""))</f>
        <v/>
      </c>
      <c r="I32" s="12" t="str">
        <f aca="false">IF(A32="","",IFERROR(ROUND(C32*G32,2),""))</f>
        <v/>
      </c>
      <c r="J32" s="12" t="str">
        <f aca="false">IF(A32="","",IFERROR(I32-H32,""))</f>
        <v/>
      </c>
    </row>
    <row r="33" customFormat="false" ht="15" hidden="false" customHeight="false" outlineLevel="0" collapsed="false">
      <c r="A33" s="9"/>
      <c r="B33" s="14" t="str">
        <f aca="false">IF(A33="","",IFERROR(INDEX(Recipes!$G$5:$G$44,MATCH(A33,Recipes!$A$5:$A$44,0)),""))</f>
        <v/>
      </c>
      <c r="C33" s="14"/>
      <c r="D33" s="15" t="str">
        <f aca="false">IF(A33="","",IFERROR(ROUND(B33/C33*100,2),""))</f>
        <v/>
      </c>
      <c r="E33" s="12" t="str">
        <f aca="false">IF(A33="","",IFERROR(C33-B33,""))</f>
        <v/>
      </c>
      <c r="F33" s="12" t="str">
        <f aca="false">IF(A33="","",IFERROR(ROUND(B33/(Settings!$B$2/100),2),""))</f>
        <v/>
      </c>
      <c r="G33" s="13"/>
      <c r="H33" s="12" t="str">
        <f aca="false">IF(A33="","",IFERROR(ROUND(B33*G33,2),""))</f>
        <v/>
      </c>
      <c r="I33" s="12" t="str">
        <f aca="false">IF(A33="","",IFERROR(ROUND(C33*G33,2),""))</f>
        <v/>
      </c>
      <c r="J33" s="12" t="str">
        <f aca="false">IF(A33="","",IFERROR(I33-H33,""))</f>
        <v/>
      </c>
    </row>
    <row r="34" customFormat="false" ht="15" hidden="false" customHeight="false" outlineLevel="0" collapsed="false">
      <c r="A34" s="9"/>
      <c r="B34" s="14" t="str">
        <f aca="false">IF(A34="","",IFERROR(INDEX(Recipes!$G$5:$G$44,MATCH(A34,Recipes!$A$5:$A$44,0)),""))</f>
        <v/>
      </c>
      <c r="C34" s="14"/>
      <c r="D34" s="15" t="str">
        <f aca="false">IF(A34="","",IFERROR(ROUND(B34/C34*100,2),""))</f>
        <v/>
      </c>
      <c r="E34" s="12" t="str">
        <f aca="false">IF(A34="","",IFERROR(C34-B34,""))</f>
        <v/>
      </c>
      <c r="F34" s="12" t="str">
        <f aca="false">IF(A34="","",IFERROR(ROUND(B34/(Settings!$B$2/100),2),""))</f>
        <v/>
      </c>
      <c r="G34" s="13"/>
      <c r="H34" s="12" t="str">
        <f aca="false">IF(A34="","",IFERROR(ROUND(B34*G34,2),""))</f>
        <v/>
      </c>
      <c r="I34" s="12" t="str">
        <f aca="false">IF(A34="","",IFERROR(ROUND(C34*G34,2),""))</f>
        <v/>
      </c>
      <c r="J34" s="12" t="str">
        <f aca="false">IF(A34="","",IFERROR(I34-H34,""))</f>
        <v/>
      </c>
    </row>
    <row r="35" customFormat="false" ht="15" hidden="false" customHeight="false" outlineLevel="0" collapsed="false">
      <c r="A35" s="5" t="s">
        <v>65</v>
      </c>
      <c r="G35" s="16" t="n">
        <f aca="false">SUM(G5:G34)</f>
        <v>330</v>
      </c>
      <c r="H35" s="17" t="n">
        <f aca="false">SUM(H5:H34)</f>
        <v>851.4</v>
      </c>
      <c r="I35" s="17" t="n">
        <f aca="false">SUM(I5:I34)</f>
        <v>4365</v>
      </c>
      <c r="J35" s="17" t="n">
        <f aca="false">SUM(J5:J34)</f>
        <v>3513.6</v>
      </c>
    </row>
    <row r="36" customFormat="false" ht="15" hidden="false" customHeight="false" outlineLevel="0" collapsed="false">
      <c r="A36" s="5" t="s">
        <v>66</v>
      </c>
      <c r="D36" s="18" t="n">
        <f aca="false">IFERROR(ROUND(H35/I35*100,2),0)</f>
        <v>19.51</v>
      </c>
      <c r="E36" s="3" t="s">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3"/>
    <col collapsed="false" customWidth="true" hidden="false" outlineLevel="0" max="8" min="2" style="1" width="12"/>
    <col collapsed="false" customWidth="true" hidden="false" outlineLevel="0" max="11" min="9" style="1" width="11"/>
    <col collapsed="false" customWidth="true" hidden="false" outlineLevel="0" max="13" min="12" style="1" width="13"/>
    <col collapsed="false" customWidth="true" hidden="false" outlineLevel="0" max="14" min="14" style="1" width="11"/>
  </cols>
  <sheetData>
    <row r="1" customFormat="false" ht="17.35" hidden="false" customHeight="false" outlineLevel="0" collapsed="false">
      <c r="A1" s="2" t="s">
        <v>68</v>
      </c>
    </row>
    <row r="2" customFormat="false" ht="15" hidden="false" customHeight="false" outlineLevel="0" collapsed="false">
      <c r="A2" s="3" t="s">
        <v>69</v>
      </c>
    </row>
    <row r="4" customFormat="false" ht="39.55" hidden="false" customHeight="false" outlineLevel="0" collapsed="false">
      <c r="A4" s="8" t="s">
        <v>70</v>
      </c>
      <c r="B4" s="8" t="s">
        <v>71</v>
      </c>
      <c r="C4" s="8" t="s">
        <v>72</v>
      </c>
      <c r="D4" s="8" t="s">
        <v>73</v>
      </c>
      <c r="E4" s="8" t="s">
        <v>74</v>
      </c>
      <c r="F4" s="8" t="s">
        <v>75</v>
      </c>
      <c r="G4" s="8" t="s">
        <v>76</v>
      </c>
      <c r="H4" s="8" t="s">
        <v>77</v>
      </c>
      <c r="I4" s="8" t="s">
        <v>78</v>
      </c>
      <c r="J4" s="8" t="s">
        <v>57</v>
      </c>
      <c r="K4" s="8" t="s">
        <v>79</v>
      </c>
      <c r="L4" s="8" t="s">
        <v>80</v>
      </c>
      <c r="M4" s="8" t="s">
        <v>81</v>
      </c>
      <c r="N4" s="8" t="s">
        <v>82</v>
      </c>
    </row>
    <row r="5" customFormat="false" ht="15" hidden="false" customHeight="false" outlineLevel="0" collapsed="false">
      <c r="A5" s="19" t="n">
        <v>46271</v>
      </c>
      <c r="B5" s="11" t="n">
        <v>4400</v>
      </c>
      <c r="C5" s="14" t="n">
        <v>1500</v>
      </c>
      <c r="D5" s="12" t="n">
        <f aca="false">IF(A5="","",B5+C5)</f>
        <v>5900</v>
      </c>
      <c r="E5" s="14" t="n">
        <v>1350</v>
      </c>
      <c r="F5" s="14" t="n">
        <v>380</v>
      </c>
      <c r="G5" s="11" t="n">
        <v>1650</v>
      </c>
      <c r="H5" s="12" t="n">
        <f aca="false">IF(A5="","",E5+F5+G5)</f>
        <v>3380</v>
      </c>
      <c r="I5" s="15" t="n">
        <f aca="false">IF(A5="","",IFERROR(ROUND(H5/D5*100,2),""))</f>
        <v>57.29</v>
      </c>
      <c r="J5" s="15" t="n">
        <f aca="false">IF(A5="","",IFERROR(ROUND(E5/B5*100,2),""))</f>
        <v>30.68</v>
      </c>
      <c r="K5" s="15" t="n">
        <f aca="false">IF(A5="","",IFERROR(ROUND(G5/D5*100,2),""))</f>
        <v>27.97</v>
      </c>
      <c r="L5" s="14" t="n">
        <v>1200</v>
      </c>
      <c r="M5" s="12" t="n">
        <f aca="false">IF(A5="","",D5-H5-L5)</f>
        <v>1320</v>
      </c>
      <c r="N5" s="15" t="n">
        <f aca="false">IF(A5="","",IFERROR(ROUND(M5/D5*100,2),""))</f>
        <v>22.37</v>
      </c>
    </row>
    <row r="6" customFormat="false" ht="15" hidden="false" customHeight="false" outlineLevel="0" collapsed="false">
      <c r="A6" s="19" t="n">
        <v>46278</v>
      </c>
      <c r="B6" s="14" t="n">
        <v>4650</v>
      </c>
      <c r="C6" s="14" t="n">
        <v>1620</v>
      </c>
      <c r="D6" s="12" t="n">
        <f aca="false">IF(A6="","",B6+C6)</f>
        <v>6270</v>
      </c>
      <c r="E6" s="14" t="n">
        <v>1420</v>
      </c>
      <c r="F6" s="14" t="n">
        <v>410</v>
      </c>
      <c r="G6" s="14" t="n">
        <v>1700</v>
      </c>
      <c r="H6" s="12" t="n">
        <f aca="false">IF(A6="","",E6+F6+G6)</f>
        <v>3530</v>
      </c>
      <c r="I6" s="15" t="n">
        <f aca="false">IF(A6="","",IFERROR(ROUND(H6/D6*100,2),""))</f>
        <v>56.3</v>
      </c>
      <c r="J6" s="15" t="n">
        <f aca="false">IF(A6="","",IFERROR(ROUND(E6/B6*100,2),""))</f>
        <v>30.54</v>
      </c>
      <c r="K6" s="15" t="n">
        <f aca="false">IF(A6="","",IFERROR(ROUND(G6/D6*100,2),""))</f>
        <v>27.11</v>
      </c>
      <c r="L6" s="14" t="n">
        <v>1200</v>
      </c>
      <c r="M6" s="12" t="n">
        <f aca="false">IF(A6="","",D6-H6-L6)</f>
        <v>1540</v>
      </c>
      <c r="N6" s="15" t="n">
        <f aca="false">IF(A6="","",IFERROR(ROUND(M6/D6*100,2),""))</f>
        <v>24.56</v>
      </c>
    </row>
    <row r="7" customFormat="false" ht="15" hidden="false" customHeight="false" outlineLevel="0" collapsed="false">
      <c r="A7" s="19" t="n">
        <v>46285</v>
      </c>
      <c r="B7" s="14" t="n">
        <v>4300</v>
      </c>
      <c r="C7" s="14" t="n">
        <v>1480</v>
      </c>
      <c r="D7" s="12" t="n">
        <f aca="false">IF(A7="","",B7+C7)</f>
        <v>5780</v>
      </c>
      <c r="E7" s="14" t="n">
        <v>1390</v>
      </c>
      <c r="F7" s="14" t="n">
        <v>395</v>
      </c>
      <c r="G7" s="14" t="n">
        <v>1720</v>
      </c>
      <c r="H7" s="12" t="n">
        <f aca="false">IF(A7="","",E7+F7+G7)</f>
        <v>3505</v>
      </c>
      <c r="I7" s="15" t="n">
        <f aca="false">IF(A7="","",IFERROR(ROUND(H7/D7*100,2),""))</f>
        <v>60.64</v>
      </c>
      <c r="J7" s="15" t="n">
        <f aca="false">IF(A7="","",IFERROR(ROUND(E7/B7*100,2),""))</f>
        <v>32.33</v>
      </c>
      <c r="K7" s="15" t="n">
        <f aca="false">IF(A7="","",IFERROR(ROUND(G7/D7*100,2),""))</f>
        <v>29.76</v>
      </c>
      <c r="L7" s="14" t="n">
        <v>1250</v>
      </c>
      <c r="M7" s="12" t="n">
        <f aca="false">IF(A7="","",D7-H7-L7)</f>
        <v>1025</v>
      </c>
      <c r="N7" s="15" t="n">
        <f aca="false">IF(A7="","",IFERROR(ROUND(M7/D7*100,2),""))</f>
        <v>17.73</v>
      </c>
    </row>
    <row r="8" customFormat="false" ht="15" hidden="false" customHeight="false" outlineLevel="0" collapsed="false">
      <c r="A8" s="19"/>
      <c r="B8" s="14"/>
      <c r="C8" s="14"/>
      <c r="D8" s="12" t="str">
        <f aca="false">IF(A8="","",B8+C8)</f>
        <v/>
      </c>
      <c r="E8" s="14"/>
      <c r="F8" s="14"/>
      <c r="G8" s="14"/>
      <c r="H8" s="12" t="str">
        <f aca="false">IF(A8="","",E8+F8+G8)</f>
        <v/>
      </c>
      <c r="I8" s="15" t="str">
        <f aca="false">IF(A8="","",IFERROR(ROUND(H8/D8*100,2),""))</f>
        <v/>
      </c>
      <c r="J8" s="15" t="str">
        <f aca="false">IF(A8="","",IFERROR(ROUND(E8/B8*100,2),""))</f>
        <v/>
      </c>
      <c r="K8" s="15" t="str">
        <f aca="false">IF(A8="","",IFERROR(ROUND(G8/D8*100,2),""))</f>
        <v/>
      </c>
      <c r="L8" s="14"/>
      <c r="M8" s="12" t="str">
        <f aca="false">IF(A8="","",D8-H8-L8)</f>
        <v/>
      </c>
      <c r="N8" s="15" t="str">
        <f aca="false">IF(A8="","",IFERROR(ROUND(M8/D8*100,2),""))</f>
        <v/>
      </c>
    </row>
    <row r="9" customFormat="false" ht="15" hidden="false" customHeight="false" outlineLevel="0" collapsed="false">
      <c r="A9" s="19"/>
      <c r="B9" s="14"/>
      <c r="C9" s="14"/>
      <c r="D9" s="12" t="str">
        <f aca="false">IF(A9="","",B9+C9)</f>
        <v/>
      </c>
      <c r="E9" s="14"/>
      <c r="F9" s="14"/>
      <c r="G9" s="14"/>
      <c r="H9" s="12" t="str">
        <f aca="false">IF(A9="","",E9+F9+G9)</f>
        <v/>
      </c>
      <c r="I9" s="15" t="str">
        <f aca="false">IF(A9="","",IFERROR(ROUND(H9/D9*100,2),""))</f>
        <v/>
      </c>
      <c r="J9" s="15" t="str">
        <f aca="false">IF(A9="","",IFERROR(ROUND(E9/B9*100,2),""))</f>
        <v/>
      </c>
      <c r="K9" s="15" t="str">
        <f aca="false">IF(A9="","",IFERROR(ROUND(G9/D9*100,2),""))</f>
        <v/>
      </c>
      <c r="L9" s="14"/>
      <c r="M9" s="12" t="str">
        <f aca="false">IF(A9="","",D9-H9-L9)</f>
        <v/>
      </c>
      <c r="N9" s="15" t="str">
        <f aca="false">IF(A9="","",IFERROR(ROUND(M9/D9*100,2),""))</f>
        <v/>
      </c>
    </row>
    <row r="10" customFormat="false" ht="15" hidden="false" customHeight="false" outlineLevel="0" collapsed="false">
      <c r="A10" s="19"/>
      <c r="B10" s="14"/>
      <c r="C10" s="14"/>
      <c r="D10" s="12" t="str">
        <f aca="false">IF(A10="","",B10+C10)</f>
        <v/>
      </c>
      <c r="E10" s="14"/>
      <c r="F10" s="14"/>
      <c r="G10" s="14"/>
      <c r="H10" s="12" t="str">
        <f aca="false">IF(A10="","",E10+F10+G10)</f>
        <v/>
      </c>
      <c r="I10" s="15" t="str">
        <f aca="false">IF(A10="","",IFERROR(ROUND(H10/D10*100,2),""))</f>
        <v/>
      </c>
      <c r="J10" s="15" t="str">
        <f aca="false">IF(A10="","",IFERROR(ROUND(E10/B10*100,2),""))</f>
        <v/>
      </c>
      <c r="K10" s="15" t="str">
        <f aca="false">IF(A10="","",IFERROR(ROUND(G10/D10*100,2),""))</f>
        <v/>
      </c>
      <c r="L10" s="14"/>
      <c r="M10" s="12" t="str">
        <f aca="false">IF(A10="","",D10-H10-L10)</f>
        <v/>
      </c>
      <c r="N10" s="15" t="str">
        <f aca="false">IF(A10="","",IFERROR(ROUND(M10/D10*100,2),""))</f>
        <v/>
      </c>
    </row>
    <row r="11" customFormat="false" ht="15" hidden="false" customHeight="false" outlineLevel="0" collapsed="false">
      <c r="A11" s="19"/>
      <c r="B11" s="14"/>
      <c r="C11" s="14"/>
      <c r="D11" s="12" t="str">
        <f aca="false">IF(A11="","",B11+C11)</f>
        <v/>
      </c>
      <c r="E11" s="14"/>
      <c r="F11" s="14"/>
      <c r="G11" s="14"/>
      <c r="H11" s="12" t="str">
        <f aca="false">IF(A11="","",E11+F11+G11)</f>
        <v/>
      </c>
      <c r="I11" s="15" t="str">
        <f aca="false">IF(A11="","",IFERROR(ROUND(H11/D11*100,2),""))</f>
        <v/>
      </c>
      <c r="J11" s="15" t="str">
        <f aca="false">IF(A11="","",IFERROR(ROUND(E11/B11*100,2),""))</f>
        <v/>
      </c>
      <c r="K11" s="15" t="str">
        <f aca="false">IF(A11="","",IFERROR(ROUND(G11/D11*100,2),""))</f>
        <v/>
      </c>
      <c r="L11" s="14"/>
      <c r="M11" s="12" t="str">
        <f aca="false">IF(A11="","",D11-H11-L11)</f>
        <v/>
      </c>
      <c r="N11" s="15" t="str">
        <f aca="false">IF(A11="","",IFERROR(ROUND(M11/D11*100,2),""))</f>
        <v/>
      </c>
    </row>
    <row r="12" customFormat="false" ht="15" hidden="false" customHeight="false" outlineLevel="0" collapsed="false">
      <c r="A12" s="19"/>
      <c r="B12" s="14"/>
      <c r="C12" s="14"/>
      <c r="D12" s="12" t="str">
        <f aca="false">IF(A12="","",B12+C12)</f>
        <v/>
      </c>
      <c r="E12" s="14"/>
      <c r="F12" s="14"/>
      <c r="G12" s="14"/>
      <c r="H12" s="12" t="str">
        <f aca="false">IF(A12="","",E12+F12+G12)</f>
        <v/>
      </c>
      <c r="I12" s="15" t="str">
        <f aca="false">IF(A12="","",IFERROR(ROUND(H12/D12*100,2),""))</f>
        <v/>
      </c>
      <c r="J12" s="15" t="str">
        <f aca="false">IF(A12="","",IFERROR(ROUND(E12/B12*100,2),""))</f>
        <v/>
      </c>
      <c r="K12" s="15" t="str">
        <f aca="false">IF(A12="","",IFERROR(ROUND(G12/D12*100,2),""))</f>
        <v/>
      </c>
      <c r="L12" s="14"/>
      <c r="M12" s="12" t="str">
        <f aca="false">IF(A12="","",D12-H12-L12)</f>
        <v/>
      </c>
      <c r="N12" s="15" t="str">
        <f aca="false">IF(A12="","",IFERROR(ROUND(M12/D12*100,2),""))</f>
        <v/>
      </c>
    </row>
    <row r="13" customFormat="false" ht="15" hidden="false" customHeight="false" outlineLevel="0" collapsed="false">
      <c r="A13" s="19"/>
      <c r="B13" s="14"/>
      <c r="C13" s="14"/>
      <c r="D13" s="12" t="str">
        <f aca="false">IF(A13="","",B13+C13)</f>
        <v/>
      </c>
      <c r="E13" s="14"/>
      <c r="F13" s="14"/>
      <c r="G13" s="14"/>
      <c r="H13" s="12" t="str">
        <f aca="false">IF(A13="","",E13+F13+G13)</f>
        <v/>
      </c>
      <c r="I13" s="15" t="str">
        <f aca="false">IF(A13="","",IFERROR(ROUND(H13/D13*100,2),""))</f>
        <v/>
      </c>
      <c r="J13" s="15" t="str">
        <f aca="false">IF(A13="","",IFERROR(ROUND(E13/B13*100,2),""))</f>
        <v/>
      </c>
      <c r="K13" s="15" t="str">
        <f aca="false">IF(A13="","",IFERROR(ROUND(G13/D13*100,2),""))</f>
        <v/>
      </c>
      <c r="L13" s="14"/>
      <c r="M13" s="12" t="str">
        <f aca="false">IF(A13="","",D13-H13-L13)</f>
        <v/>
      </c>
      <c r="N13" s="15" t="str">
        <f aca="false">IF(A13="","",IFERROR(ROUND(M13/D13*100,2),""))</f>
        <v/>
      </c>
    </row>
    <row r="14" customFormat="false" ht="15" hidden="false" customHeight="false" outlineLevel="0" collapsed="false">
      <c r="A14" s="19"/>
      <c r="B14" s="14"/>
      <c r="C14" s="14"/>
      <c r="D14" s="12" t="str">
        <f aca="false">IF(A14="","",B14+C14)</f>
        <v/>
      </c>
      <c r="E14" s="14"/>
      <c r="F14" s="14"/>
      <c r="G14" s="14"/>
      <c r="H14" s="12" t="str">
        <f aca="false">IF(A14="","",E14+F14+G14)</f>
        <v/>
      </c>
      <c r="I14" s="15" t="str">
        <f aca="false">IF(A14="","",IFERROR(ROUND(H14/D14*100,2),""))</f>
        <v/>
      </c>
      <c r="J14" s="15" t="str">
        <f aca="false">IF(A14="","",IFERROR(ROUND(E14/B14*100,2),""))</f>
        <v/>
      </c>
      <c r="K14" s="15" t="str">
        <f aca="false">IF(A14="","",IFERROR(ROUND(G14/D14*100,2),""))</f>
        <v/>
      </c>
      <c r="L14" s="14"/>
      <c r="M14" s="12" t="str">
        <f aca="false">IF(A14="","",D14-H14-L14)</f>
        <v/>
      </c>
      <c r="N14" s="15" t="str">
        <f aca="false">IF(A14="","",IFERROR(ROUND(M14/D14*100,2),""))</f>
        <v/>
      </c>
    </row>
    <row r="15" customFormat="false" ht="15" hidden="false" customHeight="false" outlineLevel="0" collapsed="false">
      <c r="A15" s="19"/>
      <c r="B15" s="14"/>
      <c r="C15" s="14"/>
      <c r="D15" s="12" t="str">
        <f aca="false">IF(A15="","",B15+C15)</f>
        <v/>
      </c>
      <c r="E15" s="14"/>
      <c r="F15" s="14"/>
      <c r="G15" s="14"/>
      <c r="H15" s="12" t="str">
        <f aca="false">IF(A15="","",E15+F15+G15)</f>
        <v/>
      </c>
      <c r="I15" s="15" t="str">
        <f aca="false">IF(A15="","",IFERROR(ROUND(H15/D15*100,2),""))</f>
        <v/>
      </c>
      <c r="J15" s="15" t="str">
        <f aca="false">IF(A15="","",IFERROR(ROUND(E15/B15*100,2),""))</f>
        <v/>
      </c>
      <c r="K15" s="15" t="str">
        <f aca="false">IF(A15="","",IFERROR(ROUND(G15/D15*100,2),""))</f>
        <v/>
      </c>
      <c r="L15" s="14"/>
      <c r="M15" s="12" t="str">
        <f aca="false">IF(A15="","",D15-H15-L15)</f>
        <v/>
      </c>
      <c r="N15" s="15" t="str">
        <f aca="false">IF(A15="","",IFERROR(ROUND(M15/D15*100,2),""))</f>
        <v/>
      </c>
    </row>
    <row r="16" customFormat="false" ht="15" hidden="false" customHeight="false" outlineLevel="0" collapsed="false">
      <c r="A16" s="19"/>
      <c r="B16" s="14"/>
      <c r="C16" s="14"/>
      <c r="D16" s="12" t="str">
        <f aca="false">IF(A16="","",B16+C16)</f>
        <v/>
      </c>
      <c r="E16" s="14"/>
      <c r="F16" s="14"/>
      <c r="G16" s="14"/>
      <c r="H16" s="12" t="str">
        <f aca="false">IF(A16="","",E16+F16+G16)</f>
        <v/>
      </c>
      <c r="I16" s="15" t="str">
        <f aca="false">IF(A16="","",IFERROR(ROUND(H16/D16*100,2),""))</f>
        <v/>
      </c>
      <c r="J16" s="15" t="str">
        <f aca="false">IF(A16="","",IFERROR(ROUND(E16/B16*100,2),""))</f>
        <v/>
      </c>
      <c r="K16" s="15" t="str">
        <f aca="false">IF(A16="","",IFERROR(ROUND(G16/D16*100,2),""))</f>
        <v/>
      </c>
      <c r="L16" s="14"/>
      <c r="M16" s="12" t="str">
        <f aca="false">IF(A16="","",D16-H16-L16)</f>
        <v/>
      </c>
      <c r="N16" s="15" t="str">
        <f aca="false">IF(A16="","",IFERROR(ROUND(M16/D16*100,2),""))</f>
        <v/>
      </c>
    </row>
    <row r="17" customFormat="false" ht="15" hidden="false" customHeight="false" outlineLevel="0" collapsed="false">
      <c r="A17" s="5" t="s">
        <v>65</v>
      </c>
      <c r="B17" s="17" t="n">
        <f aca="false">SUM(B5:B16)</f>
        <v>13350</v>
      </c>
      <c r="C17" s="17" t="n">
        <f aca="false">SUM(C5:C16)</f>
        <v>4600</v>
      </c>
      <c r="D17" s="17" t="n">
        <f aca="false">SUM(D5:D16)</f>
        <v>17950</v>
      </c>
      <c r="E17" s="17" t="n">
        <f aca="false">SUM(E5:E16)</f>
        <v>4160</v>
      </c>
      <c r="F17" s="17" t="n">
        <f aca="false">SUM(F5:F16)</f>
        <v>1185</v>
      </c>
      <c r="G17" s="17" t="n">
        <f aca="false">SUM(G5:G16)</f>
        <v>5070</v>
      </c>
      <c r="H17" s="17" t="n">
        <f aca="false">SUM(H5:H16)</f>
        <v>10415</v>
      </c>
      <c r="I17" s="18" t="n">
        <f aca="false">IFERROR(ROUND(H17/D17*100,2),0)</f>
        <v>58.02</v>
      </c>
      <c r="J17" s="18" t="n">
        <f aca="false">IFERROR(ROUND(E17/B17*100,2),0)</f>
        <v>31.16</v>
      </c>
      <c r="K17" s="18" t="n">
        <f aca="false">IFERROR(ROUND(G17/D17*100,2),0)</f>
        <v>28.25</v>
      </c>
      <c r="L17" s="17" t="n">
        <f aca="false">SUM(L5:L16)</f>
        <v>3650</v>
      </c>
      <c r="M17" s="17" t="n">
        <f aca="false">SUM(M5:M16)</f>
        <v>3885</v>
      </c>
      <c r="N17" s="18" t="n">
        <f aca="false">IFERROR(ROUND(M17/D17*100,2),0)</f>
        <v>21.64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16"/>
    <col collapsed="false" customWidth="true" hidden="false" outlineLevel="0" max="3" min="3" style="1" width="10"/>
    <col collapsed="false" customWidth="true" hidden="false" outlineLevel="0" max="4" min="4" style="1" width="12"/>
    <col collapsed="false" customWidth="true" hidden="false" outlineLevel="0" max="5" min="5" style="1" width="14"/>
  </cols>
  <sheetData>
    <row r="1" customFormat="false" ht="17.35" hidden="false" customHeight="false" outlineLevel="0" collapsed="false">
      <c r="A1" s="2" t="s">
        <v>83</v>
      </c>
    </row>
    <row r="2" customFormat="false" ht="15" hidden="false" customHeight="false" outlineLevel="0" collapsed="false">
      <c r="A2" s="3" t="s">
        <v>84</v>
      </c>
    </row>
    <row r="4" customFormat="false" ht="26.85" hidden="false" customHeight="false" outlineLevel="0" collapsed="false">
      <c r="A4" s="8" t="s">
        <v>85</v>
      </c>
      <c r="B4" s="8" t="s">
        <v>86</v>
      </c>
      <c r="C4" s="8" t="s">
        <v>87</v>
      </c>
      <c r="D4" s="8" t="s">
        <v>88</v>
      </c>
      <c r="E4" s="8" t="s">
        <v>89</v>
      </c>
    </row>
    <row r="5" customFormat="false" ht="15" hidden="false" customHeight="false" outlineLevel="0" collapsed="false">
      <c r="A5" s="9" t="s">
        <v>90</v>
      </c>
      <c r="B5" s="9" t="s">
        <v>91</v>
      </c>
      <c r="C5" s="6" t="n">
        <v>24</v>
      </c>
      <c r="D5" s="11" t="n">
        <v>18</v>
      </c>
      <c r="E5" s="12" t="n">
        <f aca="false">IF(A5="","",ROUND(C5*D5*(1+Settings!$B$4/100),2))</f>
        <v>483.84</v>
      </c>
    </row>
    <row r="6" customFormat="false" ht="15" hidden="false" customHeight="false" outlineLevel="0" collapsed="false">
      <c r="A6" s="9" t="s">
        <v>92</v>
      </c>
      <c r="B6" s="9" t="s">
        <v>91</v>
      </c>
      <c r="C6" s="6" t="n">
        <v>20</v>
      </c>
      <c r="D6" s="11" t="n">
        <v>14</v>
      </c>
      <c r="E6" s="12" t="n">
        <f aca="false">IF(A6="","",ROUND(C6*D6*(1+Settings!$B$4/100),2))</f>
        <v>313.6</v>
      </c>
    </row>
    <row r="7" customFormat="false" ht="15" hidden="false" customHeight="false" outlineLevel="0" collapsed="false">
      <c r="A7" s="9" t="s">
        <v>93</v>
      </c>
      <c r="B7" s="9" t="s">
        <v>94</v>
      </c>
      <c r="C7" s="6" t="n">
        <v>16</v>
      </c>
      <c r="D7" s="11" t="n">
        <v>12</v>
      </c>
      <c r="E7" s="12" t="n">
        <f aca="false">IF(A7="","",ROUND(C7*D7*(1+Settings!$B$4/100),2))</f>
        <v>215.04</v>
      </c>
    </row>
    <row r="8" customFormat="false" ht="15" hidden="false" customHeight="false" outlineLevel="0" collapsed="false">
      <c r="A8" s="9" t="s">
        <v>95</v>
      </c>
      <c r="B8" s="9" t="s">
        <v>94</v>
      </c>
      <c r="C8" s="6" t="n">
        <v>12</v>
      </c>
      <c r="D8" s="11" t="n">
        <v>12</v>
      </c>
      <c r="E8" s="12" t="n">
        <f aca="false">IF(A8="","",ROUND(C8*D8*(1+Settings!$B$4/100),2))</f>
        <v>161.28</v>
      </c>
    </row>
    <row r="9" customFormat="false" ht="15" hidden="false" customHeight="false" outlineLevel="0" collapsed="false">
      <c r="A9" s="9" t="s">
        <v>96</v>
      </c>
      <c r="B9" s="9" t="s">
        <v>97</v>
      </c>
      <c r="C9" s="6" t="n">
        <v>10</v>
      </c>
      <c r="D9" s="11" t="n">
        <v>13</v>
      </c>
      <c r="E9" s="12" t="n">
        <f aca="false">IF(A9="","",ROUND(C9*D9*(1+Settings!$B$4/100),2))</f>
        <v>145.6</v>
      </c>
    </row>
    <row r="10" customFormat="false" ht="15" hidden="false" customHeight="false" outlineLevel="0" collapsed="false">
      <c r="A10" s="9" t="s">
        <v>98</v>
      </c>
      <c r="B10" s="9" t="s">
        <v>99</v>
      </c>
      <c r="C10" s="6" t="n">
        <v>8</v>
      </c>
      <c r="D10" s="11" t="n">
        <v>20</v>
      </c>
      <c r="E10" s="12" t="n">
        <f aca="false">IF(A10="","",ROUND(C10*D10*(1+Settings!$B$4/100),2))</f>
        <v>179.2</v>
      </c>
    </row>
    <row r="11" customFormat="false" ht="15" hidden="false" customHeight="false" outlineLevel="0" collapsed="false">
      <c r="A11" s="9"/>
      <c r="B11" s="9"/>
      <c r="C11" s="20"/>
      <c r="D11" s="14"/>
      <c r="E11" s="12" t="str">
        <f aca="false">IF(A11="","",ROUND(C11*D11*(1+Settings!$B$4/100),2))</f>
        <v/>
      </c>
    </row>
    <row r="12" customFormat="false" ht="15" hidden="false" customHeight="false" outlineLevel="0" collapsed="false">
      <c r="A12" s="9"/>
      <c r="B12" s="9"/>
      <c r="C12" s="20"/>
      <c r="D12" s="14"/>
      <c r="E12" s="12" t="str">
        <f aca="false">IF(A12="","",ROUND(C12*D12*(1+Settings!$B$4/100),2))</f>
        <v/>
      </c>
    </row>
    <row r="13" customFormat="false" ht="15" hidden="false" customHeight="false" outlineLevel="0" collapsed="false">
      <c r="A13" s="9"/>
      <c r="B13" s="9"/>
      <c r="C13" s="20"/>
      <c r="D13" s="14"/>
      <c r="E13" s="12" t="str">
        <f aca="false">IF(A13="","",ROUND(C13*D13*(1+Settings!$B$4/100),2))</f>
        <v/>
      </c>
    </row>
    <row r="14" customFormat="false" ht="15" hidden="false" customHeight="false" outlineLevel="0" collapsed="false">
      <c r="A14" s="9"/>
      <c r="B14" s="9"/>
      <c r="C14" s="20"/>
      <c r="D14" s="14"/>
      <c r="E14" s="12" t="str">
        <f aca="false">IF(A14="","",ROUND(C14*D14*(1+Settings!$B$4/100),2))</f>
        <v/>
      </c>
    </row>
    <row r="15" customFormat="false" ht="15" hidden="false" customHeight="false" outlineLevel="0" collapsed="false">
      <c r="A15" s="9"/>
      <c r="B15" s="9"/>
      <c r="C15" s="20"/>
      <c r="D15" s="14"/>
      <c r="E15" s="12" t="str">
        <f aca="false">IF(A15="","",ROUND(C15*D15*(1+Settings!$B$4/100),2))</f>
        <v/>
      </c>
    </row>
    <row r="16" customFormat="false" ht="15" hidden="false" customHeight="false" outlineLevel="0" collapsed="false">
      <c r="A16" s="9"/>
      <c r="B16" s="9"/>
      <c r="C16" s="20"/>
      <c r="D16" s="14"/>
      <c r="E16" s="12" t="str">
        <f aca="false">IF(A16="","",ROUND(C16*D16*(1+Settings!$B$4/100),2))</f>
        <v/>
      </c>
    </row>
    <row r="17" customFormat="false" ht="15" hidden="false" customHeight="false" outlineLevel="0" collapsed="false">
      <c r="A17" s="9"/>
      <c r="B17" s="9"/>
      <c r="C17" s="20"/>
      <c r="D17" s="14"/>
      <c r="E17" s="12" t="str">
        <f aca="false">IF(A17="","",ROUND(C17*D17*(1+Settings!$B$4/100),2))</f>
        <v/>
      </c>
    </row>
    <row r="18" customFormat="false" ht="15" hidden="false" customHeight="false" outlineLevel="0" collapsed="false">
      <c r="A18" s="9"/>
      <c r="B18" s="9"/>
      <c r="C18" s="20"/>
      <c r="D18" s="14"/>
      <c r="E18" s="12" t="str">
        <f aca="false">IF(A18="","",ROUND(C18*D18*(1+Settings!$B$4/100),2))</f>
        <v/>
      </c>
    </row>
    <row r="19" customFormat="false" ht="15" hidden="false" customHeight="false" outlineLevel="0" collapsed="false">
      <c r="A19" s="9"/>
      <c r="B19" s="9"/>
      <c r="C19" s="20"/>
      <c r="D19" s="14"/>
      <c r="E19" s="12" t="str">
        <f aca="false">IF(A19="","",ROUND(C19*D19*(1+Settings!$B$4/100),2))</f>
        <v/>
      </c>
    </row>
    <row r="20" customFormat="false" ht="15" hidden="false" customHeight="false" outlineLevel="0" collapsed="false">
      <c r="A20" s="9"/>
      <c r="B20" s="9"/>
      <c r="C20" s="20"/>
      <c r="D20" s="14"/>
      <c r="E20" s="12" t="str">
        <f aca="false">IF(A20="","",ROUND(C20*D20*(1+Settings!$B$4/100),2))</f>
        <v/>
      </c>
    </row>
    <row r="21" customFormat="false" ht="15" hidden="false" customHeight="false" outlineLevel="0" collapsed="false">
      <c r="A21" s="9"/>
      <c r="B21" s="9"/>
      <c r="C21" s="20"/>
      <c r="D21" s="14"/>
      <c r="E21" s="12" t="str">
        <f aca="false">IF(A21="","",ROUND(C21*D21*(1+Settings!$B$4/100),2))</f>
        <v/>
      </c>
    </row>
    <row r="22" customFormat="false" ht="15" hidden="false" customHeight="false" outlineLevel="0" collapsed="false">
      <c r="A22" s="9"/>
      <c r="B22" s="9"/>
      <c r="C22" s="20"/>
      <c r="D22" s="14"/>
      <c r="E22" s="12" t="str">
        <f aca="false">IF(A22="","",ROUND(C22*D22*(1+Settings!$B$4/100),2))</f>
        <v/>
      </c>
    </row>
    <row r="23" customFormat="false" ht="15" hidden="false" customHeight="false" outlineLevel="0" collapsed="false">
      <c r="A23" s="9"/>
      <c r="B23" s="9"/>
      <c r="C23" s="20"/>
      <c r="D23" s="14"/>
      <c r="E23" s="12" t="str">
        <f aca="false">IF(A23="","",ROUND(C23*D23*(1+Settings!$B$4/100),2))</f>
        <v/>
      </c>
    </row>
    <row r="24" customFormat="false" ht="15" hidden="false" customHeight="false" outlineLevel="0" collapsed="false">
      <c r="A24" s="9"/>
      <c r="B24" s="9"/>
      <c r="C24" s="20"/>
      <c r="D24" s="14"/>
      <c r="E24" s="12" t="str">
        <f aca="false">IF(A24="","",ROUND(C24*D24*(1+Settings!$B$4/100),2))</f>
        <v/>
      </c>
    </row>
    <row r="25" customFormat="false" ht="15" hidden="false" customHeight="false" outlineLevel="0" collapsed="false">
      <c r="A25" s="5" t="s">
        <v>65</v>
      </c>
      <c r="C25" s="21" t="n">
        <f aca="false">SUM(C5:C24)</f>
        <v>90</v>
      </c>
      <c r="E25" s="17" t="n">
        <f aca="false">SUM(E5:E24)</f>
        <v>1498.56</v>
      </c>
    </row>
    <row r="27" customFormat="false" ht="15" hidden="false" customHeight="false" outlineLevel="0" collapsed="false">
      <c r="A27" s="5" t="s">
        <v>100</v>
      </c>
      <c r="B27" s="11" t="n">
        <f aca="false">Menu!I35</f>
        <v>4365</v>
      </c>
      <c r="C27" s="3" t="s">
        <v>101</v>
      </c>
    </row>
    <row r="28" customFormat="false" ht="15" hidden="false" customHeight="false" outlineLevel="0" collapsed="false">
      <c r="A28" s="5" t="s">
        <v>79</v>
      </c>
      <c r="B28" s="18" t="n">
        <f aca="false">IFERROR(ROUND(E25/B27*100,2),0)</f>
        <v>34.33</v>
      </c>
      <c r="C28" s="3" t="s">
        <v>102</v>
      </c>
    </row>
    <row r="29" customFormat="false" ht="15" hidden="false" customHeight="false" outlineLevel="0" collapsed="false">
      <c r="A29" s="5" t="s">
        <v>103</v>
      </c>
      <c r="B29" s="17" t="n">
        <f aca="false">ROUND(B27*Settings!$B$3/100,2)</f>
        <v>1222.2</v>
      </c>
      <c r="C29" s="3" t="s">
        <v>104</v>
      </c>
    </row>
    <row r="30" customFormat="false" ht="15" hidden="false" customHeight="false" outlineLevel="0" collapsed="false">
      <c r="A30" s="5" t="s">
        <v>105</v>
      </c>
      <c r="B30" s="21" t="n">
        <f aca="false">IFERROR(ROUND((E25-B29)/(AVERAGE(D5:D24)*(1+Settings!$B$4/100)),1),0)</f>
        <v>16.6</v>
      </c>
      <c r="C30" s="3" t="s">
        <v>106</v>
      </c>
    </row>
  </sheetData>
  <dataValidations count="1">
    <dataValidation allowBlank="true" errorStyle="stop" operator="between" showDropDown="false" showErrorMessage="false" showInputMessage="false" sqref="B5:B24" type="list">
      <formula1>"kitchen,front of house,bar,management"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6"/>
    <col collapsed="false" customWidth="true" hidden="false" outlineLevel="0" max="2" min="2" style="1" width="18"/>
    <col collapsed="false" customWidth="true" hidden="false" outlineLevel="0" max="3" min="3" style="1" width="55"/>
  </cols>
  <sheetData>
    <row r="1" customFormat="false" ht="17.35" hidden="false" customHeight="false" outlineLevel="0" collapsed="false">
      <c r="A1" s="2" t="s">
        <v>107</v>
      </c>
    </row>
    <row r="2" customFormat="false" ht="15" hidden="false" customHeight="false" outlineLevel="0" collapsed="false">
      <c r="A2" s="5" t="s">
        <v>108</v>
      </c>
      <c r="B2" s="16" t="n">
        <f aca="false">COUNTA(Menu!A5:A34)</f>
        <v>3</v>
      </c>
    </row>
    <row r="3" customFormat="false" ht="15" hidden="false" customHeight="false" outlineLevel="0" collapsed="false">
      <c r="A3" s="5" t="s">
        <v>66</v>
      </c>
      <c r="B3" s="18" t="n">
        <f aca="false">Menu!D36</f>
        <v>19.51</v>
      </c>
      <c r="C3" s="3" t="s">
        <v>109</v>
      </c>
    </row>
    <row r="4" customFormat="false" ht="15" hidden="false" customHeight="false" outlineLevel="0" collapsed="false">
      <c r="A4" s="5" t="s">
        <v>110</v>
      </c>
      <c r="B4" s="5" t="str">
        <f aca="false">IFERROR(INDEX(Menu!A5:A34,MATCH(MAX(Menu!E5:E34),Menu!E5:E34,0)),"")</f>
        <v>Steak frites</v>
      </c>
      <c r="C4" s="3" t="s">
        <v>111</v>
      </c>
    </row>
    <row r="5" customFormat="false" ht="15" hidden="false" customHeight="false" outlineLevel="0" collapsed="false">
      <c r="A5" s="5" t="s">
        <v>112</v>
      </c>
      <c r="B5" s="5" t="str">
        <f aca="false">IFERROR(INDEX(Menu!A5:A34,MATCH(MAX(Menu!D5:D34),Menu!D5:D34,0)),"")</f>
        <v>Steak frites</v>
      </c>
      <c r="C5" s="3" t="s">
        <v>113</v>
      </c>
    </row>
    <row r="6" customFormat="false" ht="15" hidden="false" customHeight="false" outlineLevel="0" collapsed="false">
      <c r="A6" s="5" t="s">
        <v>114</v>
      </c>
      <c r="B6" s="17" t="n">
        <f aca="false">Menu!I35</f>
        <v>4365</v>
      </c>
    </row>
    <row r="7" customFormat="false" ht="15" hidden="false" customHeight="false" outlineLevel="0" collapsed="false">
      <c r="A7" s="5" t="s">
        <v>115</v>
      </c>
      <c r="B7" s="18" t="n">
        <f aca="false">Labour!B28</f>
        <v>34.33</v>
      </c>
      <c r="C7" s="3" t="s">
        <v>116</v>
      </c>
    </row>
    <row r="8" customFormat="false" ht="15" hidden="false" customHeight="false" outlineLevel="0" collapsed="false">
      <c r="A8" s="5" t="s">
        <v>117</v>
      </c>
      <c r="B8" s="18" t="n">
        <f aca="false">IF(COUNT('Weekly P&amp;L'!D5:D16)=0,"",INDEX('Weekly P&amp;L'!I5:I16,COUNT('Weekly P&amp;L'!D5:D16)))</f>
        <v>60.64</v>
      </c>
      <c r="C8" s="3" t="s">
        <v>118</v>
      </c>
    </row>
    <row r="10" customFormat="false" ht="17.35" hidden="false" customHeight="false" outlineLevel="0" collapsed="false">
      <c r="A10" s="2" t="s">
        <v>119</v>
      </c>
    </row>
    <row r="11" customFormat="false" ht="15" hidden="false" customHeight="false" outlineLevel="0" collapsed="false">
      <c r="A11" s="4" t="s">
        <v>120</v>
      </c>
      <c r="B11" s="6" t="n">
        <v>70</v>
      </c>
      <c r="C11" s="3" t="s">
        <v>121</v>
      </c>
    </row>
    <row r="12" customFormat="false" ht="15" hidden="false" customHeight="false" outlineLevel="0" collapsed="false">
      <c r="A12" s="4" t="s">
        <v>122</v>
      </c>
      <c r="B12" s="22" t="n">
        <f aca="false">IFERROR(ROUND(Settings!$B$7*60/Settings!$B$8,2),0)</f>
        <v>6.4</v>
      </c>
      <c r="C12" s="3" t="s">
        <v>123</v>
      </c>
    </row>
    <row r="13" customFormat="false" ht="15" hidden="false" customHeight="false" outlineLevel="0" collapsed="false">
      <c r="A13" s="4" t="s">
        <v>124</v>
      </c>
      <c r="B13" s="23" t="n">
        <f aca="false">ROUND(Settings!$B$6*B12*B11/100,0)</f>
        <v>269</v>
      </c>
      <c r="C13" s="3" t="s">
        <v>125</v>
      </c>
    </row>
    <row r="14" customFormat="false" ht="15" hidden="false" customHeight="false" outlineLevel="0" collapsed="false">
      <c r="A14" s="5" t="s">
        <v>126</v>
      </c>
      <c r="B14" s="16" t="n">
        <f aca="false">B13*Settings!$B$9</f>
        <v>1614</v>
      </c>
      <c r="C14" s="3" t="s">
        <v>127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2026-10-06T11:45:55Z</dcterms:created>
  <dc:creator>openpyxl</dc:creator>
  <dc:description/>
  <dc:language>en-US</dc:language>
  <cp:lastModifiedBy/>
  <dcterms:modified xsi:type="dcterms:W3CDTF">2026-10-06T11:45:55Z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