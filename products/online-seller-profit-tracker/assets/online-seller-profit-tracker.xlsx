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Products" sheetId="3" state="visible" r:id="rId5"/>
    <sheet name="Orders" sheetId="4" state="visible" r:id="rId6"/>
    <sheet name="Summary" sheetId="5" state="visible" r:id="rId7"/>
    <sheet name="A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Charged on price plus shipping on most marketplaces.</t>
        </r>
      </text>
    </comment>
    <comment ref="B5" authorId="0">
      <text>
        <r>
          <rPr>
            <sz val="10"/>
            <rFont val="Arial"/>
            <family val="2"/>
          </rPr>
          <t xml:space="preserve">Box, filler, label, inserts.</t>
        </r>
      </text>
    </comment>
    <comment ref="B6" authorId="0">
      <text>
        <r>
          <rPr>
            <sz val="10"/>
            <rFont val="Arial"/>
            <family val="2"/>
          </rPr>
          <t xml:space="preserve">Text only.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First month to show; twelve months follow.</t>
        </r>
      </text>
    </comment>
  </commentList>
</comments>
</file>

<file path=xl/sharedStrings.xml><?xml version="1.0" encoding="utf-8"?>
<sst xmlns="http://schemas.openxmlformats.org/spreadsheetml/2006/main" count="81" uniqueCount="61">
  <si>
    <t xml:space="preserve">Online Seller Profit Tracker</t>
  </si>
  <si>
    <t xml:space="preserve">by Knackdesk · knackdesk.com</t>
  </si>
  <si>
    <t xml:space="preserve">HOW TO USE</t>
  </si>
  <si>
    <t xml:space="preserve">1. Settings: enter your platform fee, payment fee and fixed fee per order, and a default packaging cost. These apply to every order.</t>
  </si>
  <si>
    <t xml:space="preserve">2. Products: one row per SKU with its cost and selling price. Orders look these up by SKU.</t>
  </si>
  <si>
    <t xml:space="preserve">3. Orders: one row per order: date, SKU, quantity, shipping charged to the customer and shipping you paid. Price, cost, fees, revenue, profit and margin are calculated. Overwrite the price or cost on a row if that order differed.</t>
  </si>
  <si>
    <t xml:space="preserve">4. Summary: revenue, fees, shipping, profit and margin by month (set the start month), and profit by product.</t>
  </si>
  <si>
    <t xml:space="preserve">5. Ads: monthly ad spend against revenue gives ROAS, and the break-even ROAS from the month's real margin shows whether the spend paid off.</t>
  </si>
  <si>
    <t xml:space="preserve">LEGEND</t>
  </si>
  <si>
    <t xml:space="preserve">Blue text = a cell you type into.   Black text = a formula, leave it alone.   Yellow fill = key inputs.</t>
  </si>
  <si>
    <t xml:space="preserve">Blue cells that already contain a formula (price and cost on order rows) are defaults you may overwrite.</t>
  </si>
  <si>
    <t xml:space="preserve">FORMULAS</t>
  </si>
  <si>
    <t xml:space="preserve">Revenue = price × quantity + shipping charged. Fees = revenue × (platform % + payment %) + fixed fee. Profit = revenue − cost × quantity − packaging − shipping paid − fees.</t>
  </si>
  <si>
    <t xml:space="preserve">Break-even ROAS = revenue ÷ profit before ads for the month (1 ÷ contribution margin).</t>
  </si>
  <si>
    <t xml:space="preserve">Arithmetic only; not tax or financial advice. Support: hello@knackdesk.com</t>
  </si>
  <si>
    <t xml:space="preserve">Settings</t>
  </si>
  <si>
    <t xml:space="preserve">Platform or marketplace fee (% of revenue)</t>
  </si>
  <si>
    <t xml:space="preserve">Charged on price plus shipping on most marketplaces.</t>
  </si>
  <si>
    <t xml:space="preserve">Payment processing fee (%)</t>
  </si>
  <si>
    <t xml:space="preserve">Payment processing fixed fee per order</t>
  </si>
  <si>
    <t xml:space="preserve">Default packaging cost per order</t>
  </si>
  <si>
    <t xml:space="preserve">Box, filler, label, inserts.</t>
  </si>
  <si>
    <t xml:space="preserve">Currency label</t>
  </si>
  <si>
    <t xml:space="preserve">USD</t>
  </si>
  <si>
    <t xml:space="preserve">Text only.</t>
  </si>
  <si>
    <t xml:space="preserve">Products</t>
  </si>
  <si>
    <t xml:space="preserve">SKU</t>
  </si>
  <si>
    <t xml:space="preserve">Name</t>
  </si>
  <si>
    <t xml:space="preserve">Cost per unit</t>
  </si>
  <si>
    <t xml:space="preserve">Price per unit</t>
  </si>
  <si>
    <t xml:space="preserve">Unit margin</t>
  </si>
  <si>
    <t xml:space="preserve">Unit margin %</t>
  </si>
  <si>
    <t xml:space="preserve">SKU-001</t>
  </si>
  <si>
    <t xml:space="preserve">Example candle, large</t>
  </si>
  <si>
    <t xml:space="preserve">SKU-002</t>
  </si>
  <si>
    <t xml:space="preserve">Example candle, small</t>
  </si>
  <si>
    <t xml:space="preserve">Orders</t>
  </si>
  <si>
    <t xml:space="preserve">Total profit</t>
  </si>
  <si>
    <t xml:space="preserve">Date</t>
  </si>
  <si>
    <t xml:space="preserve">Quantity</t>
  </si>
  <si>
    <t xml:space="preserve">Shipping charged</t>
  </si>
  <si>
    <t xml:space="preserve">Shipping paid</t>
  </si>
  <si>
    <t xml:space="preserve">Packaging</t>
  </si>
  <si>
    <t xml:space="preserve">Fees</t>
  </si>
  <si>
    <t xml:space="preserve">Profit</t>
  </si>
  <si>
    <t xml:space="preserve">Revenue</t>
  </si>
  <si>
    <t xml:space="preserve">Margin %</t>
  </si>
  <si>
    <t xml:space="preserve">Month</t>
  </si>
  <si>
    <t xml:space="preserve">Summary</t>
  </si>
  <si>
    <t xml:space="preserve">Start month</t>
  </si>
  <si>
    <t xml:space="preserve">12 months</t>
  </si>
  <si>
    <t xml:space="preserve">Units sold</t>
  </si>
  <si>
    <t xml:space="preserve">Profit by product covers the first 20 SKUs on the Products sheet.</t>
  </si>
  <si>
    <t xml:space="preserve">Ads</t>
  </si>
  <si>
    <t xml:space="preserve">Enter monthly ad spend. Revenue and profit come from the Summary sheet; break-even ROAS is revenue ÷ profit before ads.</t>
  </si>
  <si>
    <t xml:space="preserve">Ad spend</t>
  </si>
  <si>
    <t xml:space="preserve">Profit before ads</t>
  </si>
  <si>
    <t xml:space="preserve">ROAS</t>
  </si>
  <si>
    <t xml:space="preserve">Break-even ROAS</t>
  </si>
  <si>
    <t xml:space="preserve">Profit after ads</t>
  </si>
  <si>
    <t xml:space="preserve">Verdict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</si>
</sst>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;\(#,##0.00\);\-"/>
    <numFmt numFmtId="167" formatCode="0.00\%"/>
    <numFmt numFmtId="168" formatCode="0"/>
    <numFmt numFmtId="169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3" t="s">
        <v>16</v>
      </c>
      <c r="B2" s="5" t="n">
        <v>10</v>
      </c>
      <c r="C2" s="2" t="s">
        <v>17</v>
      </c>
    </row>
    <row r="3" customFormat="false" ht="15" hidden="false" customHeight="false" outlineLevel="0" collapsed="false">
      <c r="A3" s="3" t="s">
        <v>18</v>
      </c>
      <c r="B3" s="5" t="n">
        <v>3</v>
      </c>
    </row>
    <row r="4" customFormat="false" ht="15" hidden="false" customHeight="false" outlineLevel="0" collapsed="false">
      <c r="A4" s="3" t="s">
        <v>19</v>
      </c>
      <c r="B4" s="6" t="n">
        <v>0.3</v>
      </c>
    </row>
    <row r="5" customFormat="false" ht="15" hidden="false" customHeight="false" outlineLevel="0" collapsed="false">
      <c r="A5" s="3" t="s">
        <v>20</v>
      </c>
      <c r="B5" s="6" t="n">
        <v>1</v>
      </c>
      <c r="C5" s="2" t="s">
        <v>21</v>
      </c>
    </row>
    <row r="6" customFormat="false" ht="15" hidden="false" customHeight="false" outlineLevel="0" collapsed="false">
      <c r="A6" s="3" t="s">
        <v>22</v>
      </c>
      <c r="B6" s="7" t="s">
        <v>23</v>
      </c>
      <c r="C6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25</v>
      </c>
    </row>
    <row r="4" customFormat="false" ht="26.85" hidden="false" customHeight="fals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</row>
    <row r="5" customFormat="false" ht="15" hidden="false" customHeight="false" outlineLevel="0" collapsed="false">
      <c r="A5" s="7" t="s">
        <v>32</v>
      </c>
      <c r="B5" s="9" t="s">
        <v>33</v>
      </c>
      <c r="C5" s="10" t="n">
        <v>15</v>
      </c>
      <c r="D5" s="10" t="n">
        <v>40</v>
      </c>
      <c r="E5" s="11" t="n">
        <f aca="false">IF(A5="","",D5-C5)</f>
        <v>25</v>
      </c>
      <c r="F5" s="12" t="n">
        <f aca="false">IF(OR(A5="",D5=0),"",ROUND((D5-C5)/D5*100,2))</f>
        <v>62.5</v>
      </c>
    </row>
    <row r="6" customFormat="false" ht="15" hidden="false" customHeight="false" outlineLevel="0" collapsed="false">
      <c r="A6" s="9" t="s">
        <v>34</v>
      </c>
      <c r="B6" s="9" t="s">
        <v>35</v>
      </c>
      <c r="C6" s="10" t="n">
        <v>8</v>
      </c>
      <c r="D6" s="10" t="n">
        <v>22</v>
      </c>
      <c r="E6" s="11" t="n">
        <f aca="false">IF(A6="","",D6-C6)</f>
        <v>14</v>
      </c>
      <c r="F6" s="12" t="n">
        <f aca="false">IF(OR(A6="",D6=0),"",ROUND((D6-C6)/D6*100,2))</f>
        <v>63.64</v>
      </c>
    </row>
    <row r="7" customFormat="false" ht="15" hidden="false" customHeight="false" outlineLevel="0" collapsed="false">
      <c r="A7" s="9"/>
      <c r="B7" s="9"/>
      <c r="C7" s="10"/>
      <c r="D7" s="10"/>
      <c r="E7" s="11" t="str">
        <f aca="false">IF(A7="","",D7-C7)</f>
        <v/>
      </c>
      <c r="F7" s="12" t="str">
        <f aca="false">IF(OR(A7="",D7=0),"",ROUND((D7-C7)/D7*100,2))</f>
        <v/>
      </c>
    </row>
    <row r="8" customFormat="false" ht="15" hidden="false" customHeight="false" outlineLevel="0" collapsed="false">
      <c r="A8" s="9"/>
      <c r="B8" s="9"/>
      <c r="C8" s="10"/>
      <c r="D8" s="10"/>
      <c r="E8" s="11" t="str">
        <f aca="false">IF(A8="","",D8-C8)</f>
        <v/>
      </c>
      <c r="F8" s="12" t="str">
        <f aca="false">IF(OR(A8="",D8=0),"",ROUND((D8-C8)/D8*100,2))</f>
        <v/>
      </c>
    </row>
    <row r="9" customFormat="false" ht="15" hidden="false" customHeight="false" outlineLevel="0" collapsed="false">
      <c r="A9" s="9"/>
      <c r="B9" s="9"/>
      <c r="C9" s="10"/>
      <c r="D9" s="10"/>
      <c r="E9" s="11" t="str">
        <f aca="false">IF(A9="","",D9-C9)</f>
        <v/>
      </c>
      <c r="F9" s="12" t="str">
        <f aca="false">IF(OR(A9="",D9=0),"",ROUND((D9-C9)/D9*100,2))</f>
        <v/>
      </c>
    </row>
    <row r="10" customFormat="false" ht="15" hidden="false" customHeight="false" outlineLevel="0" collapsed="false">
      <c r="A10" s="9"/>
      <c r="B10" s="9"/>
      <c r="C10" s="10"/>
      <c r="D10" s="10"/>
      <c r="E10" s="11" t="str">
        <f aca="false">IF(A10="","",D10-C10)</f>
        <v/>
      </c>
      <c r="F10" s="12" t="str">
        <f aca="false">IF(OR(A10="",D10=0),"",ROUND((D10-C10)/D10*100,2))</f>
        <v/>
      </c>
    </row>
    <row r="11" customFormat="false" ht="15" hidden="false" customHeight="false" outlineLevel="0" collapsed="false">
      <c r="A11" s="9"/>
      <c r="B11" s="9"/>
      <c r="C11" s="10"/>
      <c r="D11" s="10"/>
      <c r="E11" s="11" t="str">
        <f aca="false">IF(A11="","",D11-C11)</f>
        <v/>
      </c>
      <c r="F11" s="12" t="str">
        <f aca="false">IF(OR(A11="",D11=0),"",ROUND((D11-C11)/D11*100,2))</f>
        <v/>
      </c>
    </row>
    <row r="12" customFormat="false" ht="15" hidden="false" customHeight="false" outlineLevel="0" collapsed="false">
      <c r="A12" s="9"/>
      <c r="B12" s="9"/>
      <c r="C12" s="10"/>
      <c r="D12" s="10"/>
      <c r="E12" s="11" t="str">
        <f aca="false">IF(A12="","",D12-C12)</f>
        <v/>
      </c>
      <c r="F12" s="12" t="str">
        <f aca="false">IF(OR(A12="",D12=0),"",ROUND((D12-C12)/D12*100,2))</f>
        <v/>
      </c>
    </row>
    <row r="13" customFormat="false" ht="15" hidden="false" customHeight="false" outlineLevel="0" collapsed="false">
      <c r="A13" s="9"/>
      <c r="B13" s="9"/>
      <c r="C13" s="10"/>
      <c r="D13" s="10"/>
      <c r="E13" s="11" t="str">
        <f aca="false">IF(A13="","",D13-C13)</f>
        <v/>
      </c>
      <c r="F13" s="12" t="str">
        <f aca="false">IF(OR(A13="",D13=0),"",ROUND((D13-C13)/D13*100,2))</f>
        <v/>
      </c>
    </row>
    <row r="14" customFormat="false" ht="15" hidden="false" customHeight="false" outlineLevel="0" collapsed="false">
      <c r="A14" s="9"/>
      <c r="B14" s="9"/>
      <c r="C14" s="10"/>
      <c r="D14" s="10"/>
      <c r="E14" s="11" t="str">
        <f aca="false">IF(A14="","",D14-C14)</f>
        <v/>
      </c>
      <c r="F14" s="12" t="str">
        <f aca="false">IF(OR(A14="",D14=0),"",ROUND((D14-C14)/D14*100,2))</f>
        <v/>
      </c>
    </row>
    <row r="15" customFormat="false" ht="15" hidden="false" customHeight="false" outlineLevel="0" collapsed="false">
      <c r="A15" s="9"/>
      <c r="B15" s="9"/>
      <c r="C15" s="10"/>
      <c r="D15" s="10"/>
      <c r="E15" s="11" t="str">
        <f aca="false">IF(A15="","",D15-C15)</f>
        <v/>
      </c>
      <c r="F15" s="12" t="str">
        <f aca="false">IF(OR(A15="",D15=0),"",ROUND((D15-C15)/D15*100,2))</f>
        <v/>
      </c>
    </row>
    <row r="16" customFormat="false" ht="15" hidden="false" customHeight="false" outlineLevel="0" collapsed="false">
      <c r="A16" s="9"/>
      <c r="B16" s="9"/>
      <c r="C16" s="10"/>
      <c r="D16" s="10"/>
      <c r="E16" s="11" t="str">
        <f aca="false">IF(A16="","",D16-C16)</f>
        <v/>
      </c>
      <c r="F16" s="12" t="str">
        <f aca="false">IF(OR(A16="",D16=0),"",ROUND((D16-C16)/D16*100,2))</f>
        <v/>
      </c>
    </row>
    <row r="17" customFormat="false" ht="15" hidden="false" customHeight="false" outlineLevel="0" collapsed="false">
      <c r="A17" s="9"/>
      <c r="B17" s="9"/>
      <c r="C17" s="10"/>
      <c r="D17" s="10"/>
      <c r="E17" s="11" t="str">
        <f aca="false">IF(A17="","",D17-C17)</f>
        <v/>
      </c>
      <c r="F17" s="12" t="str">
        <f aca="false">IF(OR(A17="",D17=0),"",ROUND((D17-C17)/D17*100,2))</f>
        <v/>
      </c>
    </row>
    <row r="18" customFormat="false" ht="15" hidden="false" customHeight="false" outlineLevel="0" collapsed="false">
      <c r="A18" s="9"/>
      <c r="B18" s="9"/>
      <c r="C18" s="10"/>
      <c r="D18" s="10"/>
      <c r="E18" s="11" t="str">
        <f aca="false">IF(A18="","",D18-C18)</f>
        <v/>
      </c>
      <c r="F18" s="12" t="str">
        <f aca="false">IF(OR(A18="",D18=0),"",ROUND((D18-C18)/D18*100,2))</f>
        <v/>
      </c>
    </row>
    <row r="19" customFormat="false" ht="15" hidden="false" customHeight="false" outlineLevel="0" collapsed="false">
      <c r="A19" s="9"/>
      <c r="B19" s="9"/>
      <c r="C19" s="10"/>
      <c r="D19" s="10"/>
      <c r="E19" s="11" t="str">
        <f aca="false">IF(A19="","",D19-C19)</f>
        <v/>
      </c>
      <c r="F19" s="12" t="str">
        <f aca="false">IF(OR(A19="",D19=0),"",ROUND((D19-C19)/D19*100,2))</f>
        <v/>
      </c>
    </row>
    <row r="20" customFormat="false" ht="15" hidden="false" customHeight="false" outlineLevel="0" collapsed="false">
      <c r="A20" s="9"/>
      <c r="B20" s="9"/>
      <c r="C20" s="10"/>
      <c r="D20" s="10"/>
      <c r="E20" s="11" t="str">
        <f aca="false">IF(A20="","",D20-C20)</f>
        <v/>
      </c>
      <c r="F20" s="12" t="str">
        <f aca="false">IF(OR(A20="",D20=0),"",ROUND((D20-C20)/D20*100,2))</f>
        <v/>
      </c>
    </row>
    <row r="21" customFormat="false" ht="15" hidden="false" customHeight="false" outlineLevel="0" collapsed="false">
      <c r="A21" s="9"/>
      <c r="B21" s="9"/>
      <c r="C21" s="10"/>
      <c r="D21" s="10"/>
      <c r="E21" s="11" t="str">
        <f aca="false">IF(A21="","",D21-C21)</f>
        <v/>
      </c>
      <c r="F21" s="12" t="str">
        <f aca="false">IF(OR(A21="",D21=0),"",ROUND((D21-C21)/D21*100,2))</f>
        <v/>
      </c>
    </row>
    <row r="22" customFormat="false" ht="15" hidden="false" customHeight="false" outlineLevel="0" collapsed="false">
      <c r="A22" s="9"/>
      <c r="B22" s="9"/>
      <c r="C22" s="10"/>
      <c r="D22" s="10"/>
      <c r="E22" s="11" t="str">
        <f aca="false">IF(A22="","",D22-C22)</f>
        <v/>
      </c>
      <c r="F22" s="12" t="str">
        <f aca="false">IF(OR(A22="",D22=0),"",ROUND((D22-C22)/D22*100,2))</f>
        <v/>
      </c>
    </row>
    <row r="23" customFormat="false" ht="15" hidden="false" customHeight="false" outlineLevel="0" collapsed="false">
      <c r="A23" s="9"/>
      <c r="B23" s="9"/>
      <c r="C23" s="10"/>
      <c r="D23" s="10"/>
      <c r="E23" s="11" t="str">
        <f aca="false">IF(A23="","",D23-C23)</f>
        <v/>
      </c>
      <c r="F23" s="12" t="str">
        <f aca="false">IF(OR(A23="",D23=0),"",ROUND((D23-C23)/D23*100,2))</f>
        <v/>
      </c>
    </row>
    <row r="24" customFormat="false" ht="15" hidden="false" customHeight="false" outlineLevel="0" collapsed="false">
      <c r="A24" s="9"/>
      <c r="B24" s="9"/>
      <c r="C24" s="10"/>
      <c r="D24" s="10"/>
      <c r="E24" s="11" t="str">
        <f aca="false">IF(A24="","",D24-C24)</f>
        <v/>
      </c>
      <c r="F24" s="12" t="str">
        <f aca="false">IF(OR(A24="",D24=0),"",ROUND((D24-C24)/D24*100,2))</f>
        <v/>
      </c>
    </row>
    <row r="25" customFormat="false" ht="15" hidden="false" customHeight="false" outlineLevel="0" collapsed="false">
      <c r="A25" s="9"/>
      <c r="B25" s="9"/>
      <c r="C25" s="10"/>
      <c r="D25" s="10"/>
      <c r="E25" s="11" t="str">
        <f aca="false">IF(A25="","",D25-C25)</f>
        <v/>
      </c>
      <c r="F25" s="12" t="str">
        <f aca="false">IF(OR(A25="",D25=0),"",ROUND((D25-C25)/D25*100,2))</f>
        <v/>
      </c>
    </row>
    <row r="26" customFormat="false" ht="15" hidden="false" customHeight="false" outlineLevel="0" collapsed="false">
      <c r="A26" s="9"/>
      <c r="B26" s="9"/>
      <c r="C26" s="10"/>
      <c r="D26" s="10"/>
      <c r="E26" s="11" t="str">
        <f aca="false">IF(A26="","",D26-C26)</f>
        <v/>
      </c>
      <c r="F26" s="12" t="str">
        <f aca="false">IF(OR(A26="",D26=0),"",ROUND((D26-C26)/D26*100,2))</f>
        <v/>
      </c>
    </row>
    <row r="27" customFormat="false" ht="15" hidden="false" customHeight="false" outlineLevel="0" collapsed="false">
      <c r="A27" s="9"/>
      <c r="B27" s="9"/>
      <c r="C27" s="10"/>
      <c r="D27" s="10"/>
      <c r="E27" s="11" t="str">
        <f aca="false">IF(A27="","",D27-C27)</f>
        <v/>
      </c>
      <c r="F27" s="12" t="str">
        <f aca="false">IF(OR(A27="",D27=0),"",ROUND((D27-C27)/D27*100,2))</f>
        <v/>
      </c>
    </row>
    <row r="28" customFormat="false" ht="15" hidden="false" customHeight="false" outlineLevel="0" collapsed="false">
      <c r="A28" s="9"/>
      <c r="B28" s="9"/>
      <c r="C28" s="10"/>
      <c r="D28" s="10"/>
      <c r="E28" s="11" t="str">
        <f aca="false">IF(A28="","",D28-C28)</f>
        <v/>
      </c>
      <c r="F28" s="12" t="str">
        <f aca="false">IF(OR(A28="",D28=0),"",ROUND((D28-C28)/D28*100,2))</f>
        <v/>
      </c>
    </row>
    <row r="29" customFormat="false" ht="15" hidden="false" customHeight="false" outlineLevel="0" collapsed="false">
      <c r="A29" s="9"/>
      <c r="B29" s="9"/>
      <c r="C29" s="10"/>
      <c r="D29" s="10"/>
      <c r="E29" s="11" t="str">
        <f aca="false">IF(A29="","",D29-C29)</f>
        <v/>
      </c>
      <c r="F29" s="12" t="str">
        <f aca="false">IF(OR(A29="",D29=0),"",ROUND((D29-C29)/D29*100,2))</f>
        <v/>
      </c>
    </row>
    <row r="30" customFormat="false" ht="15" hidden="false" customHeight="false" outlineLevel="0" collapsed="false">
      <c r="A30" s="9"/>
      <c r="B30" s="9"/>
      <c r="C30" s="10"/>
      <c r="D30" s="10"/>
      <c r="E30" s="11" t="str">
        <f aca="false">IF(A30="","",D30-C30)</f>
        <v/>
      </c>
      <c r="F30" s="12" t="str">
        <f aca="false">IF(OR(A30="",D30=0),"",ROUND((D30-C30)/D30*100,2))</f>
        <v/>
      </c>
    </row>
    <row r="31" customFormat="false" ht="15" hidden="false" customHeight="false" outlineLevel="0" collapsed="false">
      <c r="A31" s="9"/>
      <c r="B31" s="9"/>
      <c r="C31" s="10"/>
      <c r="D31" s="10"/>
      <c r="E31" s="11" t="str">
        <f aca="false">IF(A31="","",D31-C31)</f>
        <v/>
      </c>
      <c r="F31" s="12" t="str">
        <f aca="false">IF(OR(A31="",D31=0),"",ROUND((D31-C31)/D31*100,2))</f>
        <v/>
      </c>
    </row>
    <row r="32" customFormat="false" ht="15" hidden="false" customHeight="false" outlineLevel="0" collapsed="false">
      <c r="A32" s="9"/>
      <c r="B32" s="9"/>
      <c r="C32" s="10"/>
      <c r="D32" s="10"/>
      <c r="E32" s="11" t="str">
        <f aca="false">IF(A32="","",D32-C32)</f>
        <v/>
      </c>
      <c r="F32" s="12" t="str">
        <f aca="false">IF(OR(A32="",D32=0),"",ROUND((D32-C32)/D32*100,2))</f>
        <v/>
      </c>
    </row>
    <row r="33" customFormat="false" ht="15" hidden="false" customHeight="false" outlineLevel="0" collapsed="false">
      <c r="A33" s="9"/>
      <c r="B33" s="9"/>
      <c r="C33" s="10"/>
      <c r="D33" s="10"/>
      <c r="E33" s="11" t="str">
        <f aca="false">IF(A33="","",D33-C33)</f>
        <v/>
      </c>
      <c r="F33" s="12" t="str">
        <f aca="false">IF(OR(A33="",D33=0),"",ROUND((D33-C33)/D33*100,2))</f>
        <v/>
      </c>
    </row>
    <row r="34" customFormat="false" ht="15" hidden="false" customHeight="false" outlineLevel="0" collapsed="false">
      <c r="A34" s="9"/>
      <c r="B34" s="9"/>
      <c r="C34" s="10"/>
      <c r="D34" s="10"/>
      <c r="E34" s="11" t="str">
        <f aca="false">IF(A34="","",D34-C34)</f>
        <v/>
      </c>
      <c r="F34" s="12" t="str">
        <f aca="false">IF(OR(A34="",D34=0),"",ROUND((D34-C34)/D34*100,2))</f>
        <v/>
      </c>
    </row>
    <row r="35" customFormat="false" ht="15" hidden="false" customHeight="false" outlineLevel="0" collapsed="false">
      <c r="A35" s="9"/>
      <c r="B35" s="9"/>
      <c r="C35" s="10"/>
      <c r="D35" s="10"/>
      <c r="E35" s="11" t="str">
        <f aca="false">IF(A35="","",D35-C35)</f>
        <v/>
      </c>
      <c r="F35" s="12" t="str">
        <f aca="false">IF(OR(A35="",D35=0),"",ROUND((D35-C35)/D35*100,2))</f>
        <v/>
      </c>
    </row>
    <row r="36" customFormat="false" ht="15" hidden="false" customHeight="false" outlineLevel="0" collapsed="false">
      <c r="A36" s="9"/>
      <c r="B36" s="9"/>
      <c r="C36" s="10"/>
      <c r="D36" s="10"/>
      <c r="E36" s="11" t="str">
        <f aca="false">IF(A36="","",D36-C36)</f>
        <v/>
      </c>
      <c r="F36" s="12" t="str">
        <f aca="false">IF(OR(A36="",D36=0),"",ROUND((D36-C36)/D36*100,2))</f>
        <v/>
      </c>
    </row>
    <row r="37" customFormat="false" ht="15" hidden="false" customHeight="false" outlineLevel="0" collapsed="false">
      <c r="A37" s="9"/>
      <c r="B37" s="9"/>
      <c r="C37" s="10"/>
      <c r="D37" s="10"/>
      <c r="E37" s="11" t="str">
        <f aca="false">IF(A37="","",D37-C37)</f>
        <v/>
      </c>
      <c r="F37" s="12" t="str">
        <f aca="false">IF(OR(A37="",D37=0),"",ROUND((D37-C37)/D37*100,2))</f>
        <v/>
      </c>
    </row>
    <row r="38" customFormat="false" ht="15" hidden="false" customHeight="false" outlineLevel="0" collapsed="false">
      <c r="A38" s="9"/>
      <c r="B38" s="9"/>
      <c r="C38" s="10"/>
      <c r="D38" s="10"/>
      <c r="E38" s="11" t="str">
        <f aca="false">IF(A38="","",D38-C38)</f>
        <v/>
      </c>
      <c r="F38" s="12" t="str">
        <f aca="false">IF(OR(A38="",D38=0),"",ROUND((D38-C38)/D38*100,2))</f>
        <v/>
      </c>
    </row>
    <row r="39" customFormat="false" ht="15" hidden="false" customHeight="false" outlineLevel="0" collapsed="false">
      <c r="A39" s="9"/>
      <c r="B39" s="9"/>
      <c r="C39" s="10"/>
      <c r="D39" s="10"/>
      <c r="E39" s="11" t="str">
        <f aca="false">IF(A39="","",D39-C39)</f>
        <v/>
      </c>
      <c r="F39" s="12" t="str">
        <f aca="false">IF(OR(A39="",D39=0),"",ROUND((D39-C39)/D39*100,2))</f>
        <v/>
      </c>
    </row>
    <row r="40" customFormat="false" ht="15" hidden="false" customHeight="false" outlineLevel="0" collapsed="false">
      <c r="A40" s="9"/>
      <c r="B40" s="9"/>
      <c r="C40" s="10"/>
      <c r="D40" s="10"/>
      <c r="E40" s="11" t="str">
        <f aca="false">IF(A40="","",D40-C40)</f>
        <v/>
      </c>
      <c r="F40" s="12" t="str">
        <f aca="false">IF(OR(A40="",D40=0),"",ROUND((D40-C40)/D40*100,2))</f>
        <v/>
      </c>
    </row>
    <row r="41" customFormat="false" ht="15" hidden="false" customHeight="false" outlineLevel="0" collapsed="false">
      <c r="A41" s="9"/>
      <c r="B41" s="9"/>
      <c r="C41" s="10"/>
      <c r="D41" s="10"/>
      <c r="E41" s="11" t="str">
        <f aca="false">IF(A41="","",D41-C41)</f>
        <v/>
      </c>
      <c r="F41" s="12" t="str">
        <f aca="false">IF(OR(A41="",D41=0),"",ROUND((D41-C41)/D41*100,2))</f>
        <v/>
      </c>
    </row>
    <row r="42" customFormat="false" ht="15" hidden="false" customHeight="false" outlineLevel="0" collapsed="false">
      <c r="A42" s="9"/>
      <c r="B42" s="9"/>
      <c r="C42" s="10"/>
      <c r="D42" s="10"/>
      <c r="E42" s="11" t="str">
        <f aca="false">IF(A42="","",D42-C42)</f>
        <v/>
      </c>
      <c r="F42" s="12" t="str">
        <f aca="false">IF(OR(A42="",D42=0),"",ROUND((D42-C42)/D42*100,2))</f>
        <v/>
      </c>
    </row>
    <row r="43" customFormat="false" ht="15" hidden="false" customHeight="false" outlineLevel="0" collapsed="false">
      <c r="A43" s="9"/>
      <c r="B43" s="9"/>
      <c r="C43" s="10"/>
      <c r="D43" s="10"/>
      <c r="E43" s="11" t="str">
        <f aca="false">IF(A43="","",D43-C43)</f>
        <v/>
      </c>
      <c r="F43" s="12" t="str">
        <f aca="false">IF(OR(A43="",D43=0),"",ROUND((D43-C43)/D43*100,2))</f>
        <v/>
      </c>
    </row>
    <row r="44" customFormat="false" ht="15" hidden="false" customHeight="false" outlineLevel="0" collapsed="false">
      <c r="A44" s="9"/>
      <c r="B44" s="9"/>
      <c r="C44" s="10"/>
      <c r="D44" s="10"/>
      <c r="E44" s="11" t="str">
        <f aca="false">IF(A44="","",D44-C44)</f>
        <v/>
      </c>
      <c r="F44" s="12" t="str">
        <f aca="false">IF(OR(A44="",D44=0),"",ROUND((D44-C44)/D44*100,2))</f>
        <v/>
      </c>
    </row>
    <row r="45" customFormat="false" ht="15" hidden="false" customHeight="false" outlineLevel="0" collapsed="false">
      <c r="A45" s="9"/>
      <c r="B45" s="9"/>
      <c r="C45" s="10"/>
      <c r="D45" s="10"/>
      <c r="E45" s="11" t="str">
        <f aca="false">IF(A45="","",D45-C45)</f>
        <v/>
      </c>
      <c r="F45" s="12" t="str">
        <f aca="false">IF(OR(A45="",D45=0),"",ROUND((D45-C45)/D45*100,2))</f>
        <v/>
      </c>
    </row>
    <row r="46" customFormat="false" ht="15" hidden="false" customHeight="false" outlineLevel="0" collapsed="false">
      <c r="A46" s="9"/>
      <c r="B46" s="9"/>
      <c r="C46" s="10"/>
      <c r="D46" s="10"/>
      <c r="E46" s="11" t="str">
        <f aca="false">IF(A46="","",D46-C46)</f>
        <v/>
      </c>
      <c r="F46" s="12" t="str">
        <f aca="false">IF(OR(A46="",D46=0),"",ROUND((D46-C46)/D46*100,2))</f>
        <v/>
      </c>
    </row>
    <row r="47" customFormat="false" ht="15" hidden="false" customHeight="false" outlineLevel="0" collapsed="false">
      <c r="A47" s="9"/>
      <c r="B47" s="9"/>
      <c r="C47" s="10"/>
      <c r="D47" s="10"/>
      <c r="E47" s="11" t="str">
        <f aca="false">IF(A47="","",D47-C47)</f>
        <v/>
      </c>
      <c r="F47" s="12" t="str">
        <f aca="false">IF(OR(A47="",D47=0),"",ROUND((D47-C47)/D47*100,2))</f>
        <v/>
      </c>
    </row>
    <row r="48" customFormat="false" ht="15" hidden="false" customHeight="false" outlineLevel="0" collapsed="false">
      <c r="A48" s="9"/>
      <c r="B48" s="9"/>
      <c r="C48" s="10"/>
      <c r="D48" s="10"/>
      <c r="E48" s="11" t="str">
        <f aca="false">IF(A48="","",D48-C48)</f>
        <v/>
      </c>
      <c r="F48" s="12" t="str">
        <f aca="false">IF(OR(A48="",D48=0),"",ROUND((D48-C48)/D48*100,2))</f>
        <v/>
      </c>
    </row>
    <row r="49" customFormat="false" ht="15" hidden="false" customHeight="false" outlineLevel="0" collapsed="false">
      <c r="A49" s="9"/>
      <c r="B49" s="9"/>
      <c r="C49" s="10"/>
      <c r="D49" s="10"/>
      <c r="E49" s="11" t="str">
        <f aca="false">IF(A49="","",D49-C49)</f>
        <v/>
      </c>
      <c r="F49" s="12" t="str">
        <f aca="false">IF(OR(A49="",D49=0),"",ROUND((D49-C49)/D49*100,2))</f>
        <v/>
      </c>
    </row>
    <row r="50" customFormat="false" ht="15" hidden="false" customHeight="false" outlineLevel="0" collapsed="false">
      <c r="A50" s="9"/>
      <c r="B50" s="9"/>
      <c r="C50" s="10"/>
      <c r="D50" s="10"/>
      <c r="E50" s="11" t="str">
        <f aca="false">IF(A50="","",D50-C50)</f>
        <v/>
      </c>
      <c r="F50" s="12" t="str">
        <f aca="false">IF(OR(A50="",D50=0),"",ROUND((D50-C50)/D50*100,2))</f>
        <v/>
      </c>
    </row>
    <row r="51" customFormat="false" ht="15" hidden="false" customHeight="false" outlineLevel="0" collapsed="false">
      <c r="A51" s="9"/>
      <c r="B51" s="9"/>
      <c r="C51" s="10"/>
      <c r="D51" s="10"/>
      <c r="E51" s="11" t="str">
        <f aca="false">IF(A51="","",D51-C51)</f>
        <v/>
      </c>
      <c r="F51" s="12" t="str">
        <f aca="false">IF(OR(A51="",D51=0),"",ROUND((D51-C51)/D51*100,2))</f>
        <v/>
      </c>
    </row>
    <row r="52" customFormat="false" ht="15" hidden="false" customHeight="false" outlineLevel="0" collapsed="false">
      <c r="A52" s="9"/>
      <c r="B52" s="9"/>
      <c r="C52" s="10"/>
      <c r="D52" s="10"/>
      <c r="E52" s="11" t="str">
        <f aca="false">IF(A52="","",D52-C52)</f>
        <v/>
      </c>
      <c r="F52" s="12" t="str">
        <f aca="false">IF(OR(A52="",D52=0),"",ROUND((D52-C52)/D52*100,2))</f>
        <v/>
      </c>
    </row>
    <row r="53" customFormat="false" ht="15" hidden="false" customHeight="false" outlineLevel="0" collapsed="false">
      <c r="A53" s="9"/>
      <c r="B53" s="9"/>
      <c r="C53" s="10"/>
      <c r="D53" s="10"/>
      <c r="E53" s="11" t="str">
        <f aca="false">IF(A53="","",D53-C53)</f>
        <v/>
      </c>
      <c r="F53" s="12" t="str">
        <f aca="false">IF(OR(A53="",D53=0),"",ROUND((D53-C53)/D53*100,2))</f>
        <v/>
      </c>
    </row>
    <row r="54" customFormat="false" ht="15" hidden="false" customHeight="false" outlineLevel="0" collapsed="false">
      <c r="A54" s="9"/>
      <c r="B54" s="9"/>
      <c r="C54" s="10"/>
      <c r="D54" s="10"/>
      <c r="E54" s="11" t="str">
        <f aca="false">IF(A54="","",D54-C54)</f>
        <v/>
      </c>
      <c r="F54" s="12" t="str">
        <f aca="false">IF(OR(A54="",D54=0),"",ROUND((D54-C54)/D54*100,2))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7" min="4" style="0" width="12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3" min="12" style="0" width="1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4" t="s">
        <v>37</v>
      </c>
      <c r="B2" s="13" t="n">
        <f aca="false">SUM(J5:J504)</f>
        <v>33.33</v>
      </c>
      <c r="C2" s="4" t="s">
        <v>36</v>
      </c>
      <c r="D2" s="14" t="n">
        <f aca="false">COUNTA(A5:A504)</f>
        <v>2</v>
      </c>
    </row>
    <row r="4" customFormat="false" ht="26.85" hidden="false" customHeight="false" outlineLevel="0" collapsed="false">
      <c r="A4" s="8" t="s">
        <v>38</v>
      </c>
      <c r="B4" s="8" t="s">
        <v>26</v>
      </c>
      <c r="C4" s="8" t="s">
        <v>39</v>
      </c>
      <c r="D4" s="8" t="s">
        <v>29</v>
      </c>
      <c r="E4" s="8" t="s">
        <v>28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44</v>
      </c>
      <c r="K4" s="8" t="s">
        <v>45</v>
      </c>
      <c r="L4" s="8" t="s">
        <v>46</v>
      </c>
      <c r="M4" s="8" t="s">
        <v>47</v>
      </c>
    </row>
    <row r="5" customFormat="false" ht="15" hidden="false" customHeight="false" outlineLevel="0" collapsed="false">
      <c r="A5" s="15" t="n">
        <v>46287</v>
      </c>
      <c r="B5" s="7" t="s">
        <v>32</v>
      </c>
      <c r="C5" s="16" t="n">
        <v>1</v>
      </c>
      <c r="D5" s="10" t="n">
        <f aca="false">IF(B5="","",IFERROR(INDEX(Products!$D$5:$D$54,MATCH(B5,Products!$A$5:$A$54,0)),0))</f>
        <v>40</v>
      </c>
      <c r="E5" s="10" t="n">
        <f aca="false">IF(B5="","",IFERROR(INDEX(Products!$C$5:$C$54,MATCH(B5,Products!$A$5:$A$54,0)),0))</f>
        <v>15</v>
      </c>
      <c r="F5" s="10" t="n">
        <v>5</v>
      </c>
      <c r="G5" s="10" t="n">
        <v>6</v>
      </c>
      <c r="H5" s="10" t="n">
        <f aca="false">IF(A5="","",Settings!$B$5)</f>
        <v>1</v>
      </c>
      <c r="I5" s="11" t="n">
        <f aca="false">IF(A5="","",ROUND(K5*(Settings!$B$2+Settings!$B$3)/100+Settings!$B$4,2))</f>
        <v>6.15</v>
      </c>
      <c r="J5" s="11" t="n">
        <f aca="false">IF(A5="","",ROUND(K5-E5*C5-H5-G5-I5,2))</f>
        <v>16.85</v>
      </c>
      <c r="K5" s="11" t="n">
        <f aca="false">IF(A5="","",D5*C5+F5)</f>
        <v>45</v>
      </c>
      <c r="L5" s="12" t="n">
        <f aca="false">IF(OR(A5="",K5=0),"",ROUND(J5/K5*100,2))</f>
        <v>37.44</v>
      </c>
      <c r="M5" s="3" t="str">
        <f aca="false">IF(A5="","",TEXT(A5,"yyyy-mm"))</f>
        <v>2026-09</v>
      </c>
    </row>
    <row r="6" customFormat="false" ht="15" hidden="false" customHeight="false" outlineLevel="0" collapsed="false">
      <c r="A6" s="17" t="n">
        <v>46292</v>
      </c>
      <c r="B6" s="9" t="s">
        <v>34</v>
      </c>
      <c r="C6" s="16" t="n">
        <v>2</v>
      </c>
      <c r="D6" s="10" t="n">
        <f aca="false">IF(B6="","",IFERROR(INDEX(Products!$D$5:$D$54,MATCH(B6,Products!$A$5:$A$54,0)),0))</f>
        <v>22</v>
      </c>
      <c r="E6" s="10" t="n">
        <f aca="false">IF(B6="","",IFERROR(INDEX(Products!$C$5:$C$54,MATCH(B6,Products!$A$5:$A$54,0)),0))</f>
        <v>8</v>
      </c>
      <c r="F6" s="10" t="n">
        <v>0</v>
      </c>
      <c r="G6" s="10" t="n">
        <v>4.5</v>
      </c>
      <c r="H6" s="10" t="n">
        <f aca="false">IF(A6="","",Settings!$B$5)</f>
        <v>1</v>
      </c>
      <c r="I6" s="11" t="n">
        <f aca="false">IF(A6="","",ROUND(K6*(Settings!$B$2+Settings!$B$3)/100+Settings!$B$4,2))</f>
        <v>6.02</v>
      </c>
      <c r="J6" s="11" t="n">
        <f aca="false">IF(A6="","",ROUND(K6-E6*C6-H6-G6-I6,2))</f>
        <v>16.48</v>
      </c>
      <c r="K6" s="11" t="n">
        <f aca="false">IF(A6="","",D6*C6+F6)</f>
        <v>44</v>
      </c>
      <c r="L6" s="12" t="n">
        <f aca="false">IF(OR(A6="",K6=0),"",ROUND(J6/K6*100,2))</f>
        <v>37.45</v>
      </c>
      <c r="M6" s="3" t="str">
        <f aca="false">IF(A6="","",TEXT(A6,"yyyy-mm"))</f>
        <v>2026-09</v>
      </c>
    </row>
    <row r="7" customFormat="false" ht="15" hidden="false" customHeight="false" outlineLevel="0" collapsed="false">
      <c r="A7" s="17"/>
      <c r="B7" s="9"/>
      <c r="C7" s="9"/>
      <c r="D7" s="10" t="str">
        <f aca="false">IF(B7="","",IFERROR(INDEX(Products!$D$5:$D$54,MATCH(B7,Products!$A$5:$A$54,0)),0))</f>
        <v/>
      </c>
      <c r="E7" s="10" t="str">
        <f aca="false">IF(B7="","",IFERROR(INDEX(Products!$C$5:$C$54,MATCH(B7,Products!$A$5:$A$54,0)),0))</f>
        <v/>
      </c>
      <c r="F7" s="10"/>
      <c r="G7" s="10"/>
      <c r="H7" s="10" t="str">
        <f aca="false">IF(A7="","",Settings!$B$5)</f>
        <v/>
      </c>
      <c r="I7" s="11" t="str">
        <f aca="false">IF(A7="","",ROUND(K7*(Settings!$B$2+Settings!$B$3)/100+Settings!$B$4,2))</f>
        <v/>
      </c>
      <c r="J7" s="11" t="str">
        <f aca="false">IF(A7="","",ROUND(K7-E7*C7-H7-G7-I7,2))</f>
        <v/>
      </c>
      <c r="K7" s="11" t="str">
        <f aca="false">IF(A7="","",D7*C7+F7)</f>
        <v/>
      </c>
      <c r="L7" s="12" t="str">
        <f aca="false">IF(OR(A7="",K7=0),"",ROUND(J7/K7*100,2))</f>
        <v/>
      </c>
      <c r="M7" s="3" t="str">
        <f aca="false">IF(A7="","",TEXT(A7,"yyyy-mm"))</f>
        <v/>
      </c>
    </row>
    <row r="8" customFormat="false" ht="15" hidden="false" customHeight="false" outlineLevel="0" collapsed="false">
      <c r="A8" s="17"/>
      <c r="B8" s="9"/>
      <c r="C8" s="9"/>
      <c r="D8" s="10" t="str">
        <f aca="false">IF(B8="","",IFERROR(INDEX(Products!$D$5:$D$54,MATCH(B8,Products!$A$5:$A$54,0)),0))</f>
        <v/>
      </c>
      <c r="E8" s="10" t="str">
        <f aca="false">IF(B8="","",IFERROR(INDEX(Products!$C$5:$C$54,MATCH(B8,Products!$A$5:$A$54,0)),0))</f>
        <v/>
      </c>
      <c r="F8" s="10"/>
      <c r="G8" s="10"/>
      <c r="H8" s="10" t="str">
        <f aca="false">IF(A8="","",Settings!$B$5)</f>
        <v/>
      </c>
      <c r="I8" s="11" t="str">
        <f aca="false">IF(A8="","",ROUND(K8*(Settings!$B$2+Settings!$B$3)/100+Settings!$B$4,2))</f>
        <v/>
      </c>
      <c r="J8" s="11" t="str">
        <f aca="false">IF(A8="","",ROUND(K8-E8*C8-H8-G8-I8,2))</f>
        <v/>
      </c>
      <c r="K8" s="11" t="str">
        <f aca="false">IF(A8="","",D8*C8+F8)</f>
        <v/>
      </c>
      <c r="L8" s="12" t="str">
        <f aca="false">IF(OR(A8="",K8=0),"",ROUND(J8/K8*100,2))</f>
        <v/>
      </c>
      <c r="M8" s="3" t="str">
        <f aca="false">IF(A8="","",TEXT(A8,"yyyy-mm"))</f>
        <v/>
      </c>
    </row>
    <row r="9" customFormat="false" ht="15" hidden="false" customHeight="false" outlineLevel="0" collapsed="false">
      <c r="A9" s="17"/>
      <c r="B9" s="9"/>
      <c r="C9" s="9"/>
      <c r="D9" s="10" t="str">
        <f aca="false">IF(B9="","",IFERROR(INDEX(Products!$D$5:$D$54,MATCH(B9,Products!$A$5:$A$54,0)),0))</f>
        <v/>
      </c>
      <c r="E9" s="10" t="str">
        <f aca="false">IF(B9="","",IFERROR(INDEX(Products!$C$5:$C$54,MATCH(B9,Products!$A$5:$A$54,0)),0))</f>
        <v/>
      </c>
      <c r="F9" s="10"/>
      <c r="G9" s="10"/>
      <c r="H9" s="10" t="str">
        <f aca="false">IF(A9="","",Settings!$B$5)</f>
        <v/>
      </c>
      <c r="I9" s="11" t="str">
        <f aca="false">IF(A9="","",ROUND(K9*(Settings!$B$2+Settings!$B$3)/100+Settings!$B$4,2))</f>
        <v/>
      </c>
      <c r="J9" s="11" t="str">
        <f aca="false">IF(A9="","",ROUND(K9-E9*C9-H9-G9-I9,2))</f>
        <v/>
      </c>
      <c r="K9" s="11" t="str">
        <f aca="false">IF(A9="","",D9*C9+F9)</f>
        <v/>
      </c>
      <c r="L9" s="12" t="str">
        <f aca="false">IF(OR(A9="",K9=0),"",ROUND(J9/K9*100,2))</f>
        <v/>
      </c>
      <c r="M9" s="3" t="str">
        <f aca="false">IF(A9="","",TEXT(A9,"yyyy-mm"))</f>
        <v/>
      </c>
    </row>
    <row r="10" customFormat="false" ht="15" hidden="false" customHeight="false" outlineLevel="0" collapsed="false">
      <c r="A10" s="17"/>
      <c r="B10" s="9"/>
      <c r="C10" s="9"/>
      <c r="D10" s="10" t="str">
        <f aca="false">IF(B10="","",IFERROR(INDEX(Products!$D$5:$D$54,MATCH(B10,Products!$A$5:$A$54,0)),0))</f>
        <v/>
      </c>
      <c r="E10" s="10" t="str">
        <f aca="false">IF(B10="","",IFERROR(INDEX(Products!$C$5:$C$54,MATCH(B10,Products!$A$5:$A$54,0)),0))</f>
        <v/>
      </c>
      <c r="F10" s="10"/>
      <c r="G10" s="10"/>
      <c r="H10" s="10" t="str">
        <f aca="false">IF(A10="","",Settings!$B$5)</f>
        <v/>
      </c>
      <c r="I10" s="11" t="str">
        <f aca="false">IF(A10="","",ROUND(K10*(Settings!$B$2+Settings!$B$3)/100+Settings!$B$4,2))</f>
        <v/>
      </c>
      <c r="J10" s="11" t="str">
        <f aca="false">IF(A10="","",ROUND(K10-E10*C10-H10-G10-I10,2))</f>
        <v/>
      </c>
      <c r="K10" s="11" t="str">
        <f aca="false">IF(A10="","",D10*C10+F10)</f>
        <v/>
      </c>
      <c r="L10" s="12" t="str">
        <f aca="false">IF(OR(A10="",K10=0),"",ROUND(J10/K10*100,2))</f>
        <v/>
      </c>
      <c r="M10" s="3" t="str">
        <f aca="false">IF(A10="","",TEXT(A10,"yyyy-mm"))</f>
        <v/>
      </c>
    </row>
    <row r="11" customFormat="false" ht="15" hidden="false" customHeight="false" outlineLevel="0" collapsed="false">
      <c r="A11" s="17"/>
      <c r="B11" s="9"/>
      <c r="C11" s="9"/>
      <c r="D11" s="10" t="str">
        <f aca="false">IF(B11="","",IFERROR(INDEX(Products!$D$5:$D$54,MATCH(B11,Products!$A$5:$A$54,0)),0))</f>
        <v/>
      </c>
      <c r="E11" s="10" t="str">
        <f aca="false">IF(B11="","",IFERROR(INDEX(Products!$C$5:$C$54,MATCH(B11,Products!$A$5:$A$54,0)),0))</f>
        <v/>
      </c>
      <c r="F11" s="10"/>
      <c r="G11" s="10"/>
      <c r="H11" s="10" t="str">
        <f aca="false">IF(A11="","",Settings!$B$5)</f>
        <v/>
      </c>
      <c r="I11" s="11" t="str">
        <f aca="false">IF(A11="","",ROUND(K11*(Settings!$B$2+Settings!$B$3)/100+Settings!$B$4,2))</f>
        <v/>
      </c>
      <c r="J11" s="11" t="str">
        <f aca="false">IF(A11="","",ROUND(K11-E11*C11-H11-G11-I11,2))</f>
        <v/>
      </c>
      <c r="K11" s="11" t="str">
        <f aca="false">IF(A11="","",D11*C11+F11)</f>
        <v/>
      </c>
      <c r="L11" s="12" t="str">
        <f aca="false">IF(OR(A11="",K11=0),"",ROUND(J11/K11*100,2))</f>
        <v/>
      </c>
      <c r="M11" s="3" t="str">
        <f aca="false">IF(A11="","",TEXT(A11,"yyyy-mm"))</f>
        <v/>
      </c>
    </row>
    <row r="12" customFormat="false" ht="15" hidden="false" customHeight="false" outlineLevel="0" collapsed="false">
      <c r="A12" s="17"/>
      <c r="B12" s="9"/>
      <c r="C12" s="9"/>
      <c r="D12" s="10" t="str">
        <f aca="false">IF(B12="","",IFERROR(INDEX(Products!$D$5:$D$54,MATCH(B12,Products!$A$5:$A$54,0)),0))</f>
        <v/>
      </c>
      <c r="E12" s="10" t="str">
        <f aca="false">IF(B12="","",IFERROR(INDEX(Products!$C$5:$C$54,MATCH(B12,Products!$A$5:$A$54,0)),0))</f>
        <v/>
      </c>
      <c r="F12" s="10"/>
      <c r="G12" s="10"/>
      <c r="H12" s="10" t="str">
        <f aca="false">IF(A12="","",Settings!$B$5)</f>
        <v/>
      </c>
      <c r="I12" s="11" t="str">
        <f aca="false">IF(A12="","",ROUND(K12*(Settings!$B$2+Settings!$B$3)/100+Settings!$B$4,2))</f>
        <v/>
      </c>
      <c r="J12" s="11" t="str">
        <f aca="false">IF(A12="","",ROUND(K12-E12*C12-H12-G12-I12,2))</f>
        <v/>
      </c>
      <c r="K12" s="11" t="str">
        <f aca="false">IF(A12="","",D12*C12+F12)</f>
        <v/>
      </c>
      <c r="L12" s="12" t="str">
        <f aca="false">IF(OR(A12="",K12=0),"",ROUND(J12/K12*100,2))</f>
        <v/>
      </c>
      <c r="M12" s="3" t="str">
        <f aca="false">IF(A12="","",TEXT(A12,"yyyy-mm"))</f>
        <v/>
      </c>
    </row>
    <row r="13" customFormat="false" ht="15" hidden="false" customHeight="false" outlineLevel="0" collapsed="false">
      <c r="A13" s="17"/>
      <c r="B13" s="9"/>
      <c r="C13" s="9"/>
      <c r="D13" s="10" t="str">
        <f aca="false">IF(B13="","",IFERROR(INDEX(Products!$D$5:$D$54,MATCH(B13,Products!$A$5:$A$54,0)),0))</f>
        <v/>
      </c>
      <c r="E13" s="10" t="str">
        <f aca="false">IF(B13="","",IFERROR(INDEX(Products!$C$5:$C$54,MATCH(B13,Products!$A$5:$A$54,0)),0))</f>
        <v/>
      </c>
      <c r="F13" s="10"/>
      <c r="G13" s="10"/>
      <c r="H13" s="10" t="str">
        <f aca="false">IF(A13="","",Settings!$B$5)</f>
        <v/>
      </c>
      <c r="I13" s="11" t="str">
        <f aca="false">IF(A13="","",ROUND(K13*(Settings!$B$2+Settings!$B$3)/100+Settings!$B$4,2))</f>
        <v/>
      </c>
      <c r="J13" s="11" t="str">
        <f aca="false">IF(A13="","",ROUND(K13-E13*C13-H13-G13-I13,2))</f>
        <v/>
      </c>
      <c r="K13" s="11" t="str">
        <f aca="false">IF(A13="","",D13*C13+F13)</f>
        <v/>
      </c>
      <c r="L13" s="12" t="str">
        <f aca="false">IF(OR(A13="",K13=0),"",ROUND(J13/K13*100,2))</f>
        <v/>
      </c>
      <c r="M13" s="3" t="str">
        <f aca="false">IF(A13="","",TEXT(A13,"yyyy-mm"))</f>
        <v/>
      </c>
    </row>
    <row r="14" customFormat="false" ht="15" hidden="false" customHeight="false" outlineLevel="0" collapsed="false">
      <c r="A14" s="17"/>
      <c r="B14" s="9"/>
      <c r="C14" s="9"/>
      <c r="D14" s="10" t="str">
        <f aca="false">IF(B14="","",IFERROR(INDEX(Products!$D$5:$D$54,MATCH(B14,Products!$A$5:$A$54,0)),0))</f>
        <v/>
      </c>
      <c r="E14" s="10" t="str">
        <f aca="false">IF(B14="","",IFERROR(INDEX(Products!$C$5:$C$54,MATCH(B14,Products!$A$5:$A$54,0)),0))</f>
        <v/>
      </c>
      <c r="F14" s="10"/>
      <c r="G14" s="10"/>
      <c r="H14" s="10" t="str">
        <f aca="false">IF(A14="","",Settings!$B$5)</f>
        <v/>
      </c>
      <c r="I14" s="11" t="str">
        <f aca="false">IF(A14="","",ROUND(K14*(Settings!$B$2+Settings!$B$3)/100+Settings!$B$4,2))</f>
        <v/>
      </c>
      <c r="J14" s="11" t="str">
        <f aca="false">IF(A14="","",ROUND(K14-E14*C14-H14-G14-I14,2))</f>
        <v/>
      </c>
      <c r="K14" s="11" t="str">
        <f aca="false">IF(A14="","",D14*C14+F14)</f>
        <v/>
      </c>
      <c r="L14" s="12" t="str">
        <f aca="false">IF(OR(A14="",K14=0),"",ROUND(J14/K14*100,2))</f>
        <v/>
      </c>
      <c r="M14" s="3" t="str">
        <f aca="false">IF(A14="","",TEXT(A14,"yyyy-mm"))</f>
        <v/>
      </c>
    </row>
    <row r="15" customFormat="false" ht="15" hidden="false" customHeight="false" outlineLevel="0" collapsed="false">
      <c r="A15" s="17"/>
      <c r="B15" s="9"/>
      <c r="C15" s="9"/>
      <c r="D15" s="10" t="str">
        <f aca="false">IF(B15="","",IFERROR(INDEX(Products!$D$5:$D$54,MATCH(B15,Products!$A$5:$A$54,0)),0))</f>
        <v/>
      </c>
      <c r="E15" s="10" t="str">
        <f aca="false">IF(B15="","",IFERROR(INDEX(Products!$C$5:$C$54,MATCH(B15,Products!$A$5:$A$54,0)),0))</f>
        <v/>
      </c>
      <c r="F15" s="10"/>
      <c r="G15" s="10"/>
      <c r="H15" s="10" t="str">
        <f aca="false">IF(A15="","",Settings!$B$5)</f>
        <v/>
      </c>
      <c r="I15" s="11" t="str">
        <f aca="false">IF(A15="","",ROUND(K15*(Settings!$B$2+Settings!$B$3)/100+Settings!$B$4,2))</f>
        <v/>
      </c>
      <c r="J15" s="11" t="str">
        <f aca="false">IF(A15="","",ROUND(K15-E15*C15-H15-G15-I15,2))</f>
        <v/>
      </c>
      <c r="K15" s="11" t="str">
        <f aca="false">IF(A15="","",D15*C15+F15)</f>
        <v/>
      </c>
      <c r="L15" s="12" t="str">
        <f aca="false">IF(OR(A15="",K15=0),"",ROUND(J15/K15*100,2))</f>
        <v/>
      </c>
      <c r="M15" s="3" t="str">
        <f aca="false">IF(A15="","",TEXT(A15,"yyyy-mm"))</f>
        <v/>
      </c>
    </row>
    <row r="16" customFormat="false" ht="15" hidden="false" customHeight="false" outlineLevel="0" collapsed="false">
      <c r="A16" s="17"/>
      <c r="B16" s="9"/>
      <c r="C16" s="9"/>
      <c r="D16" s="10" t="str">
        <f aca="false">IF(B16="","",IFERROR(INDEX(Products!$D$5:$D$54,MATCH(B16,Products!$A$5:$A$54,0)),0))</f>
        <v/>
      </c>
      <c r="E16" s="10" t="str">
        <f aca="false">IF(B16="","",IFERROR(INDEX(Products!$C$5:$C$54,MATCH(B16,Products!$A$5:$A$54,0)),0))</f>
        <v/>
      </c>
      <c r="F16" s="10"/>
      <c r="G16" s="10"/>
      <c r="H16" s="10" t="str">
        <f aca="false">IF(A16="","",Settings!$B$5)</f>
        <v/>
      </c>
      <c r="I16" s="11" t="str">
        <f aca="false">IF(A16="","",ROUND(K16*(Settings!$B$2+Settings!$B$3)/100+Settings!$B$4,2))</f>
        <v/>
      </c>
      <c r="J16" s="11" t="str">
        <f aca="false">IF(A16="","",ROUND(K16-E16*C16-H16-G16-I16,2))</f>
        <v/>
      </c>
      <c r="K16" s="11" t="str">
        <f aca="false">IF(A16="","",D16*C16+F16)</f>
        <v/>
      </c>
      <c r="L16" s="12" t="str">
        <f aca="false">IF(OR(A16="",K16=0),"",ROUND(J16/K16*100,2))</f>
        <v/>
      </c>
      <c r="M16" s="3" t="str">
        <f aca="false">IF(A16="","",TEXT(A16,"yyyy-mm"))</f>
        <v/>
      </c>
    </row>
    <row r="17" customFormat="false" ht="15" hidden="false" customHeight="false" outlineLevel="0" collapsed="false">
      <c r="A17" s="17"/>
      <c r="B17" s="9"/>
      <c r="C17" s="9"/>
      <c r="D17" s="10" t="str">
        <f aca="false">IF(B17="","",IFERROR(INDEX(Products!$D$5:$D$54,MATCH(B17,Products!$A$5:$A$54,0)),0))</f>
        <v/>
      </c>
      <c r="E17" s="10" t="str">
        <f aca="false">IF(B17="","",IFERROR(INDEX(Products!$C$5:$C$54,MATCH(B17,Products!$A$5:$A$54,0)),0))</f>
        <v/>
      </c>
      <c r="F17" s="10"/>
      <c r="G17" s="10"/>
      <c r="H17" s="10" t="str">
        <f aca="false">IF(A17="","",Settings!$B$5)</f>
        <v/>
      </c>
      <c r="I17" s="11" t="str">
        <f aca="false">IF(A17="","",ROUND(K17*(Settings!$B$2+Settings!$B$3)/100+Settings!$B$4,2))</f>
        <v/>
      </c>
      <c r="J17" s="11" t="str">
        <f aca="false">IF(A17="","",ROUND(K17-E17*C17-H17-G17-I17,2))</f>
        <v/>
      </c>
      <c r="K17" s="11" t="str">
        <f aca="false">IF(A17="","",D17*C17+F17)</f>
        <v/>
      </c>
      <c r="L17" s="12" t="str">
        <f aca="false">IF(OR(A17="",K17=0),"",ROUND(J17/K17*100,2))</f>
        <v/>
      </c>
      <c r="M17" s="3" t="str">
        <f aca="false">IF(A17="","",TEXT(A17,"yyyy-mm"))</f>
        <v/>
      </c>
    </row>
    <row r="18" customFormat="false" ht="15" hidden="false" customHeight="false" outlineLevel="0" collapsed="false">
      <c r="A18" s="17"/>
      <c r="B18" s="9"/>
      <c r="C18" s="9"/>
      <c r="D18" s="10" t="str">
        <f aca="false">IF(B18="","",IFERROR(INDEX(Products!$D$5:$D$54,MATCH(B18,Products!$A$5:$A$54,0)),0))</f>
        <v/>
      </c>
      <c r="E18" s="10" t="str">
        <f aca="false">IF(B18="","",IFERROR(INDEX(Products!$C$5:$C$54,MATCH(B18,Products!$A$5:$A$54,0)),0))</f>
        <v/>
      </c>
      <c r="F18" s="10"/>
      <c r="G18" s="10"/>
      <c r="H18" s="10" t="str">
        <f aca="false">IF(A18="","",Settings!$B$5)</f>
        <v/>
      </c>
      <c r="I18" s="11" t="str">
        <f aca="false">IF(A18="","",ROUND(K18*(Settings!$B$2+Settings!$B$3)/100+Settings!$B$4,2))</f>
        <v/>
      </c>
      <c r="J18" s="11" t="str">
        <f aca="false">IF(A18="","",ROUND(K18-E18*C18-H18-G18-I18,2))</f>
        <v/>
      </c>
      <c r="K18" s="11" t="str">
        <f aca="false">IF(A18="","",D18*C18+F18)</f>
        <v/>
      </c>
      <c r="L18" s="12" t="str">
        <f aca="false">IF(OR(A18="",K18=0),"",ROUND(J18/K18*100,2))</f>
        <v/>
      </c>
      <c r="M18" s="3" t="str">
        <f aca="false">IF(A18="","",TEXT(A18,"yyyy-mm"))</f>
        <v/>
      </c>
    </row>
    <row r="19" customFormat="false" ht="15" hidden="false" customHeight="false" outlineLevel="0" collapsed="false">
      <c r="A19" s="17"/>
      <c r="B19" s="9"/>
      <c r="C19" s="9"/>
      <c r="D19" s="10" t="str">
        <f aca="false">IF(B19="","",IFERROR(INDEX(Products!$D$5:$D$54,MATCH(B19,Products!$A$5:$A$54,0)),0))</f>
        <v/>
      </c>
      <c r="E19" s="10" t="str">
        <f aca="false">IF(B19="","",IFERROR(INDEX(Products!$C$5:$C$54,MATCH(B19,Products!$A$5:$A$54,0)),0))</f>
        <v/>
      </c>
      <c r="F19" s="10"/>
      <c r="G19" s="10"/>
      <c r="H19" s="10" t="str">
        <f aca="false">IF(A19="","",Settings!$B$5)</f>
        <v/>
      </c>
      <c r="I19" s="11" t="str">
        <f aca="false">IF(A19="","",ROUND(K19*(Settings!$B$2+Settings!$B$3)/100+Settings!$B$4,2))</f>
        <v/>
      </c>
      <c r="J19" s="11" t="str">
        <f aca="false">IF(A19="","",ROUND(K19-E19*C19-H19-G19-I19,2))</f>
        <v/>
      </c>
      <c r="K19" s="11" t="str">
        <f aca="false">IF(A19="","",D19*C19+F19)</f>
        <v/>
      </c>
      <c r="L19" s="12" t="str">
        <f aca="false">IF(OR(A19="",K19=0),"",ROUND(J19/K19*100,2))</f>
        <v/>
      </c>
      <c r="M19" s="3" t="str">
        <f aca="false">IF(A19="","",TEXT(A19,"yyyy-mm"))</f>
        <v/>
      </c>
    </row>
    <row r="20" customFormat="false" ht="15" hidden="false" customHeight="false" outlineLevel="0" collapsed="false">
      <c r="A20" s="17"/>
      <c r="B20" s="9"/>
      <c r="C20" s="9"/>
      <c r="D20" s="10" t="str">
        <f aca="false">IF(B20="","",IFERROR(INDEX(Products!$D$5:$D$54,MATCH(B20,Products!$A$5:$A$54,0)),0))</f>
        <v/>
      </c>
      <c r="E20" s="10" t="str">
        <f aca="false">IF(B20="","",IFERROR(INDEX(Products!$C$5:$C$54,MATCH(B20,Products!$A$5:$A$54,0)),0))</f>
        <v/>
      </c>
      <c r="F20" s="10"/>
      <c r="G20" s="10"/>
      <c r="H20" s="10" t="str">
        <f aca="false">IF(A20="","",Settings!$B$5)</f>
        <v/>
      </c>
      <c r="I20" s="11" t="str">
        <f aca="false">IF(A20="","",ROUND(K20*(Settings!$B$2+Settings!$B$3)/100+Settings!$B$4,2))</f>
        <v/>
      </c>
      <c r="J20" s="11" t="str">
        <f aca="false">IF(A20="","",ROUND(K20-E20*C20-H20-G20-I20,2))</f>
        <v/>
      </c>
      <c r="K20" s="11" t="str">
        <f aca="false">IF(A20="","",D20*C20+F20)</f>
        <v/>
      </c>
      <c r="L20" s="12" t="str">
        <f aca="false">IF(OR(A20="",K20=0),"",ROUND(J20/K20*100,2))</f>
        <v/>
      </c>
      <c r="M20" s="3" t="str">
        <f aca="false">IF(A20="","",TEXT(A20,"yyyy-mm"))</f>
        <v/>
      </c>
    </row>
    <row r="21" customFormat="false" ht="15" hidden="false" customHeight="false" outlineLevel="0" collapsed="false">
      <c r="A21" s="17"/>
      <c r="B21" s="9"/>
      <c r="C21" s="9"/>
      <c r="D21" s="10" t="str">
        <f aca="false">IF(B21="","",IFERROR(INDEX(Products!$D$5:$D$54,MATCH(B21,Products!$A$5:$A$54,0)),0))</f>
        <v/>
      </c>
      <c r="E21" s="10" t="str">
        <f aca="false">IF(B21="","",IFERROR(INDEX(Products!$C$5:$C$54,MATCH(B21,Products!$A$5:$A$54,0)),0))</f>
        <v/>
      </c>
      <c r="F21" s="10"/>
      <c r="G21" s="10"/>
      <c r="H21" s="10" t="str">
        <f aca="false">IF(A21="","",Settings!$B$5)</f>
        <v/>
      </c>
      <c r="I21" s="11" t="str">
        <f aca="false">IF(A21="","",ROUND(K21*(Settings!$B$2+Settings!$B$3)/100+Settings!$B$4,2))</f>
        <v/>
      </c>
      <c r="J21" s="11" t="str">
        <f aca="false">IF(A21="","",ROUND(K21-E21*C21-H21-G21-I21,2))</f>
        <v/>
      </c>
      <c r="K21" s="11" t="str">
        <f aca="false">IF(A21="","",D21*C21+F21)</f>
        <v/>
      </c>
      <c r="L21" s="12" t="str">
        <f aca="false">IF(OR(A21="",K21=0),"",ROUND(J21/K21*100,2))</f>
        <v/>
      </c>
      <c r="M21" s="3" t="str">
        <f aca="false">IF(A21="","",TEXT(A21,"yyyy-mm"))</f>
        <v/>
      </c>
    </row>
    <row r="22" customFormat="false" ht="15" hidden="false" customHeight="false" outlineLevel="0" collapsed="false">
      <c r="A22" s="17"/>
      <c r="B22" s="9"/>
      <c r="C22" s="9"/>
      <c r="D22" s="10" t="str">
        <f aca="false">IF(B22="","",IFERROR(INDEX(Products!$D$5:$D$54,MATCH(B22,Products!$A$5:$A$54,0)),0))</f>
        <v/>
      </c>
      <c r="E22" s="10" t="str">
        <f aca="false">IF(B22="","",IFERROR(INDEX(Products!$C$5:$C$54,MATCH(B22,Products!$A$5:$A$54,0)),0))</f>
        <v/>
      </c>
      <c r="F22" s="10"/>
      <c r="G22" s="10"/>
      <c r="H22" s="10" t="str">
        <f aca="false">IF(A22="","",Settings!$B$5)</f>
        <v/>
      </c>
      <c r="I22" s="11" t="str">
        <f aca="false">IF(A22="","",ROUND(K22*(Settings!$B$2+Settings!$B$3)/100+Settings!$B$4,2))</f>
        <v/>
      </c>
      <c r="J22" s="11" t="str">
        <f aca="false">IF(A22="","",ROUND(K22-E22*C22-H22-G22-I22,2))</f>
        <v/>
      </c>
      <c r="K22" s="11" t="str">
        <f aca="false">IF(A22="","",D22*C22+F22)</f>
        <v/>
      </c>
      <c r="L22" s="12" t="str">
        <f aca="false">IF(OR(A22="",K22=0),"",ROUND(J22/K22*100,2))</f>
        <v/>
      </c>
      <c r="M22" s="3" t="str">
        <f aca="false">IF(A22="","",TEXT(A22,"yyyy-mm"))</f>
        <v/>
      </c>
    </row>
    <row r="23" customFormat="false" ht="15" hidden="false" customHeight="false" outlineLevel="0" collapsed="false">
      <c r="A23" s="17"/>
      <c r="B23" s="9"/>
      <c r="C23" s="9"/>
      <c r="D23" s="10" t="str">
        <f aca="false">IF(B23="","",IFERROR(INDEX(Products!$D$5:$D$54,MATCH(B23,Products!$A$5:$A$54,0)),0))</f>
        <v/>
      </c>
      <c r="E23" s="10" t="str">
        <f aca="false">IF(B23="","",IFERROR(INDEX(Products!$C$5:$C$54,MATCH(B23,Products!$A$5:$A$54,0)),0))</f>
        <v/>
      </c>
      <c r="F23" s="10"/>
      <c r="G23" s="10"/>
      <c r="H23" s="10" t="str">
        <f aca="false">IF(A23="","",Settings!$B$5)</f>
        <v/>
      </c>
      <c r="I23" s="11" t="str">
        <f aca="false">IF(A23="","",ROUND(K23*(Settings!$B$2+Settings!$B$3)/100+Settings!$B$4,2))</f>
        <v/>
      </c>
      <c r="J23" s="11" t="str">
        <f aca="false">IF(A23="","",ROUND(K23-E23*C23-H23-G23-I23,2))</f>
        <v/>
      </c>
      <c r="K23" s="11" t="str">
        <f aca="false">IF(A23="","",D23*C23+F23)</f>
        <v/>
      </c>
      <c r="L23" s="12" t="str">
        <f aca="false">IF(OR(A23="",K23=0),"",ROUND(J23/K23*100,2))</f>
        <v/>
      </c>
      <c r="M23" s="3" t="str">
        <f aca="false">IF(A23="","",TEXT(A23,"yyyy-mm"))</f>
        <v/>
      </c>
    </row>
    <row r="24" customFormat="false" ht="15" hidden="false" customHeight="false" outlineLevel="0" collapsed="false">
      <c r="A24" s="17"/>
      <c r="B24" s="9"/>
      <c r="C24" s="9"/>
      <c r="D24" s="10" t="str">
        <f aca="false">IF(B24="","",IFERROR(INDEX(Products!$D$5:$D$54,MATCH(B24,Products!$A$5:$A$54,0)),0))</f>
        <v/>
      </c>
      <c r="E24" s="10" t="str">
        <f aca="false">IF(B24="","",IFERROR(INDEX(Products!$C$5:$C$54,MATCH(B24,Products!$A$5:$A$54,0)),0))</f>
        <v/>
      </c>
      <c r="F24" s="10"/>
      <c r="G24" s="10"/>
      <c r="H24" s="10" t="str">
        <f aca="false">IF(A24="","",Settings!$B$5)</f>
        <v/>
      </c>
      <c r="I24" s="11" t="str">
        <f aca="false">IF(A24="","",ROUND(K24*(Settings!$B$2+Settings!$B$3)/100+Settings!$B$4,2))</f>
        <v/>
      </c>
      <c r="J24" s="11" t="str">
        <f aca="false">IF(A24="","",ROUND(K24-E24*C24-H24-G24-I24,2))</f>
        <v/>
      </c>
      <c r="K24" s="11" t="str">
        <f aca="false">IF(A24="","",D24*C24+F24)</f>
        <v/>
      </c>
      <c r="L24" s="12" t="str">
        <f aca="false">IF(OR(A24="",K24=0),"",ROUND(J24/K24*100,2))</f>
        <v/>
      </c>
      <c r="M24" s="3" t="str">
        <f aca="false">IF(A24="","",TEXT(A24,"yyyy-mm"))</f>
        <v/>
      </c>
    </row>
    <row r="25" customFormat="false" ht="15" hidden="false" customHeight="false" outlineLevel="0" collapsed="false">
      <c r="A25" s="17"/>
      <c r="B25" s="9"/>
      <c r="C25" s="9"/>
      <c r="D25" s="10" t="str">
        <f aca="false">IF(B25="","",IFERROR(INDEX(Products!$D$5:$D$54,MATCH(B25,Products!$A$5:$A$54,0)),0))</f>
        <v/>
      </c>
      <c r="E25" s="10" t="str">
        <f aca="false">IF(B25="","",IFERROR(INDEX(Products!$C$5:$C$54,MATCH(B25,Products!$A$5:$A$54,0)),0))</f>
        <v/>
      </c>
      <c r="F25" s="10"/>
      <c r="G25" s="10"/>
      <c r="H25" s="10" t="str">
        <f aca="false">IF(A25="","",Settings!$B$5)</f>
        <v/>
      </c>
      <c r="I25" s="11" t="str">
        <f aca="false">IF(A25="","",ROUND(K25*(Settings!$B$2+Settings!$B$3)/100+Settings!$B$4,2))</f>
        <v/>
      </c>
      <c r="J25" s="11" t="str">
        <f aca="false">IF(A25="","",ROUND(K25-E25*C25-H25-G25-I25,2))</f>
        <v/>
      </c>
      <c r="K25" s="11" t="str">
        <f aca="false">IF(A25="","",D25*C25+F25)</f>
        <v/>
      </c>
      <c r="L25" s="12" t="str">
        <f aca="false">IF(OR(A25="",K25=0),"",ROUND(J25/K25*100,2))</f>
        <v/>
      </c>
      <c r="M25" s="3" t="str">
        <f aca="false">IF(A25="","",TEXT(A25,"yyyy-mm"))</f>
        <v/>
      </c>
    </row>
    <row r="26" customFormat="false" ht="15" hidden="false" customHeight="false" outlineLevel="0" collapsed="false">
      <c r="A26" s="17"/>
      <c r="B26" s="9"/>
      <c r="C26" s="9"/>
      <c r="D26" s="10" t="str">
        <f aca="false">IF(B26="","",IFERROR(INDEX(Products!$D$5:$D$54,MATCH(B26,Products!$A$5:$A$54,0)),0))</f>
        <v/>
      </c>
      <c r="E26" s="10" t="str">
        <f aca="false">IF(B26="","",IFERROR(INDEX(Products!$C$5:$C$54,MATCH(B26,Products!$A$5:$A$54,0)),0))</f>
        <v/>
      </c>
      <c r="F26" s="10"/>
      <c r="G26" s="10"/>
      <c r="H26" s="10" t="str">
        <f aca="false">IF(A26="","",Settings!$B$5)</f>
        <v/>
      </c>
      <c r="I26" s="11" t="str">
        <f aca="false">IF(A26="","",ROUND(K26*(Settings!$B$2+Settings!$B$3)/100+Settings!$B$4,2))</f>
        <v/>
      </c>
      <c r="J26" s="11" t="str">
        <f aca="false">IF(A26="","",ROUND(K26-E26*C26-H26-G26-I26,2))</f>
        <v/>
      </c>
      <c r="K26" s="11" t="str">
        <f aca="false">IF(A26="","",D26*C26+F26)</f>
        <v/>
      </c>
      <c r="L26" s="12" t="str">
        <f aca="false">IF(OR(A26="",K26=0),"",ROUND(J26/K26*100,2))</f>
        <v/>
      </c>
      <c r="M26" s="3" t="str">
        <f aca="false">IF(A26="","",TEXT(A26,"yyyy-mm"))</f>
        <v/>
      </c>
    </row>
    <row r="27" customFormat="false" ht="15" hidden="false" customHeight="false" outlineLevel="0" collapsed="false">
      <c r="A27" s="17"/>
      <c r="B27" s="9"/>
      <c r="C27" s="9"/>
      <c r="D27" s="10" t="str">
        <f aca="false">IF(B27="","",IFERROR(INDEX(Products!$D$5:$D$54,MATCH(B27,Products!$A$5:$A$54,0)),0))</f>
        <v/>
      </c>
      <c r="E27" s="10" t="str">
        <f aca="false">IF(B27="","",IFERROR(INDEX(Products!$C$5:$C$54,MATCH(B27,Products!$A$5:$A$54,0)),0))</f>
        <v/>
      </c>
      <c r="F27" s="10"/>
      <c r="G27" s="10"/>
      <c r="H27" s="10" t="str">
        <f aca="false">IF(A27="","",Settings!$B$5)</f>
        <v/>
      </c>
      <c r="I27" s="11" t="str">
        <f aca="false">IF(A27="","",ROUND(K27*(Settings!$B$2+Settings!$B$3)/100+Settings!$B$4,2))</f>
        <v/>
      </c>
      <c r="J27" s="11" t="str">
        <f aca="false">IF(A27="","",ROUND(K27-E27*C27-H27-G27-I27,2))</f>
        <v/>
      </c>
      <c r="K27" s="11" t="str">
        <f aca="false">IF(A27="","",D27*C27+F27)</f>
        <v/>
      </c>
      <c r="L27" s="12" t="str">
        <f aca="false">IF(OR(A27="",K27=0),"",ROUND(J27/K27*100,2))</f>
        <v/>
      </c>
      <c r="M27" s="3" t="str">
        <f aca="false">IF(A27="","",TEXT(A27,"yyyy-mm"))</f>
        <v/>
      </c>
    </row>
    <row r="28" customFormat="false" ht="15" hidden="false" customHeight="false" outlineLevel="0" collapsed="false">
      <c r="A28" s="17"/>
      <c r="B28" s="9"/>
      <c r="C28" s="9"/>
      <c r="D28" s="10" t="str">
        <f aca="false">IF(B28="","",IFERROR(INDEX(Products!$D$5:$D$54,MATCH(B28,Products!$A$5:$A$54,0)),0))</f>
        <v/>
      </c>
      <c r="E28" s="10" t="str">
        <f aca="false">IF(B28="","",IFERROR(INDEX(Products!$C$5:$C$54,MATCH(B28,Products!$A$5:$A$54,0)),0))</f>
        <v/>
      </c>
      <c r="F28" s="10"/>
      <c r="G28" s="10"/>
      <c r="H28" s="10" t="str">
        <f aca="false">IF(A28="","",Settings!$B$5)</f>
        <v/>
      </c>
      <c r="I28" s="11" t="str">
        <f aca="false">IF(A28="","",ROUND(K28*(Settings!$B$2+Settings!$B$3)/100+Settings!$B$4,2))</f>
        <v/>
      </c>
      <c r="J28" s="11" t="str">
        <f aca="false">IF(A28="","",ROUND(K28-E28*C28-H28-G28-I28,2))</f>
        <v/>
      </c>
      <c r="K28" s="11" t="str">
        <f aca="false">IF(A28="","",D28*C28+F28)</f>
        <v/>
      </c>
      <c r="L28" s="12" t="str">
        <f aca="false">IF(OR(A28="",K28=0),"",ROUND(J28/K28*100,2))</f>
        <v/>
      </c>
      <c r="M28" s="3" t="str">
        <f aca="false">IF(A28="","",TEXT(A28,"yyyy-mm"))</f>
        <v/>
      </c>
    </row>
    <row r="29" customFormat="false" ht="15" hidden="false" customHeight="false" outlineLevel="0" collapsed="false">
      <c r="A29" s="17"/>
      <c r="B29" s="9"/>
      <c r="C29" s="9"/>
      <c r="D29" s="10" t="str">
        <f aca="false">IF(B29="","",IFERROR(INDEX(Products!$D$5:$D$54,MATCH(B29,Products!$A$5:$A$54,0)),0))</f>
        <v/>
      </c>
      <c r="E29" s="10" t="str">
        <f aca="false">IF(B29="","",IFERROR(INDEX(Products!$C$5:$C$54,MATCH(B29,Products!$A$5:$A$54,0)),0))</f>
        <v/>
      </c>
      <c r="F29" s="10"/>
      <c r="G29" s="10"/>
      <c r="H29" s="10" t="str">
        <f aca="false">IF(A29="","",Settings!$B$5)</f>
        <v/>
      </c>
      <c r="I29" s="11" t="str">
        <f aca="false">IF(A29="","",ROUND(K29*(Settings!$B$2+Settings!$B$3)/100+Settings!$B$4,2))</f>
        <v/>
      </c>
      <c r="J29" s="11" t="str">
        <f aca="false">IF(A29="","",ROUND(K29-E29*C29-H29-G29-I29,2))</f>
        <v/>
      </c>
      <c r="K29" s="11" t="str">
        <f aca="false">IF(A29="","",D29*C29+F29)</f>
        <v/>
      </c>
      <c r="L29" s="12" t="str">
        <f aca="false">IF(OR(A29="",K29=0),"",ROUND(J29/K29*100,2))</f>
        <v/>
      </c>
      <c r="M29" s="3" t="str">
        <f aca="false">IF(A29="","",TEXT(A29,"yyyy-mm"))</f>
        <v/>
      </c>
    </row>
    <row r="30" customFormat="false" ht="15" hidden="false" customHeight="false" outlineLevel="0" collapsed="false">
      <c r="A30" s="17"/>
      <c r="B30" s="9"/>
      <c r="C30" s="9"/>
      <c r="D30" s="10" t="str">
        <f aca="false">IF(B30="","",IFERROR(INDEX(Products!$D$5:$D$54,MATCH(B30,Products!$A$5:$A$54,0)),0))</f>
        <v/>
      </c>
      <c r="E30" s="10" t="str">
        <f aca="false">IF(B30="","",IFERROR(INDEX(Products!$C$5:$C$54,MATCH(B30,Products!$A$5:$A$54,0)),0))</f>
        <v/>
      </c>
      <c r="F30" s="10"/>
      <c r="G30" s="10"/>
      <c r="H30" s="10" t="str">
        <f aca="false">IF(A30="","",Settings!$B$5)</f>
        <v/>
      </c>
      <c r="I30" s="11" t="str">
        <f aca="false">IF(A30="","",ROUND(K30*(Settings!$B$2+Settings!$B$3)/100+Settings!$B$4,2))</f>
        <v/>
      </c>
      <c r="J30" s="11" t="str">
        <f aca="false">IF(A30="","",ROUND(K30-E30*C30-H30-G30-I30,2))</f>
        <v/>
      </c>
      <c r="K30" s="11" t="str">
        <f aca="false">IF(A30="","",D30*C30+F30)</f>
        <v/>
      </c>
      <c r="L30" s="12" t="str">
        <f aca="false">IF(OR(A30="",K30=0),"",ROUND(J30/K30*100,2))</f>
        <v/>
      </c>
      <c r="M30" s="3" t="str">
        <f aca="false">IF(A30="","",TEXT(A30,"yyyy-mm"))</f>
        <v/>
      </c>
    </row>
    <row r="31" customFormat="false" ht="15" hidden="false" customHeight="false" outlineLevel="0" collapsed="false">
      <c r="A31" s="17"/>
      <c r="B31" s="9"/>
      <c r="C31" s="9"/>
      <c r="D31" s="10" t="str">
        <f aca="false">IF(B31="","",IFERROR(INDEX(Products!$D$5:$D$54,MATCH(B31,Products!$A$5:$A$54,0)),0))</f>
        <v/>
      </c>
      <c r="E31" s="10" t="str">
        <f aca="false">IF(B31="","",IFERROR(INDEX(Products!$C$5:$C$54,MATCH(B31,Products!$A$5:$A$54,0)),0))</f>
        <v/>
      </c>
      <c r="F31" s="10"/>
      <c r="G31" s="10"/>
      <c r="H31" s="10" t="str">
        <f aca="false">IF(A31="","",Settings!$B$5)</f>
        <v/>
      </c>
      <c r="I31" s="11" t="str">
        <f aca="false">IF(A31="","",ROUND(K31*(Settings!$B$2+Settings!$B$3)/100+Settings!$B$4,2))</f>
        <v/>
      </c>
      <c r="J31" s="11" t="str">
        <f aca="false">IF(A31="","",ROUND(K31-E31*C31-H31-G31-I31,2))</f>
        <v/>
      </c>
      <c r="K31" s="11" t="str">
        <f aca="false">IF(A31="","",D31*C31+F31)</f>
        <v/>
      </c>
      <c r="L31" s="12" t="str">
        <f aca="false">IF(OR(A31="",K31=0),"",ROUND(J31/K31*100,2))</f>
        <v/>
      </c>
      <c r="M31" s="3" t="str">
        <f aca="false">IF(A31="","",TEXT(A31,"yyyy-mm"))</f>
        <v/>
      </c>
    </row>
    <row r="32" customFormat="false" ht="15" hidden="false" customHeight="false" outlineLevel="0" collapsed="false">
      <c r="A32" s="17"/>
      <c r="B32" s="9"/>
      <c r="C32" s="9"/>
      <c r="D32" s="10" t="str">
        <f aca="false">IF(B32="","",IFERROR(INDEX(Products!$D$5:$D$54,MATCH(B32,Products!$A$5:$A$54,0)),0))</f>
        <v/>
      </c>
      <c r="E32" s="10" t="str">
        <f aca="false">IF(B32="","",IFERROR(INDEX(Products!$C$5:$C$54,MATCH(B32,Products!$A$5:$A$54,0)),0))</f>
        <v/>
      </c>
      <c r="F32" s="10"/>
      <c r="G32" s="10"/>
      <c r="H32" s="10" t="str">
        <f aca="false">IF(A32="","",Settings!$B$5)</f>
        <v/>
      </c>
      <c r="I32" s="11" t="str">
        <f aca="false">IF(A32="","",ROUND(K32*(Settings!$B$2+Settings!$B$3)/100+Settings!$B$4,2))</f>
        <v/>
      </c>
      <c r="J32" s="11" t="str">
        <f aca="false">IF(A32="","",ROUND(K32-E32*C32-H32-G32-I32,2))</f>
        <v/>
      </c>
      <c r="K32" s="11" t="str">
        <f aca="false">IF(A32="","",D32*C32+F32)</f>
        <v/>
      </c>
      <c r="L32" s="12" t="str">
        <f aca="false">IF(OR(A32="",K32=0),"",ROUND(J32/K32*100,2))</f>
        <v/>
      </c>
      <c r="M32" s="3" t="str">
        <f aca="false">IF(A32="","",TEXT(A32,"yyyy-mm"))</f>
        <v/>
      </c>
    </row>
    <row r="33" customFormat="false" ht="15" hidden="false" customHeight="false" outlineLevel="0" collapsed="false">
      <c r="A33" s="17"/>
      <c r="B33" s="9"/>
      <c r="C33" s="9"/>
      <c r="D33" s="10" t="str">
        <f aca="false">IF(B33="","",IFERROR(INDEX(Products!$D$5:$D$54,MATCH(B33,Products!$A$5:$A$54,0)),0))</f>
        <v/>
      </c>
      <c r="E33" s="10" t="str">
        <f aca="false">IF(B33="","",IFERROR(INDEX(Products!$C$5:$C$54,MATCH(B33,Products!$A$5:$A$54,0)),0))</f>
        <v/>
      </c>
      <c r="F33" s="10"/>
      <c r="G33" s="10"/>
      <c r="H33" s="10" t="str">
        <f aca="false">IF(A33="","",Settings!$B$5)</f>
        <v/>
      </c>
      <c r="I33" s="11" t="str">
        <f aca="false">IF(A33="","",ROUND(K33*(Settings!$B$2+Settings!$B$3)/100+Settings!$B$4,2))</f>
        <v/>
      </c>
      <c r="J33" s="11" t="str">
        <f aca="false">IF(A33="","",ROUND(K33-E33*C33-H33-G33-I33,2))</f>
        <v/>
      </c>
      <c r="K33" s="11" t="str">
        <f aca="false">IF(A33="","",D33*C33+F33)</f>
        <v/>
      </c>
      <c r="L33" s="12" t="str">
        <f aca="false">IF(OR(A33="",K33=0),"",ROUND(J33/K33*100,2))</f>
        <v/>
      </c>
      <c r="M33" s="3" t="str">
        <f aca="false">IF(A33="","",TEXT(A33,"yyyy-mm"))</f>
        <v/>
      </c>
    </row>
    <row r="34" customFormat="false" ht="15" hidden="false" customHeight="false" outlineLevel="0" collapsed="false">
      <c r="A34" s="17"/>
      <c r="B34" s="9"/>
      <c r="C34" s="9"/>
      <c r="D34" s="10" t="str">
        <f aca="false">IF(B34="","",IFERROR(INDEX(Products!$D$5:$D$54,MATCH(B34,Products!$A$5:$A$54,0)),0))</f>
        <v/>
      </c>
      <c r="E34" s="10" t="str">
        <f aca="false">IF(B34="","",IFERROR(INDEX(Products!$C$5:$C$54,MATCH(B34,Products!$A$5:$A$54,0)),0))</f>
        <v/>
      </c>
      <c r="F34" s="10"/>
      <c r="G34" s="10"/>
      <c r="H34" s="10" t="str">
        <f aca="false">IF(A34="","",Settings!$B$5)</f>
        <v/>
      </c>
      <c r="I34" s="11" t="str">
        <f aca="false">IF(A34="","",ROUND(K34*(Settings!$B$2+Settings!$B$3)/100+Settings!$B$4,2))</f>
        <v/>
      </c>
      <c r="J34" s="11" t="str">
        <f aca="false">IF(A34="","",ROUND(K34-E34*C34-H34-G34-I34,2))</f>
        <v/>
      </c>
      <c r="K34" s="11" t="str">
        <f aca="false">IF(A34="","",D34*C34+F34)</f>
        <v/>
      </c>
      <c r="L34" s="12" t="str">
        <f aca="false">IF(OR(A34="",K34=0),"",ROUND(J34/K34*100,2))</f>
        <v/>
      </c>
      <c r="M34" s="3" t="str">
        <f aca="false">IF(A34="","",TEXT(A34,"yyyy-mm"))</f>
        <v/>
      </c>
    </row>
    <row r="35" customFormat="false" ht="15" hidden="false" customHeight="false" outlineLevel="0" collapsed="false">
      <c r="A35" s="17"/>
      <c r="B35" s="9"/>
      <c r="C35" s="9"/>
      <c r="D35" s="10" t="str">
        <f aca="false">IF(B35="","",IFERROR(INDEX(Products!$D$5:$D$54,MATCH(B35,Products!$A$5:$A$54,0)),0))</f>
        <v/>
      </c>
      <c r="E35" s="10" t="str">
        <f aca="false">IF(B35="","",IFERROR(INDEX(Products!$C$5:$C$54,MATCH(B35,Products!$A$5:$A$54,0)),0))</f>
        <v/>
      </c>
      <c r="F35" s="10"/>
      <c r="G35" s="10"/>
      <c r="H35" s="10" t="str">
        <f aca="false">IF(A35="","",Settings!$B$5)</f>
        <v/>
      </c>
      <c r="I35" s="11" t="str">
        <f aca="false">IF(A35="","",ROUND(K35*(Settings!$B$2+Settings!$B$3)/100+Settings!$B$4,2))</f>
        <v/>
      </c>
      <c r="J35" s="11" t="str">
        <f aca="false">IF(A35="","",ROUND(K35-E35*C35-H35-G35-I35,2))</f>
        <v/>
      </c>
      <c r="K35" s="11" t="str">
        <f aca="false">IF(A35="","",D35*C35+F35)</f>
        <v/>
      </c>
      <c r="L35" s="12" t="str">
        <f aca="false">IF(OR(A35="",K35=0),"",ROUND(J35/K35*100,2))</f>
        <v/>
      </c>
      <c r="M35" s="3" t="str">
        <f aca="false">IF(A35="","",TEXT(A35,"yyyy-mm"))</f>
        <v/>
      </c>
    </row>
    <row r="36" customFormat="false" ht="15" hidden="false" customHeight="false" outlineLevel="0" collapsed="false">
      <c r="A36" s="17"/>
      <c r="B36" s="9"/>
      <c r="C36" s="9"/>
      <c r="D36" s="10" t="str">
        <f aca="false">IF(B36="","",IFERROR(INDEX(Products!$D$5:$D$54,MATCH(B36,Products!$A$5:$A$54,0)),0))</f>
        <v/>
      </c>
      <c r="E36" s="10" t="str">
        <f aca="false">IF(B36="","",IFERROR(INDEX(Products!$C$5:$C$54,MATCH(B36,Products!$A$5:$A$54,0)),0))</f>
        <v/>
      </c>
      <c r="F36" s="10"/>
      <c r="G36" s="10"/>
      <c r="H36" s="10" t="str">
        <f aca="false">IF(A36="","",Settings!$B$5)</f>
        <v/>
      </c>
      <c r="I36" s="11" t="str">
        <f aca="false">IF(A36="","",ROUND(K36*(Settings!$B$2+Settings!$B$3)/100+Settings!$B$4,2))</f>
        <v/>
      </c>
      <c r="J36" s="11" t="str">
        <f aca="false">IF(A36="","",ROUND(K36-E36*C36-H36-G36-I36,2))</f>
        <v/>
      </c>
      <c r="K36" s="11" t="str">
        <f aca="false">IF(A36="","",D36*C36+F36)</f>
        <v/>
      </c>
      <c r="L36" s="12" t="str">
        <f aca="false">IF(OR(A36="",K36=0),"",ROUND(J36/K36*100,2))</f>
        <v/>
      </c>
      <c r="M36" s="3" t="str">
        <f aca="false">IF(A36="","",TEXT(A36,"yyyy-mm"))</f>
        <v/>
      </c>
    </row>
    <row r="37" customFormat="false" ht="15" hidden="false" customHeight="false" outlineLevel="0" collapsed="false">
      <c r="A37" s="17"/>
      <c r="B37" s="9"/>
      <c r="C37" s="9"/>
      <c r="D37" s="10" t="str">
        <f aca="false">IF(B37="","",IFERROR(INDEX(Products!$D$5:$D$54,MATCH(B37,Products!$A$5:$A$54,0)),0))</f>
        <v/>
      </c>
      <c r="E37" s="10" t="str">
        <f aca="false">IF(B37="","",IFERROR(INDEX(Products!$C$5:$C$54,MATCH(B37,Products!$A$5:$A$54,0)),0))</f>
        <v/>
      </c>
      <c r="F37" s="10"/>
      <c r="G37" s="10"/>
      <c r="H37" s="10" t="str">
        <f aca="false">IF(A37="","",Settings!$B$5)</f>
        <v/>
      </c>
      <c r="I37" s="11" t="str">
        <f aca="false">IF(A37="","",ROUND(K37*(Settings!$B$2+Settings!$B$3)/100+Settings!$B$4,2))</f>
        <v/>
      </c>
      <c r="J37" s="11" t="str">
        <f aca="false">IF(A37="","",ROUND(K37-E37*C37-H37-G37-I37,2))</f>
        <v/>
      </c>
      <c r="K37" s="11" t="str">
        <f aca="false">IF(A37="","",D37*C37+F37)</f>
        <v/>
      </c>
      <c r="L37" s="12" t="str">
        <f aca="false">IF(OR(A37="",K37=0),"",ROUND(J37/K37*100,2))</f>
        <v/>
      </c>
      <c r="M37" s="3" t="str">
        <f aca="false">IF(A37="","",TEXT(A37,"yyyy-mm"))</f>
        <v/>
      </c>
    </row>
    <row r="38" customFormat="false" ht="15" hidden="false" customHeight="false" outlineLevel="0" collapsed="false">
      <c r="A38" s="17"/>
      <c r="B38" s="9"/>
      <c r="C38" s="9"/>
      <c r="D38" s="10" t="str">
        <f aca="false">IF(B38="","",IFERROR(INDEX(Products!$D$5:$D$54,MATCH(B38,Products!$A$5:$A$54,0)),0))</f>
        <v/>
      </c>
      <c r="E38" s="10" t="str">
        <f aca="false">IF(B38="","",IFERROR(INDEX(Products!$C$5:$C$54,MATCH(B38,Products!$A$5:$A$54,0)),0))</f>
        <v/>
      </c>
      <c r="F38" s="10"/>
      <c r="G38" s="10"/>
      <c r="H38" s="10" t="str">
        <f aca="false">IF(A38="","",Settings!$B$5)</f>
        <v/>
      </c>
      <c r="I38" s="11" t="str">
        <f aca="false">IF(A38="","",ROUND(K38*(Settings!$B$2+Settings!$B$3)/100+Settings!$B$4,2))</f>
        <v/>
      </c>
      <c r="J38" s="11" t="str">
        <f aca="false">IF(A38="","",ROUND(K38-E38*C38-H38-G38-I38,2))</f>
        <v/>
      </c>
      <c r="K38" s="11" t="str">
        <f aca="false">IF(A38="","",D38*C38+F38)</f>
        <v/>
      </c>
      <c r="L38" s="12" t="str">
        <f aca="false">IF(OR(A38="",K38=0),"",ROUND(J38/K38*100,2))</f>
        <v/>
      </c>
      <c r="M38" s="3" t="str">
        <f aca="false">IF(A38="","",TEXT(A38,"yyyy-mm"))</f>
        <v/>
      </c>
    </row>
    <row r="39" customFormat="false" ht="15" hidden="false" customHeight="false" outlineLevel="0" collapsed="false">
      <c r="A39" s="17"/>
      <c r="B39" s="9"/>
      <c r="C39" s="9"/>
      <c r="D39" s="10" t="str">
        <f aca="false">IF(B39="","",IFERROR(INDEX(Products!$D$5:$D$54,MATCH(B39,Products!$A$5:$A$54,0)),0))</f>
        <v/>
      </c>
      <c r="E39" s="10" t="str">
        <f aca="false">IF(B39="","",IFERROR(INDEX(Products!$C$5:$C$54,MATCH(B39,Products!$A$5:$A$54,0)),0))</f>
        <v/>
      </c>
      <c r="F39" s="10"/>
      <c r="G39" s="10"/>
      <c r="H39" s="10" t="str">
        <f aca="false">IF(A39="","",Settings!$B$5)</f>
        <v/>
      </c>
      <c r="I39" s="11" t="str">
        <f aca="false">IF(A39="","",ROUND(K39*(Settings!$B$2+Settings!$B$3)/100+Settings!$B$4,2))</f>
        <v/>
      </c>
      <c r="J39" s="11" t="str">
        <f aca="false">IF(A39="","",ROUND(K39-E39*C39-H39-G39-I39,2))</f>
        <v/>
      </c>
      <c r="K39" s="11" t="str">
        <f aca="false">IF(A39="","",D39*C39+F39)</f>
        <v/>
      </c>
      <c r="L39" s="12" t="str">
        <f aca="false">IF(OR(A39="",K39=0),"",ROUND(J39/K39*100,2))</f>
        <v/>
      </c>
      <c r="M39" s="3" t="str">
        <f aca="false">IF(A39="","",TEXT(A39,"yyyy-mm"))</f>
        <v/>
      </c>
    </row>
    <row r="40" customFormat="false" ht="15" hidden="false" customHeight="false" outlineLevel="0" collapsed="false">
      <c r="A40" s="17"/>
      <c r="B40" s="9"/>
      <c r="C40" s="9"/>
      <c r="D40" s="10" t="str">
        <f aca="false">IF(B40="","",IFERROR(INDEX(Products!$D$5:$D$54,MATCH(B40,Products!$A$5:$A$54,0)),0))</f>
        <v/>
      </c>
      <c r="E40" s="10" t="str">
        <f aca="false">IF(B40="","",IFERROR(INDEX(Products!$C$5:$C$54,MATCH(B40,Products!$A$5:$A$54,0)),0))</f>
        <v/>
      </c>
      <c r="F40" s="10"/>
      <c r="G40" s="10"/>
      <c r="H40" s="10" t="str">
        <f aca="false">IF(A40="","",Settings!$B$5)</f>
        <v/>
      </c>
      <c r="I40" s="11" t="str">
        <f aca="false">IF(A40="","",ROUND(K40*(Settings!$B$2+Settings!$B$3)/100+Settings!$B$4,2))</f>
        <v/>
      </c>
      <c r="J40" s="11" t="str">
        <f aca="false">IF(A40="","",ROUND(K40-E40*C40-H40-G40-I40,2))</f>
        <v/>
      </c>
      <c r="K40" s="11" t="str">
        <f aca="false">IF(A40="","",D40*C40+F40)</f>
        <v/>
      </c>
      <c r="L40" s="12" t="str">
        <f aca="false">IF(OR(A40="",K40=0),"",ROUND(J40/K40*100,2))</f>
        <v/>
      </c>
      <c r="M40" s="3" t="str">
        <f aca="false">IF(A40="","",TEXT(A40,"yyyy-mm"))</f>
        <v/>
      </c>
    </row>
    <row r="41" customFormat="false" ht="15" hidden="false" customHeight="false" outlineLevel="0" collapsed="false">
      <c r="A41" s="17"/>
      <c r="B41" s="9"/>
      <c r="C41" s="9"/>
      <c r="D41" s="10" t="str">
        <f aca="false">IF(B41="","",IFERROR(INDEX(Products!$D$5:$D$54,MATCH(B41,Products!$A$5:$A$54,0)),0))</f>
        <v/>
      </c>
      <c r="E41" s="10" t="str">
        <f aca="false">IF(B41="","",IFERROR(INDEX(Products!$C$5:$C$54,MATCH(B41,Products!$A$5:$A$54,0)),0))</f>
        <v/>
      </c>
      <c r="F41" s="10"/>
      <c r="G41" s="10"/>
      <c r="H41" s="10" t="str">
        <f aca="false">IF(A41="","",Settings!$B$5)</f>
        <v/>
      </c>
      <c r="I41" s="11" t="str">
        <f aca="false">IF(A41="","",ROUND(K41*(Settings!$B$2+Settings!$B$3)/100+Settings!$B$4,2))</f>
        <v/>
      </c>
      <c r="J41" s="11" t="str">
        <f aca="false">IF(A41="","",ROUND(K41-E41*C41-H41-G41-I41,2))</f>
        <v/>
      </c>
      <c r="K41" s="11" t="str">
        <f aca="false">IF(A41="","",D41*C41+F41)</f>
        <v/>
      </c>
      <c r="L41" s="12" t="str">
        <f aca="false">IF(OR(A41="",K41=0),"",ROUND(J41/K41*100,2))</f>
        <v/>
      </c>
      <c r="M41" s="3" t="str">
        <f aca="false">IF(A41="","",TEXT(A41,"yyyy-mm"))</f>
        <v/>
      </c>
    </row>
    <row r="42" customFormat="false" ht="15" hidden="false" customHeight="false" outlineLevel="0" collapsed="false">
      <c r="A42" s="17"/>
      <c r="B42" s="9"/>
      <c r="C42" s="9"/>
      <c r="D42" s="10" t="str">
        <f aca="false">IF(B42="","",IFERROR(INDEX(Products!$D$5:$D$54,MATCH(B42,Products!$A$5:$A$54,0)),0))</f>
        <v/>
      </c>
      <c r="E42" s="10" t="str">
        <f aca="false">IF(B42="","",IFERROR(INDEX(Products!$C$5:$C$54,MATCH(B42,Products!$A$5:$A$54,0)),0))</f>
        <v/>
      </c>
      <c r="F42" s="10"/>
      <c r="G42" s="10"/>
      <c r="H42" s="10" t="str">
        <f aca="false">IF(A42="","",Settings!$B$5)</f>
        <v/>
      </c>
      <c r="I42" s="11" t="str">
        <f aca="false">IF(A42="","",ROUND(K42*(Settings!$B$2+Settings!$B$3)/100+Settings!$B$4,2))</f>
        <v/>
      </c>
      <c r="J42" s="11" t="str">
        <f aca="false">IF(A42="","",ROUND(K42-E42*C42-H42-G42-I42,2))</f>
        <v/>
      </c>
      <c r="K42" s="11" t="str">
        <f aca="false">IF(A42="","",D42*C42+F42)</f>
        <v/>
      </c>
      <c r="L42" s="12" t="str">
        <f aca="false">IF(OR(A42="",K42=0),"",ROUND(J42/K42*100,2))</f>
        <v/>
      </c>
      <c r="M42" s="3" t="str">
        <f aca="false">IF(A42="","",TEXT(A42,"yyyy-mm"))</f>
        <v/>
      </c>
    </row>
    <row r="43" customFormat="false" ht="15" hidden="false" customHeight="false" outlineLevel="0" collapsed="false">
      <c r="A43" s="17"/>
      <c r="B43" s="9"/>
      <c r="C43" s="9"/>
      <c r="D43" s="10" t="str">
        <f aca="false">IF(B43="","",IFERROR(INDEX(Products!$D$5:$D$54,MATCH(B43,Products!$A$5:$A$54,0)),0))</f>
        <v/>
      </c>
      <c r="E43" s="10" t="str">
        <f aca="false">IF(B43="","",IFERROR(INDEX(Products!$C$5:$C$54,MATCH(B43,Products!$A$5:$A$54,0)),0))</f>
        <v/>
      </c>
      <c r="F43" s="10"/>
      <c r="G43" s="10"/>
      <c r="H43" s="10" t="str">
        <f aca="false">IF(A43="","",Settings!$B$5)</f>
        <v/>
      </c>
      <c r="I43" s="11" t="str">
        <f aca="false">IF(A43="","",ROUND(K43*(Settings!$B$2+Settings!$B$3)/100+Settings!$B$4,2))</f>
        <v/>
      </c>
      <c r="J43" s="11" t="str">
        <f aca="false">IF(A43="","",ROUND(K43-E43*C43-H43-G43-I43,2))</f>
        <v/>
      </c>
      <c r="K43" s="11" t="str">
        <f aca="false">IF(A43="","",D43*C43+F43)</f>
        <v/>
      </c>
      <c r="L43" s="12" t="str">
        <f aca="false">IF(OR(A43="",K43=0),"",ROUND(J43/K43*100,2))</f>
        <v/>
      </c>
      <c r="M43" s="3" t="str">
        <f aca="false">IF(A43="","",TEXT(A43,"yyyy-mm"))</f>
        <v/>
      </c>
    </row>
    <row r="44" customFormat="false" ht="15" hidden="false" customHeight="false" outlineLevel="0" collapsed="false">
      <c r="A44" s="17"/>
      <c r="B44" s="9"/>
      <c r="C44" s="9"/>
      <c r="D44" s="10" t="str">
        <f aca="false">IF(B44="","",IFERROR(INDEX(Products!$D$5:$D$54,MATCH(B44,Products!$A$5:$A$54,0)),0))</f>
        <v/>
      </c>
      <c r="E44" s="10" t="str">
        <f aca="false">IF(B44="","",IFERROR(INDEX(Products!$C$5:$C$54,MATCH(B44,Products!$A$5:$A$54,0)),0))</f>
        <v/>
      </c>
      <c r="F44" s="10"/>
      <c r="G44" s="10"/>
      <c r="H44" s="10" t="str">
        <f aca="false">IF(A44="","",Settings!$B$5)</f>
        <v/>
      </c>
      <c r="I44" s="11" t="str">
        <f aca="false">IF(A44="","",ROUND(K44*(Settings!$B$2+Settings!$B$3)/100+Settings!$B$4,2))</f>
        <v/>
      </c>
      <c r="J44" s="11" t="str">
        <f aca="false">IF(A44="","",ROUND(K44-E44*C44-H44-G44-I44,2))</f>
        <v/>
      </c>
      <c r="K44" s="11" t="str">
        <f aca="false">IF(A44="","",D44*C44+F44)</f>
        <v/>
      </c>
      <c r="L44" s="12" t="str">
        <f aca="false">IF(OR(A44="",K44=0),"",ROUND(J44/K44*100,2))</f>
        <v/>
      </c>
      <c r="M44" s="3" t="str">
        <f aca="false">IF(A44="","",TEXT(A44,"yyyy-mm"))</f>
        <v/>
      </c>
    </row>
    <row r="45" customFormat="false" ht="15" hidden="false" customHeight="false" outlineLevel="0" collapsed="false">
      <c r="A45" s="17"/>
      <c r="B45" s="9"/>
      <c r="C45" s="9"/>
      <c r="D45" s="10" t="str">
        <f aca="false">IF(B45="","",IFERROR(INDEX(Products!$D$5:$D$54,MATCH(B45,Products!$A$5:$A$54,0)),0))</f>
        <v/>
      </c>
      <c r="E45" s="10" t="str">
        <f aca="false">IF(B45="","",IFERROR(INDEX(Products!$C$5:$C$54,MATCH(B45,Products!$A$5:$A$54,0)),0))</f>
        <v/>
      </c>
      <c r="F45" s="10"/>
      <c r="G45" s="10"/>
      <c r="H45" s="10" t="str">
        <f aca="false">IF(A45="","",Settings!$B$5)</f>
        <v/>
      </c>
      <c r="I45" s="11" t="str">
        <f aca="false">IF(A45="","",ROUND(K45*(Settings!$B$2+Settings!$B$3)/100+Settings!$B$4,2))</f>
        <v/>
      </c>
      <c r="J45" s="11" t="str">
        <f aca="false">IF(A45="","",ROUND(K45-E45*C45-H45-G45-I45,2))</f>
        <v/>
      </c>
      <c r="K45" s="11" t="str">
        <f aca="false">IF(A45="","",D45*C45+F45)</f>
        <v/>
      </c>
      <c r="L45" s="12" t="str">
        <f aca="false">IF(OR(A45="",K45=0),"",ROUND(J45/K45*100,2))</f>
        <v/>
      </c>
      <c r="M45" s="3" t="str">
        <f aca="false">IF(A45="","",TEXT(A45,"yyyy-mm"))</f>
        <v/>
      </c>
    </row>
    <row r="46" customFormat="false" ht="15" hidden="false" customHeight="false" outlineLevel="0" collapsed="false">
      <c r="A46" s="17"/>
      <c r="B46" s="9"/>
      <c r="C46" s="9"/>
      <c r="D46" s="10" t="str">
        <f aca="false">IF(B46="","",IFERROR(INDEX(Products!$D$5:$D$54,MATCH(B46,Products!$A$5:$A$54,0)),0))</f>
        <v/>
      </c>
      <c r="E46" s="10" t="str">
        <f aca="false">IF(B46="","",IFERROR(INDEX(Products!$C$5:$C$54,MATCH(B46,Products!$A$5:$A$54,0)),0))</f>
        <v/>
      </c>
      <c r="F46" s="10"/>
      <c r="G46" s="10"/>
      <c r="H46" s="10" t="str">
        <f aca="false">IF(A46="","",Settings!$B$5)</f>
        <v/>
      </c>
      <c r="I46" s="11" t="str">
        <f aca="false">IF(A46="","",ROUND(K46*(Settings!$B$2+Settings!$B$3)/100+Settings!$B$4,2))</f>
        <v/>
      </c>
      <c r="J46" s="11" t="str">
        <f aca="false">IF(A46="","",ROUND(K46-E46*C46-H46-G46-I46,2))</f>
        <v/>
      </c>
      <c r="K46" s="11" t="str">
        <f aca="false">IF(A46="","",D46*C46+F46)</f>
        <v/>
      </c>
      <c r="L46" s="12" t="str">
        <f aca="false">IF(OR(A46="",K46=0),"",ROUND(J46/K46*100,2))</f>
        <v/>
      </c>
      <c r="M46" s="3" t="str">
        <f aca="false">IF(A46="","",TEXT(A46,"yyyy-mm"))</f>
        <v/>
      </c>
    </row>
    <row r="47" customFormat="false" ht="15" hidden="false" customHeight="false" outlineLevel="0" collapsed="false">
      <c r="A47" s="17"/>
      <c r="B47" s="9"/>
      <c r="C47" s="9"/>
      <c r="D47" s="10" t="str">
        <f aca="false">IF(B47="","",IFERROR(INDEX(Products!$D$5:$D$54,MATCH(B47,Products!$A$5:$A$54,0)),0))</f>
        <v/>
      </c>
      <c r="E47" s="10" t="str">
        <f aca="false">IF(B47="","",IFERROR(INDEX(Products!$C$5:$C$54,MATCH(B47,Products!$A$5:$A$54,0)),0))</f>
        <v/>
      </c>
      <c r="F47" s="10"/>
      <c r="G47" s="10"/>
      <c r="H47" s="10" t="str">
        <f aca="false">IF(A47="","",Settings!$B$5)</f>
        <v/>
      </c>
      <c r="I47" s="11" t="str">
        <f aca="false">IF(A47="","",ROUND(K47*(Settings!$B$2+Settings!$B$3)/100+Settings!$B$4,2))</f>
        <v/>
      </c>
      <c r="J47" s="11" t="str">
        <f aca="false">IF(A47="","",ROUND(K47-E47*C47-H47-G47-I47,2))</f>
        <v/>
      </c>
      <c r="K47" s="11" t="str">
        <f aca="false">IF(A47="","",D47*C47+F47)</f>
        <v/>
      </c>
      <c r="L47" s="12" t="str">
        <f aca="false">IF(OR(A47="",K47=0),"",ROUND(J47/K47*100,2))</f>
        <v/>
      </c>
      <c r="M47" s="3" t="str">
        <f aca="false">IF(A47="","",TEXT(A47,"yyyy-mm"))</f>
        <v/>
      </c>
    </row>
    <row r="48" customFormat="false" ht="15" hidden="false" customHeight="false" outlineLevel="0" collapsed="false">
      <c r="A48" s="17"/>
      <c r="B48" s="9"/>
      <c r="C48" s="9"/>
      <c r="D48" s="10" t="str">
        <f aca="false">IF(B48="","",IFERROR(INDEX(Products!$D$5:$D$54,MATCH(B48,Products!$A$5:$A$54,0)),0))</f>
        <v/>
      </c>
      <c r="E48" s="10" t="str">
        <f aca="false">IF(B48="","",IFERROR(INDEX(Products!$C$5:$C$54,MATCH(B48,Products!$A$5:$A$54,0)),0))</f>
        <v/>
      </c>
      <c r="F48" s="10"/>
      <c r="G48" s="10"/>
      <c r="H48" s="10" t="str">
        <f aca="false">IF(A48="","",Settings!$B$5)</f>
        <v/>
      </c>
      <c r="I48" s="11" t="str">
        <f aca="false">IF(A48="","",ROUND(K48*(Settings!$B$2+Settings!$B$3)/100+Settings!$B$4,2))</f>
        <v/>
      </c>
      <c r="J48" s="11" t="str">
        <f aca="false">IF(A48="","",ROUND(K48-E48*C48-H48-G48-I48,2))</f>
        <v/>
      </c>
      <c r="K48" s="11" t="str">
        <f aca="false">IF(A48="","",D48*C48+F48)</f>
        <v/>
      </c>
      <c r="L48" s="12" t="str">
        <f aca="false">IF(OR(A48="",K48=0),"",ROUND(J48/K48*100,2))</f>
        <v/>
      </c>
      <c r="M48" s="3" t="str">
        <f aca="false">IF(A48="","",TEXT(A48,"yyyy-mm"))</f>
        <v/>
      </c>
    </row>
    <row r="49" customFormat="false" ht="15" hidden="false" customHeight="false" outlineLevel="0" collapsed="false">
      <c r="A49" s="17"/>
      <c r="B49" s="9"/>
      <c r="C49" s="9"/>
      <c r="D49" s="10" t="str">
        <f aca="false">IF(B49="","",IFERROR(INDEX(Products!$D$5:$D$54,MATCH(B49,Products!$A$5:$A$54,0)),0))</f>
        <v/>
      </c>
      <c r="E49" s="10" t="str">
        <f aca="false">IF(B49="","",IFERROR(INDEX(Products!$C$5:$C$54,MATCH(B49,Products!$A$5:$A$54,0)),0))</f>
        <v/>
      </c>
      <c r="F49" s="10"/>
      <c r="G49" s="10"/>
      <c r="H49" s="10" t="str">
        <f aca="false">IF(A49="","",Settings!$B$5)</f>
        <v/>
      </c>
      <c r="I49" s="11" t="str">
        <f aca="false">IF(A49="","",ROUND(K49*(Settings!$B$2+Settings!$B$3)/100+Settings!$B$4,2))</f>
        <v/>
      </c>
      <c r="J49" s="11" t="str">
        <f aca="false">IF(A49="","",ROUND(K49-E49*C49-H49-G49-I49,2))</f>
        <v/>
      </c>
      <c r="K49" s="11" t="str">
        <f aca="false">IF(A49="","",D49*C49+F49)</f>
        <v/>
      </c>
      <c r="L49" s="12" t="str">
        <f aca="false">IF(OR(A49="",K49=0),"",ROUND(J49/K49*100,2))</f>
        <v/>
      </c>
      <c r="M49" s="3" t="str">
        <f aca="false">IF(A49="","",TEXT(A49,"yyyy-mm"))</f>
        <v/>
      </c>
    </row>
    <row r="50" customFormat="false" ht="15" hidden="false" customHeight="false" outlineLevel="0" collapsed="false">
      <c r="A50" s="17"/>
      <c r="B50" s="9"/>
      <c r="C50" s="9"/>
      <c r="D50" s="10" t="str">
        <f aca="false">IF(B50="","",IFERROR(INDEX(Products!$D$5:$D$54,MATCH(B50,Products!$A$5:$A$54,0)),0))</f>
        <v/>
      </c>
      <c r="E50" s="10" t="str">
        <f aca="false">IF(B50="","",IFERROR(INDEX(Products!$C$5:$C$54,MATCH(B50,Products!$A$5:$A$54,0)),0))</f>
        <v/>
      </c>
      <c r="F50" s="10"/>
      <c r="G50" s="10"/>
      <c r="H50" s="10" t="str">
        <f aca="false">IF(A50="","",Settings!$B$5)</f>
        <v/>
      </c>
      <c r="I50" s="11" t="str">
        <f aca="false">IF(A50="","",ROUND(K50*(Settings!$B$2+Settings!$B$3)/100+Settings!$B$4,2))</f>
        <v/>
      </c>
      <c r="J50" s="11" t="str">
        <f aca="false">IF(A50="","",ROUND(K50-E50*C50-H50-G50-I50,2))</f>
        <v/>
      </c>
      <c r="K50" s="11" t="str">
        <f aca="false">IF(A50="","",D50*C50+F50)</f>
        <v/>
      </c>
      <c r="L50" s="12" t="str">
        <f aca="false">IF(OR(A50="",K50=0),"",ROUND(J50/K50*100,2))</f>
        <v/>
      </c>
      <c r="M50" s="3" t="str">
        <f aca="false">IF(A50="","",TEXT(A50,"yyyy-mm"))</f>
        <v/>
      </c>
    </row>
    <row r="51" customFormat="false" ht="15" hidden="false" customHeight="false" outlineLevel="0" collapsed="false">
      <c r="A51" s="17"/>
      <c r="B51" s="9"/>
      <c r="C51" s="9"/>
      <c r="D51" s="10" t="str">
        <f aca="false">IF(B51="","",IFERROR(INDEX(Products!$D$5:$D$54,MATCH(B51,Products!$A$5:$A$54,0)),0))</f>
        <v/>
      </c>
      <c r="E51" s="10" t="str">
        <f aca="false">IF(B51="","",IFERROR(INDEX(Products!$C$5:$C$54,MATCH(B51,Products!$A$5:$A$54,0)),0))</f>
        <v/>
      </c>
      <c r="F51" s="10"/>
      <c r="G51" s="10"/>
      <c r="H51" s="10" t="str">
        <f aca="false">IF(A51="","",Settings!$B$5)</f>
        <v/>
      </c>
      <c r="I51" s="11" t="str">
        <f aca="false">IF(A51="","",ROUND(K51*(Settings!$B$2+Settings!$B$3)/100+Settings!$B$4,2))</f>
        <v/>
      </c>
      <c r="J51" s="11" t="str">
        <f aca="false">IF(A51="","",ROUND(K51-E51*C51-H51-G51-I51,2))</f>
        <v/>
      </c>
      <c r="K51" s="11" t="str">
        <f aca="false">IF(A51="","",D51*C51+F51)</f>
        <v/>
      </c>
      <c r="L51" s="12" t="str">
        <f aca="false">IF(OR(A51="",K51=0),"",ROUND(J51/K51*100,2))</f>
        <v/>
      </c>
      <c r="M51" s="3" t="str">
        <f aca="false">IF(A51="","",TEXT(A51,"yyyy-mm"))</f>
        <v/>
      </c>
    </row>
    <row r="52" customFormat="false" ht="15" hidden="false" customHeight="false" outlineLevel="0" collapsed="false">
      <c r="A52" s="17"/>
      <c r="B52" s="9"/>
      <c r="C52" s="9"/>
      <c r="D52" s="10" t="str">
        <f aca="false">IF(B52="","",IFERROR(INDEX(Products!$D$5:$D$54,MATCH(B52,Products!$A$5:$A$54,0)),0))</f>
        <v/>
      </c>
      <c r="E52" s="10" t="str">
        <f aca="false">IF(B52="","",IFERROR(INDEX(Products!$C$5:$C$54,MATCH(B52,Products!$A$5:$A$54,0)),0))</f>
        <v/>
      </c>
      <c r="F52" s="10"/>
      <c r="G52" s="10"/>
      <c r="H52" s="10" t="str">
        <f aca="false">IF(A52="","",Settings!$B$5)</f>
        <v/>
      </c>
      <c r="I52" s="11" t="str">
        <f aca="false">IF(A52="","",ROUND(K52*(Settings!$B$2+Settings!$B$3)/100+Settings!$B$4,2))</f>
        <v/>
      </c>
      <c r="J52" s="11" t="str">
        <f aca="false">IF(A52="","",ROUND(K52-E52*C52-H52-G52-I52,2))</f>
        <v/>
      </c>
      <c r="K52" s="11" t="str">
        <f aca="false">IF(A52="","",D52*C52+F52)</f>
        <v/>
      </c>
      <c r="L52" s="12" t="str">
        <f aca="false">IF(OR(A52="",K52=0),"",ROUND(J52/K52*100,2))</f>
        <v/>
      </c>
      <c r="M52" s="3" t="str">
        <f aca="false">IF(A52="","",TEXT(A52,"yyyy-mm"))</f>
        <v/>
      </c>
    </row>
    <row r="53" customFormat="false" ht="15" hidden="false" customHeight="false" outlineLevel="0" collapsed="false">
      <c r="A53" s="17"/>
      <c r="B53" s="9"/>
      <c r="C53" s="9"/>
      <c r="D53" s="10" t="str">
        <f aca="false">IF(B53="","",IFERROR(INDEX(Products!$D$5:$D$54,MATCH(B53,Products!$A$5:$A$54,0)),0))</f>
        <v/>
      </c>
      <c r="E53" s="10" t="str">
        <f aca="false">IF(B53="","",IFERROR(INDEX(Products!$C$5:$C$54,MATCH(B53,Products!$A$5:$A$54,0)),0))</f>
        <v/>
      </c>
      <c r="F53" s="10"/>
      <c r="G53" s="10"/>
      <c r="H53" s="10" t="str">
        <f aca="false">IF(A53="","",Settings!$B$5)</f>
        <v/>
      </c>
      <c r="I53" s="11" t="str">
        <f aca="false">IF(A53="","",ROUND(K53*(Settings!$B$2+Settings!$B$3)/100+Settings!$B$4,2))</f>
        <v/>
      </c>
      <c r="J53" s="11" t="str">
        <f aca="false">IF(A53="","",ROUND(K53-E53*C53-H53-G53-I53,2))</f>
        <v/>
      </c>
      <c r="K53" s="11" t="str">
        <f aca="false">IF(A53="","",D53*C53+F53)</f>
        <v/>
      </c>
      <c r="L53" s="12" t="str">
        <f aca="false">IF(OR(A53="",K53=0),"",ROUND(J53/K53*100,2))</f>
        <v/>
      </c>
      <c r="M53" s="3" t="str">
        <f aca="false">IF(A53="","",TEXT(A53,"yyyy-mm"))</f>
        <v/>
      </c>
    </row>
    <row r="54" customFormat="false" ht="15" hidden="false" customHeight="false" outlineLevel="0" collapsed="false">
      <c r="A54" s="17"/>
      <c r="B54" s="9"/>
      <c r="C54" s="9"/>
      <c r="D54" s="10" t="str">
        <f aca="false">IF(B54="","",IFERROR(INDEX(Products!$D$5:$D$54,MATCH(B54,Products!$A$5:$A$54,0)),0))</f>
        <v/>
      </c>
      <c r="E54" s="10" t="str">
        <f aca="false">IF(B54="","",IFERROR(INDEX(Products!$C$5:$C$54,MATCH(B54,Products!$A$5:$A$54,0)),0))</f>
        <v/>
      </c>
      <c r="F54" s="10"/>
      <c r="G54" s="10"/>
      <c r="H54" s="10" t="str">
        <f aca="false">IF(A54="","",Settings!$B$5)</f>
        <v/>
      </c>
      <c r="I54" s="11" t="str">
        <f aca="false">IF(A54="","",ROUND(K54*(Settings!$B$2+Settings!$B$3)/100+Settings!$B$4,2))</f>
        <v/>
      </c>
      <c r="J54" s="11" t="str">
        <f aca="false">IF(A54="","",ROUND(K54-E54*C54-H54-G54-I54,2))</f>
        <v/>
      </c>
      <c r="K54" s="11" t="str">
        <f aca="false">IF(A54="","",D54*C54+F54)</f>
        <v/>
      </c>
      <c r="L54" s="12" t="str">
        <f aca="false">IF(OR(A54="",K54=0),"",ROUND(J54/K54*100,2))</f>
        <v/>
      </c>
      <c r="M54" s="3" t="str">
        <f aca="false">IF(A54="","",TEXT(A54,"yyyy-mm"))</f>
        <v/>
      </c>
    </row>
    <row r="55" customFormat="false" ht="15" hidden="false" customHeight="false" outlineLevel="0" collapsed="false">
      <c r="A55" s="17"/>
      <c r="B55" s="9"/>
      <c r="C55" s="9"/>
      <c r="D55" s="10" t="str">
        <f aca="false">IF(B55="","",IFERROR(INDEX(Products!$D$5:$D$54,MATCH(B55,Products!$A$5:$A$54,0)),0))</f>
        <v/>
      </c>
      <c r="E55" s="10" t="str">
        <f aca="false">IF(B55="","",IFERROR(INDEX(Products!$C$5:$C$54,MATCH(B55,Products!$A$5:$A$54,0)),0))</f>
        <v/>
      </c>
      <c r="F55" s="10"/>
      <c r="G55" s="10"/>
      <c r="H55" s="10" t="str">
        <f aca="false">IF(A55="","",Settings!$B$5)</f>
        <v/>
      </c>
      <c r="I55" s="11" t="str">
        <f aca="false">IF(A55="","",ROUND(K55*(Settings!$B$2+Settings!$B$3)/100+Settings!$B$4,2))</f>
        <v/>
      </c>
      <c r="J55" s="11" t="str">
        <f aca="false">IF(A55="","",ROUND(K55-E55*C55-H55-G55-I55,2))</f>
        <v/>
      </c>
      <c r="K55" s="11" t="str">
        <f aca="false">IF(A55="","",D55*C55+F55)</f>
        <v/>
      </c>
      <c r="L55" s="12" t="str">
        <f aca="false">IF(OR(A55="",K55=0),"",ROUND(J55/K55*100,2))</f>
        <v/>
      </c>
      <c r="M55" s="3" t="str">
        <f aca="false">IF(A55="","",TEXT(A55,"yyyy-mm"))</f>
        <v/>
      </c>
    </row>
    <row r="56" customFormat="false" ht="15" hidden="false" customHeight="false" outlineLevel="0" collapsed="false">
      <c r="A56" s="17"/>
      <c r="B56" s="9"/>
      <c r="C56" s="9"/>
      <c r="D56" s="10" t="str">
        <f aca="false">IF(B56="","",IFERROR(INDEX(Products!$D$5:$D$54,MATCH(B56,Products!$A$5:$A$54,0)),0))</f>
        <v/>
      </c>
      <c r="E56" s="10" t="str">
        <f aca="false">IF(B56="","",IFERROR(INDEX(Products!$C$5:$C$54,MATCH(B56,Products!$A$5:$A$54,0)),0))</f>
        <v/>
      </c>
      <c r="F56" s="10"/>
      <c r="G56" s="10"/>
      <c r="H56" s="10" t="str">
        <f aca="false">IF(A56="","",Settings!$B$5)</f>
        <v/>
      </c>
      <c r="I56" s="11" t="str">
        <f aca="false">IF(A56="","",ROUND(K56*(Settings!$B$2+Settings!$B$3)/100+Settings!$B$4,2))</f>
        <v/>
      </c>
      <c r="J56" s="11" t="str">
        <f aca="false">IF(A56="","",ROUND(K56-E56*C56-H56-G56-I56,2))</f>
        <v/>
      </c>
      <c r="K56" s="11" t="str">
        <f aca="false">IF(A56="","",D56*C56+F56)</f>
        <v/>
      </c>
      <c r="L56" s="12" t="str">
        <f aca="false">IF(OR(A56="",K56=0),"",ROUND(J56/K56*100,2))</f>
        <v/>
      </c>
      <c r="M56" s="3" t="str">
        <f aca="false">IF(A56="","",TEXT(A56,"yyyy-mm"))</f>
        <v/>
      </c>
    </row>
    <row r="57" customFormat="false" ht="15" hidden="false" customHeight="false" outlineLevel="0" collapsed="false">
      <c r="A57" s="17"/>
      <c r="B57" s="9"/>
      <c r="C57" s="9"/>
      <c r="D57" s="10" t="str">
        <f aca="false">IF(B57="","",IFERROR(INDEX(Products!$D$5:$D$54,MATCH(B57,Products!$A$5:$A$54,0)),0))</f>
        <v/>
      </c>
      <c r="E57" s="10" t="str">
        <f aca="false">IF(B57="","",IFERROR(INDEX(Products!$C$5:$C$54,MATCH(B57,Products!$A$5:$A$54,0)),0))</f>
        <v/>
      </c>
      <c r="F57" s="10"/>
      <c r="G57" s="10"/>
      <c r="H57" s="10" t="str">
        <f aca="false">IF(A57="","",Settings!$B$5)</f>
        <v/>
      </c>
      <c r="I57" s="11" t="str">
        <f aca="false">IF(A57="","",ROUND(K57*(Settings!$B$2+Settings!$B$3)/100+Settings!$B$4,2))</f>
        <v/>
      </c>
      <c r="J57" s="11" t="str">
        <f aca="false">IF(A57="","",ROUND(K57-E57*C57-H57-G57-I57,2))</f>
        <v/>
      </c>
      <c r="K57" s="11" t="str">
        <f aca="false">IF(A57="","",D57*C57+F57)</f>
        <v/>
      </c>
      <c r="L57" s="12" t="str">
        <f aca="false">IF(OR(A57="",K57=0),"",ROUND(J57/K57*100,2))</f>
        <v/>
      </c>
      <c r="M57" s="3" t="str">
        <f aca="false">IF(A57="","",TEXT(A57,"yyyy-mm"))</f>
        <v/>
      </c>
    </row>
    <row r="58" customFormat="false" ht="15" hidden="false" customHeight="false" outlineLevel="0" collapsed="false">
      <c r="A58" s="17"/>
      <c r="B58" s="9"/>
      <c r="C58" s="9"/>
      <c r="D58" s="10" t="str">
        <f aca="false">IF(B58="","",IFERROR(INDEX(Products!$D$5:$D$54,MATCH(B58,Products!$A$5:$A$54,0)),0))</f>
        <v/>
      </c>
      <c r="E58" s="10" t="str">
        <f aca="false">IF(B58="","",IFERROR(INDEX(Products!$C$5:$C$54,MATCH(B58,Products!$A$5:$A$54,0)),0))</f>
        <v/>
      </c>
      <c r="F58" s="10"/>
      <c r="G58" s="10"/>
      <c r="H58" s="10" t="str">
        <f aca="false">IF(A58="","",Settings!$B$5)</f>
        <v/>
      </c>
      <c r="I58" s="11" t="str">
        <f aca="false">IF(A58="","",ROUND(K58*(Settings!$B$2+Settings!$B$3)/100+Settings!$B$4,2))</f>
        <v/>
      </c>
      <c r="J58" s="11" t="str">
        <f aca="false">IF(A58="","",ROUND(K58-E58*C58-H58-G58-I58,2))</f>
        <v/>
      </c>
      <c r="K58" s="11" t="str">
        <f aca="false">IF(A58="","",D58*C58+F58)</f>
        <v/>
      </c>
      <c r="L58" s="12" t="str">
        <f aca="false">IF(OR(A58="",K58=0),"",ROUND(J58/K58*100,2))</f>
        <v/>
      </c>
      <c r="M58" s="3" t="str">
        <f aca="false">IF(A58="","",TEXT(A58,"yyyy-mm"))</f>
        <v/>
      </c>
    </row>
    <row r="59" customFormat="false" ht="15" hidden="false" customHeight="false" outlineLevel="0" collapsed="false">
      <c r="A59" s="17"/>
      <c r="B59" s="9"/>
      <c r="C59" s="9"/>
      <c r="D59" s="10" t="str">
        <f aca="false">IF(B59="","",IFERROR(INDEX(Products!$D$5:$D$54,MATCH(B59,Products!$A$5:$A$54,0)),0))</f>
        <v/>
      </c>
      <c r="E59" s="10" t="str">
        <f aca="false">IF(B59="","",IFERROR(INDEX(Products!$C$5:$C$54,MATCH(B59,Products!$A$5:$A$54,0)),0))</f>
        <v/>
      </c>
      <c r="F59" s="10"/>
      <c r="G59" s="10"/>
      <c r="H59" s="10" t="str">
        <f aca="false">IF(A59="","",Settings!$B$5)</f>
        <v/>
      </c>
      <c r="I59" s="11" t="str">
        <f aca="false">IF(A59="","",ROUND(K59*(Settings!$B$2+Settings!$B$3)/100+Settings!$B$4,2))</f>
        <v/>
      </c>
      <c r="J59" s="11" t="str">
        <f aca="false">IF(A59="","",ROUND(K59-E59*C59-H59-G59-I59,2))</f>
        <v/>
      </c>
      <c r="K59" s="11" t="str">
        <f aca="false">IF(A59="","",D59*C59+F59)</f>
        <v/>
      </c>
      <c r="L59" s="12" t="str">
        <f aca="false">IF(OR(A59="",K59=0),"",ROUND(J59/K59*100,2))</f>
        <v/>
      </c>
      <c r="M59" s="3" t="str">
        <f aca="false">IF(A59="","",TEXT(A59,"yyyy-mm"))</f>
        <v/>
      </c>
    </row>
    <row r="60" customFormat="false" ht="15" hidden="false" customHeight="false" outlineLevel="0" collapsed="false">
      <c r="A60" s="17"/>
      <c r="B60" s="9"/>
      <c r="C60" s="9"/>
      <c r="D60" s="10" t="str">
        <f aca="false">IF(B60="","",IFERROR(INDEX(Products!$D$5:$D$54,MATCH(B60,Products!$A$5:$A$54,0)),0))</f>
        <v/>
      </c>
      <c r="E60" s="10" t="str">
        <f aca="false">IF(B60="","",IFERROR(INDEX(Products!$C$5:$C$54,MATCH(B60,Products!$A$5:$A$54,0)),0))</f>
        <v/>
      </c>
      <c r="F60" s="10"/>
      <c r="G60" s="10"/>
      <c r="H60" s="10" t="str">
        <f aca="false">IF(A60="","",Settings!$B$5)</f>
        <v/>
      </c>
      <c r="I60" s="11" t="str">
        <f aca="false">IF(A60="","",ROUND(K60*(Settings!$B$2+Settings!$B$3)/100+Settings!$B$4,2))</f>
        <v/>
      </c>
      <c r="J60" s="11" t="str">
        <f aca="false">IF(A60="","",ROUND(K60-E60*C60-H60-G60-I60,2))</f>
        <v/>
      </c>
      <c r="K60" s="11" t="str">
        <f aca="false">IF(A60="","",D60*C60+F60)</f>
        <v/>
      </c>
      <c r="L60" s="12" t="str">
        <f aca="false">IF(OR(A60="",K60=0),"",ROUND(J60/K60*100,2))</f>
        <v/>
      </c>
      <c r="M60" s="3" t="str">
        <f aca="false">IF(A60="","",TEXT(A60,"yyyy-mm"))</f>
        <v/>
      </c>
    </row>
    <row r="61" customFormat="false" ht="15" hidden="false" customHeight="false" outlineLevel="0" collapsed="false">
      <c r="A61" s="17"/>
      <c r="B61" s="9"/>
      <c r="C61" s="9"/>
      <c r="D61" s="10" t="str">
        <f aca="false">IF(B61="","",IFERROR(INDEX(Products!$D$5:$D$54,MATCH(B61,Products!$A$5:$A$54,0)),0))</f>
        <v/>
      </c>
      <c r="E61" s="10" t="str">
        <f aca="false">IF(B61="","",IFERROR(INDEX(Products!$C$5:$C$54,MATCH(B61,Products!$A$5:$A$54,0)),0))</f>
        <v/>
      </c>
      <c r="F61" s="10"/>
      <c r="G61" s="10"/>
      <c r="H61" s="10" t="str">
        <f aca="false">IF(A61="","",Settings!$B$5)</f>
        <v/>
      </c>
      <c r="I61" s="11" t="str">
        <f aca="false">IF(A61="","",ROUND(K61*(Settings!$B$2+Settings!$B$3)/100+Settings!$B$4,2))</f>
        <v/>
      </c>
      <c r="J61" s="11" t="str">
        <f aca="false">IF(A61="","",ROUND(K61-E61*C61-H61-G61-I61,2))</f>
        <v/>
      </c>
      <c r="K61" s="11" t="str">
        <f aca="false">IF(A61="","",D61*C61+F61)</f>
        <v/>
      </c>
      <c r="L61" s="12" t="str">
        <f aca="false">IF(OR(A61="",K61=0),"",ROUND(J61/K61*100,2))</f>
        <v/>
      </c>
      <c r="M61" s="3" t="str">
        <f aca="false">IF(A61="","",TEXT(A61,"yyyy-mm"))</f>
        <v/>
      </c>
    </row>
    <row r="62" customFormat="false" ht="15" hidden="false" customHeight="false" outlineLevel="0" collapsed="false">
      <c r="A62" s="17"/>
      <c r="B62" s="9"/>
      <c r="C62" s="9"/>
      <c r="D62" s="10" t="str">
        <f aca="false">IF(B62="","",IFERROR(INDEX(Products!$D$5:$D$54,MATCH(B62,Products!$A$5:$A$54,0)),0))</f>
        <v/>
      </c>
      <c r="E62" s="10" t="str">
        <f aca="false">IF(B62="","",IFERROR(INDEX(Products!$C$5:$C$54,MATCH(B62,Products!$A$5:$A$54,0)),0))</f>
        <v/>
      </c>
      <c r="F62" s="10"/>
      <c r="G62" s="10"/>
      <c r="H62" s="10" t="str">
        <f aca="false">IF(A62="","",Settings!$B$5)</f>
        <v/>
      </c>
      <c r="I62" s="11" t="str">
        <f aca="false">IF(A62="","",ROUND(K62*(Settings!$B$2+Settings!$B$3)/100+Settings!$B$4,2))</f>
        <v/>
      </c>
      <c r="J62" s="11" t="str">
        <f aca="false">IF(A62="","",ROUND(K62-E62*C62-H62-G62-I62,2))</f>
        <v/>
      </c>
      <c r="K62" s="11" t="str">
        <f aca="false">IF(A62="","",D62*C62+F62)</f>
        <v/>
      </c>
      <c r="L62" s="12" t="str">
        <f aca="false">IF(OR(A62="",K62=0),"",ROUND(J62/K62*100,2))</f>
        <v/>
      </c>
      <c r="M62" s="3" t="str">
        <f aca="false">IF(A62="","",TEXT(A62,"yyyy-mm"))</f>
        <v/>
      </c>
    </row>
    <row r="63" customFormat="false" ht="15" hidden="false" customHeight="false" outlineLevel="0" collapsed="false">
      <c r="A63" s="17"/>
      <c r="B63" s="9"/>
      <c r="C63" s="9"/>
      <c r="D63" s="10" t="str">
        <f aca="false">IF(B63="","",IFERROR(INDEX(Products!$D$5:$D$54,MATCH(B63,Products!$A$5:$A$54,0)),0))</f>
        <v/>
      </c>
      <c r="E63" s="10" t="str">
        <f aca="false">IF(B63="","",IFERROR(INDEX(Products!$C$5:$C$54,MATCH(B63,Products!$A$5:$A$54,0)),0))</f>
        <v/>
      </c>
      <c r="F63" s="10"/>
      <c r="G63" s="10"/>
      <c r="H63" s="10" t="str">
        <f aca="false">IF(A63="","",Settings!$B$5)</f>
        <v/>
      </c>
      <c r="I63" s="11" t="str">
        <f aca="false">IF(A63="","",ROUND(K63*(Settings!$B$2+Settings!$B$3)/100+Settings!$B$4,2))</f>
        <v/>
      </c>
      <c r="J63" s="11" t="str">
        <f aca="false">IF(A63="","",ROUND(K63-E63*C63-H63-G63-I63,2))</f>
        <v/>
      </c>
      <c r="K63" s="11" t="str">
        <f aca="false">IF(A63="","",D63*C63+F63)</f>
        <v/>
      </c>
      <c r="L63" s="12" t="str">
        <f aca="false">IF(OR(A63="",K63=0),"",ROUND(J63/K63*100,2))</f>
        <v/>
      </c>
      <c r="M63" s="3" t="str">
        <f aca="false">IF(A63="","",TEXT(A63,"yyyy-mm"))</f>
        <v/>
      </c>
    </row>
    <row r="64" customFormat="false" ht="15" hidden="false" customHeight="false" outlineLevel="0" collapsed="false">
      <c r="A64" s="17"/>
      <c r="B64" s="9"/>
      <c r="C64" s="9"/>
      <c r="D64" s="10" t="str">
        <f aca="false">IF(B64="","",IFERROR(INDEX(Products!$D$5:$D$54,MATCH(B64,Products!$A$5:$A$54,0)),0))</f>
        <v/>
      </c>
      <c r="E64" s="10" t="str">
        <f aca="false">IF(B64="","",IFERROR(INDEX(Products!$C$5:$C$54,MATCH(B64,Products!$A$5:$A$54,0)),0))</f>
        <v/>
      </c>
      <c r="F64" s="10"/>
      <c r="G64" s="10"/>
      <c r="H64" s="10" t="str">
        <f aca="false">IF(A64="","",Settings!$B$5)</f>
        <v/>
      </c>
      <c r="I64" s="11" t="str">
        <f aca="false">IF(A64="","",ROUND(K64*(Settings!$B$2+Settings!$B$3)/100+Settings!$B$4,2))</f>
        <v/>
      </c>
      <c r="J64" s="11" t="str">
        <f aca="false">IF(A64="","",ROUND(K64-E64*C64-H64-G64-I64,2))</f>
        <v/>
      </c>
      <c r="K64" s="11" t="str">
        <f aca="false">IF(A64="","",D64*C64+F64)</f>
        <v/>
      </c>
      <c r="L64" s="12" t="str">
        <f aca="false">IF(OR(A64="",K64=0),"",ROUND(J64/K64*100,2))</f>
        <v/>
      </c>
      <c r="M64" s="3" t="str">
        <f aca="false">IF(A64="","",TEXT(A64,"yyyy-mm"))</f>
        <v/>
      </c>
    </row>
    <row r="65" customFormat="false" ht="15" hidden="false" customHeight="false" outlineLevel="0" collapsed="false">
      <c r="A65" s="17"/>
      <c r="B65" s="9"/>
      <c r="C65" s="9"/>
      <c r="D65" s="10" t="str">
        <f aca="false">IF(B65="","",IFERROR(INDEX(Products!$D$5:$D$54,MATCH(B65,Products!$A$5:$A$54,0)),0))</f>
        <v/>
      </c>
      <c r="E65" s="10" t="str">
        <f aca="false">IF(B65="","",IFERROR(INDEX(Products!$C$5:$C$54,MATCH(B65,Products!$A$5:$A$54,0)),0))</f>
        <v/>
      </c>
      <c r="F65" s="10"/>
      <c r="G65" s="10"/>
      <c r="H65" s="10" t="str">
        <f aca="false">IF(A65="","",Settings!$B$5)</f>
        <v/>
      </c>
      <c r="I65" s="11" t="str">
        <f aca="false">IF(A65="","",ROUND(K65*(Settings!$B$2+Settings!$B$3)/100+Settings!$B$4,2))</f>
        <v/>
      </c>
      <c r="J65" s="11" t="str">
        <f aca="false">IF(A65="","",ROUND(K65-E65*C65-H65-G65-I65,2))</f>
        <v/>
      </c>
      <c r="K65" s="11" t="str">
        <f aca="false">IF(A65="","",D65*C65+F65)</f>
        <v/>
      </c>
      <c r="L65" s="12" t="str">
        <f aca="false">IF(OR(A65="",K65=0),"",ROUND(J65/K65*100,2))</f>
        <v/>
      </c>
      <c r="M65" s="3" t="str">
        <f aca="false">IF(A65="","",TEXT(A65,"yyyy-mm"))</f>
        <v/>
      </c>
    </row>
    <row r="66" customFormat="false" ht="15" hidden="false" customHeight="false" outlineLevel="0" collapsed="false">
      <c r="A66" s="17"/>
      <c r="B66" s="9"/>
      <c r="C66" s="9"/>
      <c r="D66" s="10" t="str">
        <f aca="false">IF(B66="","",IFERROR(INDEX(Products!$D$5:$D$54,MATCH(B66,Products!$A$5:$A$54,0)),0))</f>
        <v/>
      </c>
      <c r="E66" s="10" t="str">
        <f aca="false">IF(B66="","",IFERROR(INDEX(Products!$C$5:$C$54,MATCH(B66,Products!$A$5:$A$54,0)),0))</f>
        <v/>
      </c>
      <c r="F66" s="10"/>
      <c r="G66" s="10"/>
      <c r="H66" s="10" t="str">
        <f aca="false">IF(A66="","",Settings!$B$5)</f>
        <v/>
      </c>
      <c r="I66" s="11" t="str">
        <f aca="false">IF(A66="","",ROUND(K66*(Settings!$B$2+Settings!$B$3)/100+Settings!$B$4,2))</f>
        <v/>
      </c>
      <c r="J66" s="11" t="str">
        <f aca="false">IF(A66="","",ROUND(K66-E66*C66-H66-G66-I66,2))</f>
        <v/>
      </c>
      <c r="K66" s="11" t="str">
        <f aca="false">IF(A66="","",D66*C66+F66)</f>
        <v/>
      </c>
      <c r="L66" s="12" t="str">
        <f aca="false">IF(OR(A66="",K66=0),"",ROUND(J66/K66*100,2))</f>
        <v/>
      </c>
      <c r="M66" s="3" t="str">
        <f aca="false">IF(A66="","",TEXT(A66,"yyyy-mm"))</f>
        <v/>
      </c>
    </row>
    <row r="67" customFormat="false" ht="15" hidden="false" customHeight="false" outlineLevel="0" collapsed="false">
      <c r="A67" s="17"/>
      <c r="B67" s="9"/>
      <c r="C67" s="9"/>
      <c r="D67" s="10" t="str">
        <f aca="false">IF(B67="","",IFERROR(INDEX(Products!$D$5:$D$54,MATCH(B67,Products!$A$5:$A$54,0)),0))</f>
        <v/>
      </c>
      <c r="E67" s="10" t="str">
        <f aca="false">IF(B67="","",IFERROR(INDEX(Products!$C$5:$C$54,MATCH(B67,Products!$A$5:$A$54,0)),0))</f>
        <v/>
      </c>
      <c r="F67" s="10"/>
      <c r="G67" s="10"/>
      <c r="H67" s="10" t="str">
        <f aca="false">IF(A67="","",Settings!$B$5)</f>
        <v/>
      </c>
      <c r="I67" s="11" t="str">
        <f aca="false">IF(A67="","",ROUND(K67*(Settings!$B$2+Settings!$B$3)/100+Settings!$B$4,2))</f>
        <v/>
      </c>
      <c r="J67" s="11" t="str">
        <f aca="false">IF(A67="","",ROUND(K67-E67*C67-H67-G67-I67,2))</f>
        <v/>
      </c>
      <c r="K67" s="11" t="str">
        <f aca="false">IF(A67="","",D67*C67+F67)</f>
        <v/>
      </c>
      <c r="L67" s="12" t="str">
        <f aca="false">IF(OR(A67="",K67=0),"",ROUND(J67/K67*100,2))</f>
        <v/>
      </c>
      <c r="M67" s="3" t="str">
        <f aca="false">IF(A67="","",TEXT(A67,"yyyy-mm"))</f>
        <v/>
      </c>
    </row>
    <row r="68" customFormat="false" ht="15" hidden="false" customHeight="false" outlineLevel="0" collapsed="false">
      <c r="A68" s="17"/>
      <c r="B68" s="9"/>
      <c r="C68" s="9"/>
      <c r="D68" s="10" t="str">
        <f aca="false">IF(B68="","",IFERROR(INDEX(Products!$D$5:$D$54,MATCH(B68,Products!$A$5:$A$54,0)),0))</f>
        <v/>
      </c>
      <c r="E68" s="10" t="str">
        <f aca="false">IF(B68="","",IFERROR(INDEX(Products!$C$5:$C$54,MATCH(B68,Products!$A$5:$A$54,0)),0))</f>
        <v/>
      </c>
      <c r="F68" s="10"/>
      <c r="G68" s="10"/>
      <c r="H68" s="10" t="str">
        <f aca="false">IF(A68="","",Settings!$B$5)</f>
        <v/>
      </c>
      <c r="I68" s="11" t="str">
        <f aca="false">IF(A68="","",ROUND(K68*(Settings!$B$2+Settings!$B$3)/100+Settings!$B$4,2))</f>
        <v/>
      </c>
      <c r="J68" s="11" t="str">
        <f aca="false">IF(A68="","",ROUND(K68-E68*C68-H68-G68-I68,2))</f>
        <v/>
      </c>
      <c r="K68" s="11" t="str">
        <f aca="false">IF(A68="","",D68*C68+F68)</f>
        <v/>
      </c>
      <c r="L68" s="12" t="str">
        <f aca="false">IF(OR(A68="",K68=0),"",ROUND(J68/K68*100,2))</f>
        <v/>
      </c>
      <c r="M68" s="3" t="str">
        <f aca="false">IF(A68="","",TEXT(A68,"yyyy-mm"))</f>
        <v/>
      </c>
    </row>
    <row r="69" customFormat="false" ht="15" hidden="false" customHeight="false" outlineLevel="0" collapsed="false">
      <c r="A69" s="17"/>
      <c r="B69" s="9"/>
      <c r="C69" s="9"/>
      <c r="D69" s="10" t="str">
        <f aca="false">IF(B69="","",IFERROR(INDEX(Products!$D$5:$D$54,MATCH(B69,Products!$A$5:$A$54,0)),0))</f>
        <v/>
      </c>
      <c r="E69" s="10" t="str">
        <f aca="false">IF(B69="","",IFERROR(INDEX(Products!$C$5:$C$54,MATCH(B69,Products!$A$5:$A$54,0)),0))</f>
        <v/>
      </c>
      <c r="F69" s="10"/>
      <c r="G69" s="10"/>
      <c r="H69" s="10" t="str">
        <f aca="false">IF(A69="","",Settings!$B$5)</f>
        <v/>
      </c>
      <c r="I69" s="11" t="str">
        <f aca="false">IF(A69="","",ROUND(K69*(Settings!$B$2+Settings!$B$3)/100+Settings!$B$4,2))</f>
        <v/>
      </c>
      <c r="J69" s="11" t="str">
        <f aca="false">IF(A69="","",ROUND(K69-E69*C69-H69-G69-I69,2))</f>
        <v/>
      </c>
      <c r="K69" s="11" t="str">
        <f aca="false">IF(A69="","",D69*C69+F69)</f>
        <v/>
      </c>
      <c r="L69" s="12" t="str">
        <f aca="false">IF(OR(A69="",K69=0),"",ROUND(J69/K69*100,2))</f>
        <v/>
      </c>
      <c r="M69" s="3" t="str">
        <f aca="false">IF(A69="","",TEXT(A69,"yyyy-mm"))</f>
        <v/>
      </c>
    </row>
    <row r="70" customFormat="false" ht="15" hidden="false" customHeight="false" outlineLevel="0" collapsed="false">
      <c r="A70" s="17"/>
      <c r="B70" s="9"/>
      <c r="C70" s="9"/>
      <c r="D70" s="10" t="str">
        <f aca="false">IF(B70="","",IFERROR(INDEX(Products!$D$5:$D$54,MATCH(B70,Products!$A$5:$A$54,0)),0))</f>
        <v/>
      </c>
      <c r="E70" s="10" t="str">
        <f aca="false">IF(B70="","",IFERROR(INDEX(Products!$C$5:$C$54,MATCH(B70,Products!$A$5:$A$54,0)),0))</f>
        <v/>
      </c>
      <c r="F70" s="10"/>
      <c r="G70" s="10"/>
      <c r="H70" s="10" t="str">
        <f aca="false">IF(A70="","",Settings!$B$5)</f>
        <v/>
      </c>
      <c r="I70" s="11" t="str">
        <f aca="false">IF(A70="","",ROUND(K70*(Settings!$B$2+Settings!$B$3)/100+Settings!$B$4,2))</f>
        <v/>
      </c>
      <c r="J70" s="11" t="str">
        <f aca="false">IF(A70="","",ROUND(K70-E70*C70-H70-G70-I70,2))</f>
        <v/>
      </c>
      <c r="K70" s="11" t="str">
        <f aca="false">IF(A70="","",D70*C70+F70)</f>
        <v/>
      </c>
      <c r="L70" s="12" t="str">
        <f aca="false">IF(OR(A70="",K70=0),"",ROUND(J70/K70*100,2))</f>
        <v/>
      </c>
      <c r="M70" s="3" t="str">
        <f aca="false">IF(A70="","",TEXT(A70,"yyyy-mm"))</f>
        <v/>
      </c>
    </row>
    <row r="71" customFormat="false" ht="15" hidden="false" customHeight="false" outlineLevel="0" collapsed="false">
      <c r="A71" s="17"/>
      <c r="B71" s="9"/>
      <c r="C71" s="9"/>
      <c r="D71" s="10" t="str">
        <f aca="false">IF(B71="","",IFERROR(INDEX(Products!$D$5:$D$54,MATCH(B71,Products!$A$5:$A$54,0)),0))</f>
        <v/>
      </c>
      <c r="E71" s="10" t="str">
        <f aca="false">IF(B71="","",IFERROR(INDEX(Products!$C$5:$C$54,MATCH(B71,Products!$A$5:$A$54,0)),0))</f>
        <v/>
      </c>
      <c r="F71" s="10"/>
      <c r="G71" s="10"/>
      <c r="H71" s="10" t="str">
        <f aca="false">IF(A71="","",Settings!$B$5)</f>
        <v/>
      </c>
      <c r="I71" s="11" t="str">
        <f aca="false">IF(A71="","",ROUND(K71*(Settings!$B$2+Settings!$B$3)/100+Settings!$B$4,2))</f>
        <v/>
      </c>
      <c r="J71" s="11" t="str">
        <f aca="false">IF(A71="","",ROUND(K71-E71*C71-H71-G71-I71,2))</f>
        <v/>
      </c>
      <c r="K71" s="11" t="str">
        <f aca="false">IF(A71="","",D71*C71+F71)</f>
        <v/>
      </c>
      <c r="L71" s="12" t="str">
        <f aca="false">IF(OR(A71="",K71=0),"",ROUND(J71/K71*100,2))</f>
        <v/>
      </c>
      <c r="M71" s="3" t="str">
        <f aca="false">IF(A71="","",TEXT(A71,"yyyy-mm"))</f>
        <v/>
      </c>
    </row>
    <row r="72" customFormat="false" ht="15" hidden="false" customHeight="false" outlineLevel="0" collapsed="false">
      <c r="A72" s="17"/>
      <c r="B72" s="9"/>
      <c r="C72" s="9"/>
      <c r="D72" s="10" t="str">
        <f aca="false">IF(B72="","",IFERROR(INDEX(Products!$D$5:$D$54,MATCH(B72,Products!$A$5:$A$54,0)),0))</f>
        <v/>
      </c>
      <c r="E72" s="10" t="str">
        <f aca="false">IF(B72="","",IFERROR(INDEX(Products!$C$5:$C$54,MATCH(B72,Products!$A$5:$A$54,0)),0))</f>
        <v/>
      </c>
      <c r="F72" s="10"/>
      <c r="G72" s="10"/>
      <c r="H72" s="10" t="str">
        <f aca="false">IF(A72="","",Settings!$B$5)</f>
        <v/>
      </c>
      <c r="I72" s="11" t="str">
        <f aca="false">IF(A72="","",ROUND(K72*(Settings!$B$2+Settings!$B$3)/100+Settings!$B$4,2))</f>
        <v/>
      </c>
      <c r="J72" s="11" t="str">
        <f aca="false">IF(A72="","",ROUND(K72-E72*C72-H72-G72-I72,2))</f>
        <v/>
      </c>
      <c r="K72" s="11" t="str">
        <f aca="false">IF(A72="","",D72*C72+F72)</f>
        <v/>
      </c>
      <c r="L72" s="12" t="str">
        <f aca="false">IF(OR(A72="",K72=0),"",ROUND(J72/K72*100,2))</f>
        <v/>
      </c>
      <c r="M72" s="3" t="str">
        <f aca="false">IF(A72="","",TEXT(A72,"yyyy-mm"))</f>
        <v/>
      </c>
    </row>
    <row r="73" customFormat="false" ht="15" hidden="false" customHeight="false" outlineLevel="0" collapsed="false">
      <c r="A73" s="17"/>
      <c r="B73" s="9"/>
      <c r="C73" s="9"/>
      <c r="D73" s="10" t="str">
        <f aca="false">IF(B73="","",IFERROR(INDEX(Products!$D$5:$D$54,MATCH(B73,Products!$A$5:$A$54,0)),0))</f>
        <v/>
      </c>
      <c r="E73" s="10" t="str">
        <f aca="false">IF(B73="","",IFERROR(INDEX(Products!$C$5:$C$54,MATCH(B73,Products!$A$5:$A$54,0)),0))</f>
        <v/>
      </c>
      <c r="F73" s="10"/>
      <c r="G73" s="10"/>
      <c r="H73" s="10" t="str">
        <f aca="false">IF(A73="","",Settings!$B$5)</f>
        <v/>
      </c>
      <c r="I73" s="11" t="str">
        <f aca="false">IF(A73="","",ROUND(K73*(Settings!$B$2+Settings!$B$3)/100+Settings!$B$4,2))</f>
        <v/>
      </c>
      <c r="J73" s="11" t="str">
        <f aca="false">IF(A73="","",ROUND(K73-E73*C73-H73-G73-I73,2))</f>
        <v/>
      </c>
      <c r="K73" s="11" t="str">
        <f aca="false">IF(A73="","",D73*C73+F73)</f>
        <v/>
      </c>
      <c r="L73" s="12" t="str">
        <f aca="false">IF(OR(A73="",K73=0),"",ROUND(J73/K73*100,2))</f>
        <v/>
      </c>
      <c r="M73" s="3" t="str">
        <f aca="false">IF(A73="","",TEXT(A73,"yyyy-mm"))</f>
        <v/>
      </c>
    </row>
    <row r="74" customFormat="false" ht="15" hidden="false" customHeight="false" outlineLevel="0" collapsed="false">
      <c r="A74" s="17"/>
      <c r="B74" s="9"/>
      <c r="C74" s="9"/>
      <c r="D74" s="10" t="str">
        <f aca="false">IF(B74="","",IFERROR(INDEX(Products!$D$5:$D$54,MATCH(B74,Products!$A$5:$A$54,0)),0))</f>
        <v/>
      </c>
      <c r="E74" s="10" t="str">
        <f aca="false">IF(B74="","",IFERROR(INDEX(Products!$C$5:$C$54,MATCH(B74,Products!$A$5:$A$54,0)),0))</f>
        <v/>
      </c>
      <c r="F74" s="10"/>
      <c r="G74" s="10"/>
      <c r="H74" s="10" t="str">
        <f aca="false">IF(A74="","",Settings!$B$5)</f>
        <v/>
      </c>
      <c r="I74" s="11" t="str">
        <f aca="false">IF(A74="","",ROUND(K74*(Settings!$B$2+Settings!$B$3)/100+Settings!$B$4,2))</f>
        <v/>
      </c>
      <c r="J74" s="11" t="str">
        <f aca="false">IF(A74="","",ROUND(K74-E74*C74-H74-G74-I74,2))</f>
        <v/>
      </c>
      <c r="K74" s="11" t="str">
        <f aca="false">IF(A74="","",D74*C74+F74)</f>
        <v/>
      </c>
      <c r="L74" s="12" t="str">
        <f aca="false">IF(OR(A74="",K74=0),"",ROUND(J74/K74*100,2))</f>
        <v/>
      </c>
      <c r="M74" s="3" t="str">
        <f aca="false">IF(A74="","",TEXT(A74,"yyyy-mm"))</f>
        <v/>
      </c>
    </row>
    <row r="75" customFormat="false" ht="15" hidden="false" customHeight="false" outlineLevel="0" collapsed="false">
      <c r="A75" s="17"/>
      <c r="B75" s="9"/>
      <c r="C75" s="9"/>
      <c r="D75" s="10" t="str">
        <f aca="false">IF(B75="","",IFERROR(INDEX(Products!$D$5:$D$54,MATCH(B75,Products!$A$5:$A$54,0)),0))</f>
        <v/>
      </c>
      <c r="E75" s="10" t="str">
        <f aca="false">IF(B75="","",IFERROR(INDEX(Products!$C$5:$C$54,MATCH(B75,Products!$A$5:$A$54,0)),0))</f>
        <v/>
      </c>
      <c r="F75" s="10"/>
      <c r="G75" s="10"/>
      <c r="H75" s="10" t="str">
        <f aca="false">IF(A75="","",Settings!$B$5)</f>
        <v/>
      </c>
      <c r="I75" s="11" t="str">
        <f aca="false">IF(A75="","",ROUND(K75*(Settings!$B$2+Settings!$B$3)/100+Settings!$B$4,2))</f>
        <v/>
      </c>
      <c r="J75" s="11" t="str">
        <f aca="false">IF(A75="","",ROUND(K75-E75*C75-H75-G75-I75,2))</f>
        <v/>
      </c>
      <c r="K75" s="11" t="str">
        <f aca="false">IF(A75="","",D75*C75+F75)</f>
        <v/>
      </c>
      <c r="L75" s="12" t="str">
        <f aca="false">IF(OR(A75="",K75=0),"",ROUND(J75/K75*100,2))</f>
        <v/>
      </c>
      <c r="M75" s="3" t="str">
        <f aca="false">IF(A75="","",TEXT(A75,"yyyy-mm"))</f>
        <v/>
      </c>
    </row>
    <row r="76" customFormat="false" ht="15" hidden="false" customHeight="false" outlineLevel="0" collapsed="false">
      <c r="A76" s="17"/>
      <c r="B76" s="9"/>
      <c r="C76" s="9"/>
      <c r="D76" s="10" t="str">
        <f aca="false">IF(B76="","",IFERROR(INDEX(Products!$D$5:$D$54,MATCH(B76,Products!$A$5:$A$54,0)),0))</f>
        <v/>
      </c>
      <c r="E76" s="10" t="str">
        <f aca="false">IF(B76="","",IFERROR(INDEX(Products!$C$5:$C$54,MATCH(B76,Products!$A$5:$A$54,0)),0))</f>
        <v/>
      </c>
      <c r="F76" s="10"/>
      <c r="G76" s="10"/>
      <c r="H76" s="10" t="str">
        <f aca="false">IF(A76="","",Settings!$B$5)</f>
        <v/>
      </c>
      <c r="I76" s="11" t="str">
        <f aca="false">IF(A76="","",ROUND(K76*(Settings!$B$2+Settings!$B$3)/100+Settings!$B$4,2))</f>
        <v/>
      </c>
      <c r="J76" s="11" t="str">
        <f aca="false">IF(A76="","",ROUND(K76-E76*C76-H76-G76-I76,2))</f>
        <v/>
      </c>
      <c r="K76" s="11" t="str">
        <f aca="false">IF(A76="","",D76*C76+F76)</f>
        <v/>
      </c>
      <c r="L76" s="12" t="str">
        <f aca="false">IF(OR(A76="",K76=0),"",ROUND(J76/K76*100,2))</f>
        <v/>
      </c>
      <c r="M76" s="3" t="str">
        <f aca="false">IF(A76="","",TEXT(A76,"yyyy-mm"))</f>
        <v/>
      </c>
    </row>
    <row r="77" customFormat="false" ht="15" hidden="false" customHeight="false" outlineLevel="0" collapsed="false">
      <c r="A77" s="17"/>
      <c r="B77" s="9"/>
      <c r="C77" s="9"/>
      <c r="D77" s="10" t="str">
        <f aca="false">IF(B77="","",IFERROR(INDEX(Products!$D$5:$D$54,MATCH(B77,Products!$A$5:$A$54,0)),0))</f>
        <v/>
      </c>
      <c r="E77" s="10" t="str">
        <f aca="false">IF(B77="","",IFERROR(INDEX(Products!$C$5:$C$54,MATCH(B77,Products!$A$5:$A$54,0)),0))</f>
        <v/>
      </c>
      <c r="F77" s="10"/>
      <c r="G77" s="10"/>
      <c r="H77" s="10" t="str">
        <f aca="false">IF(A77="","",Settings!$B$5)</f>
        <v/>
      </c>
      <c r="I77" s="11" t="str">
        <f aca="false">IF(A77="","",ROUND(K77*(Settings!$B$2+Settings!$B$3)/100+Settings!$B$4,2))</f>
        <v/>
      </c>
      <c r="J77" s="11" t="str">
        <f aca="false">IF(A77="","",ROUND(K77-E77*C77-H77-G77-I77,2))</f>
        <v/>
      </c>
      <c r="K77" s="11" t="str">
        <f aca="false">IF(A77="","",D77*C77+F77)</f>
        <v/>
      </c>
      <c r="L77" s="12" t="str">
        <f aca="false">IF(OR(A77="",K77=0),"",ROUND(J77/K77*100,2))</f>
        <v/>
      </c>
      <c r="M77" s="3" t="str">
        <f aca="false">IF(A77="","",TEXT(A77,"yyyy-mm"))</f>
        <v/>
      </c>
    </row>
    <row r="78" customFormat="false" ht="15" hidden="false" customHeight="false" outlineLevel="0" collapsed="false">
      <c r="A78" s="17"/>
      <c r="B78" s="9"/>
      <c r="C78" s="9"/>
      <c r="D78" s="10" t="str">
        <f aca="false">IF(B78="","",IFERROR(INDEX(Products!$D$5:$D$54,MATCH(B78,Products!$A$5:$A$54,0)),0))</f>
        <v/>
      </c>
      <c r="E78" s="10" t="str">
        <f aca="false">IF(B78="","",IFERROR(INDEX(Products!$C$5:$C$54,MATCH(B78,Products!$A$5:$A$54,0)),0))</f>
        <v/>
      </c>
      <c r="F78" s="10"/>
      <c r="G78" s="10"/>
      <c r="H78" s="10" t="str">
        <f aca="false">IF(A78="","",Settings!$B$5)</f>
        <v/>
      </c>
      <c r="I78" s="11" t="str">
        <f aca="false">IF(A78="","",ROUND(K78*(Settings!$B$2+Settings!$B$3)/100+Settings!$B$4,2))</f>
        <v/>
      </c>
      <c r="J78" s="11" t="str">
        <f aca="false">IF(A78="","",ROUND(K78-E78*C78-H78-G78-I78,2))</f>
        <v/>
      </c>
      <c r="K78" s="11" t="str">
        <f aca="false">IF(A78="","",D78*C78+F78)</f>
        <v/>
      </c>
      <c r="L78" s="12" t="str">
        <f aca="false">IF(OR(A78="",K78=0),"",ROUND(J78/K78*100,2))</f>
        <v/>
      </c>
      <c r="M78" s="3" t="str">
        <f aca="false">IF(A78="","",TEXT(A78,"yyyy-mm"))</f>
        <v/>
      </c>
    </row>
    <row r="79" customFormat="false" ht="15" hidden="false" customHeight="false" outlineLevel="0" collapsed="false">
      <c r="A79" s="17"/>
      <c r="B79" s="9"/>
      <c r="C79" s="9"/>
      <c r="D79" s="10" t="str">
        <f aca="false">IF(B79="","",IFERROR(INDEX(Products!$D$5:$D$54,MATCH(B79,Products!$A$5:$A$54,0)),0))</f>
        <v/>
      </c>
      <c r="E79" s="10" t="str">
        <f aca="false">IF(B79="","",IFERROR(INDEX(Products!$C$5:$C$54,MATCH(B79,Products!$A$5:$A$54,0)),0))</f>
        <v/>
      </c>
      <c r="F79" s="10"/>
      <c r="G79" s="10"/>
      <c r="H79" s="10" t="str">
        <f aca="false">IF(A79="","",Settings!$B$5)</f>
        <v/>
      </c>
      <c r="I79" s="11" t="str">
        <f aca="false">IF(A79="","",ROUND(K79*(Settings!$B$2+Settings!$B$3)/100+Settings!$B$4,2))</f>
        <v/>
      </c>
      <c r="J79" s="11" t="str">
        <f aca="false">IF(A79="","",ROUND(K79-E79*C79-H79-G79-I79,2))</f>
        <v/>
      </c>
      <c r="K79" s="11" t="str">
        <f aca="false">IF(A79="","",D79*C79+F79)</f>
        <v/>
      </c>
      <c r="L79" s="12" t="str">
        <f aca="false">IF(OR(A79="",K79=0),"",ROUND(J79/K79*100,2))</f>
        <v/>
      </c>
      <c r="M79" s="3" t="str">
        <f aca="false">IF(A79="","",TEXT(A79,"yyyy-mm"))</f>
        <v/>
      </c>
    </row>
    <row r="80" customFormat="false" ht="15" hidden="false" customHeight="false" outlineLevel="0" collapsed="false">
      <c r="A80" s="17"/>
      <c r="B80" s="9"/>
      <c r="C80" s="9"/>
      <c r="D80" s="10" t="str">
        <f aca="false">IF(B80="","",IFERROR(INDEX(Products!$D$5:$D$54,MATCH(B80,Products!$A$5:$A$54,0)),0))</f>
        <v/>
      </c>
      <c r="E80" s="10" t="str">
        <f aca="false">IF(B80="","",IFERROR(INDEX(Products!$C$5:$C$54,MATCH(B80,Products!$A$5:$A$54,0)),0))</f>
        <v/>
      </c>
      <c r="F80" s="10"/>
      <c r="G80" s="10"/>
      <c r="H80" s="10" t="str">
        <f aca="false">IF(A80="","",Settings!$B$5)</f>
        <v/>
      </c>
      <c r="I80" s="11" t="str">
        <f aca="false">IF(A80="","",ROUND(K80*(Settings!$B$2+Settings!$B$3)/100+Settings!$B$4,2))</f>
        <v/>
      </c>
      <c r="J80" s="11" t="str">
        <f aca="false">IF(A80="","",ROUND(K80-E80*C80-H80-G80-I80,2))</f>
        <v/>
      </c>
      <c r="K80" s="11" t="str">
        <f aca="false">IF(A80="","",D80*C80+F80)</f>
        <v/>
      </c>
      <c r="L80" s="12" t="str">
        <f aca="false">IF(OR(A80="",K80=0),"",ROUND(J80/K80*100,2))</f>
        <v/>
      </c>
      <c r="M80" s="3" t="str">
        <f aca="false">IF(A80="","",TEXT(A80,"yyyy-mm"))</f>
        <v/>
      </c>
    </row>
    <row r="81" customFormat="false" ht="15" hidden="false" customHeight="false" outlineLevel="0" collapsed="false">
      <c r="A81" s="17"/>
      <c r="B81" s="9"/>
      <c r="C81" s="9"/>
      <c r="D81" s="10" t="str">
        <f aca="false">IF(B81="","",IFERROR(INDEX(Products!$D$5:$D$54,MATCH(B81,Products!$A$5:$A$54,0)),0))</f>
        <v/>
      </c>
      <c r="E81" s="10" t="str">
        <f aca="false">IF(B81="","",IFERROR(INDEX(Products!$C$5:$C$54,MATCH(B81,Products!$A$5:$A$54,0)),0))</f>
        <v/>
      </c>
      <c r="F81" s="10"/>
      <c r="G81" s="10"/>
      <c r="H81" s="10" t="str">
        <f aca="false">IF(A81="","",Settings!$B$5)</f>
        <v/>
      </c>
      <c r="I81" s="11" t="str">
        <f aca="false">IF(A81="","",ROUND(K81*(Settings!$B$2+Settings!$B$3)/100+Settings!$B$4,2))</f>
        <v/>
      </c>
      <c r="J81" s="11" t="str">
        <f aca="false">IF(A81="","",ROUND(K81-E81*C81-H81-G81-I81,2))</f>
        <v/>
      </c>
      <c r="K81" s="11" t="str">
        <f aca="false">IF(A81="","",D81*C81+F81)</f>
        <v/>
      </c>
      <c r="L81" s="12" t="str">
        <f aca="false">IF(OR(A81="",K81=0),"",ROUND(J81/K81*100,2))</f>
        <v/>
      </c>
      <c r="M81" s="3" t="str">
        <f aca="false">IF(A81="","",TEXT(A81,"yyyy-mm"))</f>
        <v/>
      </c>
    </row>
    <row r="82" customFormat="false" ht="15" hidden="false" customHeight="false" outlineLevel="0" collapsed="false">
      <c r="A82" s="17"/>
      <c r="B82" s="9"/>
      <c r="C82" s="9"/>
      <c r="D82" s="10" t="str">
        <f aca="false">IF(B82="","",IFERROR(INDEX(Products!$D$5:$D$54,MATCH(B82,Products!$A$5:$A$54,0)),0))</f>
        <v/>
      </c>
      <c r="E82" s="10" t="str">
        <f aca="false">IF(B82="","",IFERROR(INDEX(Products!$C$5:$C$54,MATCH(B82,Products!$A$5:$A$54,0)),0))</f>
        <v/>
      </c>
      <c r="F82" s="10"/>
      <c r="G82" s="10"/>
      <c r="H82" s="10" t="str">
        <f aca="false">IF(A82="","",Settings!$B$5)</f>
        <v/>
      </c>
      <c r="I82" s="11" t="str">
        <f aca="false">IF(A82="","",ROUND(K82*(Settings!$B$2+Settings!$B$3)/100+Settings!$B$4,2))</f>
        <v/>
      </c>
      <c r="J82" s="11" t="str">
        <f aca="false">IF(A82="","",ROUND(K82-E82*C82-H82-G82-I82,2))</f>
        <v/>
      </c>
      <c r="K82" s="11" t="str">
        <f aca="false">IF(A82="","",D82*C82+F82)</f>
        <v/>
      </c>
      <c r="L82" s="12" t="str">
        <f aca="false">IF(OR(A82="",K82=0),"",ROUND(J82/K82*100,2))</f>
        <v/>
      </c>
      <c r="M82" s="3" t="str">
        <f aca="false">IF(A82="","",TEXT(A82,"yyyy-mm"))</f>
        <v/>
      </c>
    </row>
    <row r="83" customFormat="false" ht="15" hidden="false" customHeight="false" outlineLevel="0" collapsed="false">
      <c r="A83" s="17"/>
      <c r="B83" s="9"/>
      <c r="C83" s="9"/>
      <c r="D83" s="10" t="str">
        <f aca="false">IF(B83="","",IFERROR(INDEX(Products!$D$5:$D$54,MATCH(B83,Products!$A$5:$A$54,0)),0))</f>
        <v/>
      </c>
      <c r="E83" s="10" t="str">
        <f aca="false">IF(B83="","",IFERROR(INDEX(Products!$C$5:$C$54,MATCH(B83,Products!$A$5:$A$54,0)),0))</f>
        <v/>
      </c>
      <c r="F83" s="10"/>
      <c r="G83" s="10"/>
      <c r="H83" s="10" t="str">
        <f aca="false">IF(A83="","",Settings!$B$5)</f>
        <v/>
      </c>
      <c r="I83" s="11" t="str">
        <f aca="false">IF(A83="","",ROUND(K83*(Settings!$B$2+Settings!$B$3)/100+Settings!$B$4,2))</f>
        <v/>
      </c>
      <c r="J83" s="11" t="str">
        <f aca="false">IF(A83="","",ROUND(K83-E83*C83-H83-G83-I83,2))</f>
        <v/>
      </c>
      <c r="K83" s="11" t="str">
        <f aca="false">IF(A83="","",D83*C83+F83)</f>
        <v/>
      </c>
      <c r="L83" s="12" t="str">
        <f aca="false">IF(OR(A83="",K83=0),"",ROUND(J83/K83*100,2))</f>
        <v/>
      </c>
      <c r="M83" s="3" t="str">
        <f aca="false">IF(A83="","",TEXT(A83,"yyyy-mm"))</f>
        <v/>
      </c>
    </row>
    <row r="84" customFormat="false" ht="15" hidden="false" customHeight="false" outlineLevel="0" collapsed="false">
      <c r="A84" s="17"/>
      <c r="B84" s="9"/>
      <c r="C84" s="9"/>
      <c r="D84" s="10" t="str">
        <f aca="false">IF(B84="","",IFERROR(INDEX(Products!$D$5:$D$54,MATCH(B84,Products!$A$5:$A$54,0)),0))</f>
        <v/>
      </c>
      <c r="E84" s="10" t="str">
        <f aca="false">IF(B84="","",IFERROR(INDEX(Products!$C$5:$C$54,MATCH(B84,Products!$A$5:$A$54,0)),0))</f>
        <v/>
      </c>
      <c r="F84" s="10"/>
      <c r="G84" s="10"/>
      <c r="H84" s="10" t="str">
        <f aca="false">IF(A84="","",Settings!$B$5)</f>
        <v/>
      </c>
      <c r="I84" s="11" t="str">
        <f aca="false">IF(A84="","",ROUND(K84*(Settings!$B$2+Settings!$B$3)/100+Settings!$B$4,2))</f>
        <v/>
      </c>
      <c r="J84" s="11" t="str">
        <f aca="false">IF(A84="","",ROUND(K84-E84*C84-H84-G84-I84,2))</f>
        <v/>
      </c>
      <c r="K84" s="11" t="str">
        <f aca="false">IF(A84="","",D84*C84+F84)</f>
        <v/>
      </c>
      <c r="L84" s="12" t="str">
        <f aca="false">IF(OR(A84="",K84=0),"",ROUND(J84/K84*100,2))</f>
        <v/>
      </c>
      <c r="M84" s="3" t="str">
        <f aca="false">IF(A84="","",TEXT(A84,"yyyy-mm"))</f>
        <v/>
      </c>
    </row>
    <row r="85" customFormat="false" ht="15" hidden="false" customHeight="false" outlineLevel="0" collapsed="false">
      <c r="A85" s="17"/>
      <c r="B85" s="9"/>
      <c r="C85" s="9"/>
      <c r="D85" s="10" t="str">
        <f aca="false">IF(B85="","",IFERROR(INDEX(Products!$D$5:$D$54,MATCH(B85,Products!$A$5:$A$54,0)),0))</f>
        <v/>
      </c>
      <c r="E85" s="10" t="str">
        <f aca="false">IF(B85="","",IFERROR(INDEX(Products!$C$5:$C$54,MATCH(B85,Products!$A$5:$A$54,0)),0))</f>
        <v/>
      </c>
      <c r="F85" s="10"/>
      <c r="G85" s="10"/>
      <c r="H85" s="10" t="str">
        <f aca="false">IF(A85="","",Settings!$B$5)</f>
        <v/>
      </c>
      <c r="I85" s="11" t="str">
        <f aca="false">IF(A85="","",ROUND(K85*(Settings!$B$2+Settings!$B$3)/100+Settings!$B$4,2))</f>
        <v/>
      </c>
      <c r="J85" s="11" t="str">
        <f aca="false">IF(A85="","",ROUND(K85-E85*C85-H85-G85-I85,2))</f>
        <v/>
      </c>
      <c r="K85" s="11" t="str">
        <f aca="false">IF(A85="","",D85*C85+F85)</f>
        <v/>
      </c>
      <c r="L85" s="12" t="str">
        <f aca="false">IF(OR(A85="",K85=0),"",ROUND(J85/K85*100,2))</f>
        <v/>
      </c>
      <c r="M85" s="3" t="str">
        <f aca="false">IF(A85="","",TEXT(A85,"yyyy-mm"))</f>
        <v/>
      </c>
    </row>
    <row r="86" customFormat="false" ht="15" hidden="false" customHeight="false" outlineLevel="0" collapsed="false">
      <c r="A86" s="17"/>
      <c r="B86" s="9"/>
      <c r="C86" s="9"/>
      <c r="D86" s="10" t="str">
        <f aca="false">IF(B86="","",IFERROR(INDEX(Products!$D$5:$D$54,MATCH(B86,Products!$A$5:$A$54,0)),0))</f>
        <v/>
      </c>
      <c r="E86" s="10" t="str">
        <f aca="false">IF(B86="","",IFERROR(INDEX(Products!$C$5:$C$54,MATCH(B86,Products!$A$5:$A$54,0)),0))</f>
        <v/>
      </c>
      <c r="F86" s="10"/>
      <c r="G86" s="10"/>
      <c r="H86" s="10" t="str">
        <f aca="false">IF(A86="","",Settings!$B$5)</f>
        <v/>
      </c>
      <c r="I86" s="11" t="str">
        <f aca="false">IF(A86="","",ROUND(K86*(Settings!$B$2+Settings!$B$3)/100+Settings!$B$4,2))</f>
        <v/>
      </c>
      <c r="J86" s="11" t="str">
        <f aca="false">IF(A86="","",ROUND(K86-E86*C86-H86-G86-I86,2))</f>
        <v/>
      </c>
      <c r="K86" s="11" t="str">
        <f aca="false">IF(A86="","",D86*C86+F86)</f>
        <v/>
      </c>
      <c r="L86" s="12" t="str">
        <f aca="false">IF(OR(A86="",K86=0),"",ROUND(J86/K86*100,2))</f>
        <v/>
      </c>
      <c r="M86" s="3" t="str">
        <f aca="false">IF(A86="","",TEXT(A86,"yyyy-mm"))</f>
        <v/>
      </c>
    </row>
    <row r="87" customFormat="false" ht="15" hidden="false" customHeight="false" outlineLevel="0" collapsed="false">
      <c r="A87" s="17"/>
      <c r="B87" s="9"/>
      <c r="C87" s="9"/>
      <c r="D87" s="10" t="str">
        <f aca="false">IF(B87="","",IFERROR(INDEX(Products!$D$5:$D$54,MATCH(B87,Products!$A$5:$A$54,0)),0))</f>
        <v/>
      </c>
      <c r="E87" s="10" t="str">
        <f aca="false">IF(B87="","",IFERROR(INDEX(Products!$C$5:$C$54,MATCH(B87,Products!$A$5:$A$54,0)),0))</f>
        <v/>
      </c>
      <c r="F87" s="10"/>
      <c r="G87" s="10"/>
      <c r="H87" s="10" t="str">
        <f aca="false">IF(A87="","",Settings!$B$5)</f>
        <v/>
      </c>
      <c r="I87" s="11" t="str">
        <f aca="false">IF(A87="","",ROUND(K87*(Settings!$B$2+Settings!$B$3)/100+Settings!$B$4,2))</f>
        <v/>
      </c>
      <c r="J87" s="11" t="str">
        <f aca="false">IF(A87="","",ROUND(K87-E87*C87-H87-G87-I87,2))</f>
        <v/>
      </c>
      <c r="K87" s="11" t="str">
        <f aca="false">IF(A87="","",D87*C87+F87)</f>
        <v/>
      </c>
      <c r="L87" s="12" t="str">
        <f aca="false">IF(OR(A87="",K87=0),"",ROUND(J87/K87*100,2))</f>
        <v/>
      </c>
      <c r="M87" s="3" t="str">
        <f aca="false">IF(A87="","",TEXT(A87,"yyyy-mm"))</f>
        <v/>
      </c>
    </row>
    <row r="88" customFormat="false" ht="15" hidden="false" customHeight="false" outlineLevel="0" collapsed="false">
      <c r="A88" s="17"/>
      <c r="B88" s="9"/>
      <c r="C88" s="9"/>
      <c r="D88" s="10" t="str">
        <f aca="false">IF(B88="","",IFERROR(INDEX(Products!$D$5:$D$54,MATCH(B88,Products!$A$5:$A$54,0)),0))</f>
        <v/>
      </c>
      <c r="E88" s="10" t="str">
        <f aca="false">IF(B88="","",IFERROR(INDEX(Products!$C$5:$C$54,MATCH(B88,Products!$A$5:$A$54,0)),0))</f>
        <v/>
      </c>
      <c r="F88" s="10"/>
      <c r="G88" s="10"/>
      <c r="H88" s="10" t="str">
        <f aca="false">IF(A88="","",Settings!$B$5)</f>
        <v/>
      </c>
      <c r="I88" s="11" t="str">
        <f aca="false">IF(A88="","",ROUND(K88*(Settings!$B$2+Settings!$B$3)/100+Settings!$B$4,2))</f>
        <v/>
      </c>
      <c r="J88" s="11" t="str">
        <f aca="false">IF(A88="","",ROUND(K88-E88*C88-H88-G88-I88,2))</f>
        <v/>
      </c>
      <c r="K88" s="11" t="str">
        <f aca="false">IF(A88="","",D88*C88+F88)</f>
        <v/>
      </c>
      <c r="L88" s="12" t="str">
        <f aca="false">IF(OR(A88="",K88=0),"",ROUND(J88/K88*100,2))</f>
        <v/>
      </c>
      <c r="M88" s="3" t="str">
        <f aca="false">IF(A88="","",TEXT(A88,"yyyy-mm"))</f>
        <v/>
      </c>
    </row>
    <row r="89" customFormat="false" ht="15" hidden="false" customHeight="false" outlineLevel="0" collapsed="false">
      <c r="A89" s="17"/>
      <c r="B89" s="9"/>
      <c r="C89" s="9"/>
      <c r="D89" s="10" t="str">
        <f aca="false">IF(B89="","",IFERROR(INDEX(Products!$D$5:$D$54,MATCH(B89,Products!$A$5:$A$54,0)),0))</f>
        <v/>
      </c>
      <c r="E89" s="10" t="str">
        <f aca="false">IF(B89="","",IFERROR(INDEX(Products!$C$5:$C$54,MATCH(B89,Products!$A$5:$A$54,0)),0))</f>
        <v/>
      </c>
      <c r="F89" s="10"/>
      <c r="G89" s="10"/>
      <c r="H89" s="10" t="str">
        <f aca="false">IF(A89="","",Settings!$B$5)</f>
        <v/>
      </c>
      <c r="I89" s="11" t="str">
        <f aca="false">IF(A89="","",ROUND(K89*(Settings!$B$2+Settings!$B$3)/100+Settings!$B$4,2))</f>
        <v/>
      </c>
      <c r="J89" s="11" t="str">
        <f aca="false">IF(A89="","",ROUND(K89-E89*C89-H89-G89-I89,2))</f>
        <v/>
      </c>
      <c r="K89" s="11" t="str">
        <f aca="false">IF(A89="","",D89*C89+F89)</f>
        <v/>
      </c>
      <c r="L89" s="12" t="str">
        <f aca="false">IF(OR(A89="",K89=0),"",ROUND(J89/K89*100,2))</f>
        <v/>
      </c>
      <c r="M89" s="3" t="str">
        <f aca="false">IF(A89="","",TEXT(A89,"yyyy-mm"))</f>
        <v/>
      </c>
    </row>
    <row r="90" customFormat="false" ht="15" hidden="false" customHeight="false" outlineLevel="0" collapsed="false">
      <c r="A90" s="17"/>
      <c r="B90" s="9"/>
      <c r="C90" s="9"/>
      <c r="D90" s="10" t="str">
        <f aca="false">IF(B90="","",IFERROR(INDEX(Products!$D$5:$D$54,MATCH(B90,Products!$A$5:$A$54,0)),0))</f>
        <v/>
      </c>
      <c r="E90" s="10" t="str">
        <f aca="false">IF(B90="","",IFERROR(INDEX(Products!$C$5:$C$54,MATCH(B90,Products!$A$5:$A$54,0)),0))</f>
        <v/>
      </c>
      <c r="F90" s="10"/>
      <c r="G90" s="10"/>
      <c r="H90" s="10" t="str">
        <f aca="false">IF(A90="","",Settings!$B$5)</f>
        <v/>
      </c>
      <c r="I90" s="11" t="str">
        <f aca="false">IF(A90="","",ROUND(K90*(Settings!$B$2+Settings!$B$3)/100+Settings!$B$4,2))</f>
        <v/>
      </c>
      <c r="J90" s="11" t="str">
        <f aca="false">IF(A90="","",ROUND(K90-E90*C90-H90-G90-I90,2))</f>
        <v/>
      </c>
      <c r="K90" s="11" t="str">
        <f aca="false">IF(A90="","",D90*C90+F90)</f>
        <v/>
      </c>
      <c r="L90" s="12" t="str">
        <f aca="false">IF(OR(A90="",K90=0),"",ROUND(J90/K90*100,2))</f>
        <v/>
      </c>
      <c r="M90" s="3" t="str">
        <f aca="false">IF(A90="","",TEXT(A90,"yyyy-mm"))</f>
        <v/>
      </c>
    </row>
    <row r="91" customFormat="false" ht="15" hidden="false" customHeight="false" outlineLevel="0" collapsed="false">
      <c r="A91" s="17"/>
      <c r="B91" s="9"/>
      <c r="C91" s="9"/>
      <c r="D91" s="10" t="str">
        <f aca="false">IF(B91="","",IFERROR(INDEX(Products!$D$5:$D$54,MATCH(B91,Products!$A$5:$A$54,0)),0))</f>
        <v/>
      </c>
      <c r="E91" s="10" t="str">
        <f aca="false">IF(B91="","",IFERROR(INDEX(Products!$C$5:$C$54,MATCH(B91,Products!$A$5:$A$54,0)),0))</f>
        <v/>
      </c>
      <c r="F91" s="10"/>
      <c r="G91" s="10"/>
      <c r="H91" s="10" t="str">
        <f aca="false">IF(A91="","",Settings!$B$5)</f>
        <v/>
      </c>
      <c r="I91" s="11" t="str">
        <f aca="false">IF(A91="","",ROUND(K91*(Settings!$B$2+Settings!$B$3)/100+Settings!$B$4,2))</f>
        <v/>
      </c>
      <c r="J91" s="11" t="str">
        <f aca="false">IF(A91="","",ROUND(K91-E91*C91-H91-G91-I91,2))</f>
        <v/>
      </c>
      <c r="K91" s="11" t="str">
        <f aca="false">IF(A91="","",D91*C91+F91)</f>
        <v/>
      </c>
      <c r="L91" s="12" t="str">
        <f aca="false">IF(OR(A91="",K91=0),"",ROUND(J91/K91*100,2))</f>
        <v/>
      </c>
      <c r="M91" s="3" t="str">
        <f aca="false">IF(A91="","",TEXT(A91,"yyyy-mm"))</f>
        <v/>
      </c>
    </row>
    <row r="92" customFormat="false" ht="15" hidden="false" customHeight="false" outlineLevel="0" collapsed="false">
      <c r="A92" s="17"/>
      <c r="B92" s="9"/>
      <c r="C92" s="9"/>
      <c r="D92" s="10" t="str">
        <f aca="false">IF(B92="","",IFERROR(INDEX(Products!$D$5:$D$54,MATCH(B92,Products!$A$5:$A$54,0)),0))</f>
        <v/>
      </c>
      <c r="E92" s="10" t="str">
        <f aca="false">IF(B92="","",IFERROR(INDEX(Products!$C$5:$C$54,MATCH(B92,Products!$A$5:$A$54,0)),0))</f>
        <v/>
      </c>
      <c r="F92" s="10"/>
      <c r="G92" s="10"/>
      <c r="H92" s="10" t="str">
        <f aca="false">IF(A92="","",Settings!$B$5)</f>
        <v/>
      </c>
      <c r="I92" s="11" t="str">
        <f aca="false">IF(A92="","",ROUND(K92*(Settings!$B$2+Settings!$B$3)/100+Settings!$B$4,2))</f>
        <v/>
      </c>
      <c r="J92" s="11" t="str">
        <f aca="false">IF(A92="","",ROUND(K92-E92*C92-H92-G92-I92,2))</f>
        <v/>
      </c>
      <c r="K92" s="11" t="str">
        <f aca="false">IF(A92="","",D92*C92+F92)</f>
        <v/>
      </c>
      <c r="L92" s="12" t="str">
        <f aca="false">IF(OR(A92="",K92=0),"",ROUND(J92/K92*100,2))</f>
        <v/>
      </c>
      <c r="M92" s="3" t="str">
        <f aca="false">IF(A92="","",TEXT(A92,"yyyy-mm"))</f>
        <v/>
      </c>
    </row>
    <row r="93" customFormat="false" ht="15" hidden="false" customHeight="false" outlineLevel="0" collapsed="false">
      <c r="A93" s="17"/>
      <c r="B93" s="9"/>
      <c r="C93" s="9"/>
      <c r="D93" s="10" t="str">
        <f aca="false">IF(B93="","",IFERROR(INDEX(Products!$D$5:$D$54,MATCH(B93,Products!$A$5:$A$54,0)),0))</f>
        <v/>
      </c>
      <c r="E93" s="10" t="str">
        <f aca="false">IF(B93="","",IFERROR(INDEX(Products!$C$5:$C$54,MATCH(B93,Products!$A$5:$A$54,0)),0))</f>
        <v/>
      </c>
      <c r="F93" s="10"/>
      <c r="G93" s="10"/>
      <c r="H93" s="10" t="str">
        <f aca="false">IF(A93="","",Settings!$B$5)</f>
        <v/>
      </c>
      <c r="I93" s="11" t="str">
        <f aca="false">IF(A93="","",ROUND(K93*(Settings!$B$2+Settings!$B$3)/100+Settings!$B$4,2))</f>
        <v/>
      </c>
      <c r="J93" s="11" t="str">
        <f aca="false">IF(A93="","",ROUND(K93-E93*C93-H93-G93-I93,2))</f>
        <v/>
      </c>
      <c r="K93" s="11" t="str">
        <f aca="false">IF(A93="","",D93*C93+F93)</f>
        <v/>
      </c>
      <c r="L93" s="12" t="str">
        <f aca="false">IF(OR(A93="",K93=0),"",ROUND(J93/K93*100,2))</f>
        <v/>
      </c>
      <c r="M93" s="3" t="str">
        <f aca="false">IF(A93="","",TEXT(A93,"yyyy-mm"))</f>
        <v/>
      </c>
    </row>
    <row r="94" customFormat="false" ht="15" hidden="false" customHeight="false" outlineLevel="0" collapsed="false">
      <c r="A94" s="17"/>
      <c r="B94" s="9"/>
      <c r="C94" s="9"/>
      <c r="D94" s="10" t="str">
        <f aca="false">IF(B94="","",IFERROR(INDEX(Products!$D$5:$D$54,MATCH(B94,Products!$A$5:$A$54,0)),0))</f>
        <v/>
      </c>
      <c r="E94" s="10" t="str">
        <f aca="false">IF(B94="","",IFERROR(INDEX(Products!$C$5:$C$54,MATCH(B94,Products!$A$5:$A$54,0)),0))</f>
        <v/>
      </c>
      <c r="F94" s="10"/>
      <c r="G94" s="10"/>
      <c r="H94" s="10" t="str">
        <f aca="false">IF(A94="","",Settings!$B$5)</f>
        <v/>
      </c>
      <c r="I94" s="11" t="str">
        <f aca="false">IF(A94="","",ROUND(K94*(Settings!$B$2+Settings!$B$3)/100+Settings!$B$4,2))</f>
        <v/>
      </c>
      <c r="J94" s="11" t="str">
        <f aca="false">IF(A94="","",ROUND(K94-E94*C94-H94-G94-I94,2))</f>
        <v/>
      </c>
      <c r="K94" s="11" t="str">
        <f aca="false">IF(A94="","",D94*C94+F94)</f>
        <v/>
      </c>
      <c r="L94" s="12" t="str">
        <f aca="false">IF(OR(A94="",K94=0),"",ROUND(J94/K94*100,2))</f>
        <v/>
      </c>
      <c r="M94" s="3" t="str">
        <f aca="false">IF(A94="","",TEXT(A94,"yyyy-mm"))</f>
        <v/>
      </c>
    </row>
    <row r="95" customFormat="false" ht="15" hidden="false" customHeight="false" outlineLevel="0" collapsed="false">
      <c r="A95" s="17"/>
      <c r="B95" s="9"/>
      <c r="C95" s="9"/>
      <c r="D95" s="10" t="str">
        <f aca="false">IF(B95="","",IFERROR(INDEX(Products!$D$5:$D$54,MATCH(B95,Products!$A$5:$A$54,0)),0))</f>
        <v/>
      </c>
      <c r="E95" s="10" t="str">
        <f aca="false">IF(B95="","",IFERROR(INDEX(Products!$C$5:$C$54,MATCH(B95,Products!$A$5:$A$54,0)),0))</f>
        <v/>
      </c>
      <c r="F95" s="10"/>
      <c r="G95" s="10"/>
      <c r="H95" s="10" t="str">
        <f aca="false">IF(A95="","",Settings!$B$5)</f>
        <v/>
      </c>
      <c r="I95" s="11" t="str">
        <f aca="false">IF(A95="","",ROUND(K95*(Settings!$B$2+Settings!$B$3)/100+Settings!$B$4,2))</f>
        <v/>
      </c>
      <c r="J95" s="11" t="str">
        <f aca="false">IF(A95="","",ROUND(K95-E95*C95-H95-G95-I95,2))</f>
        <v/>
      </c>
      <c r="K95" s="11" t="str">
        <f aca="false">IF(A95="","",D95*C95+F95)</f>
        <v/>
      </c>
      <c r="L95" s="12" t="str">
        <f aca="false">IF(OR(A95="",K95=0),"",ROUND(J95/K95*100,2))</f>
        <v/>
      </c>
      <c r="M95" s="3" t="str">
        <f aca="false">IF(A95="","",TEXT(A95,"yyyy-mm"))</f>
        <v/>
      </c>
    </row>
    <row r="96" customFormat="false" ht="15" hidden="false" customHeight="false" outlineLevel="0" collapsed="false">
      <c r="A96" s="17"/>
      <c r="B96" s="9"/>
      <c r="C96" s="9"/>
      <c r="D96" s="10" t="str">
        <f aca="false">IF(B96="","",IFERROR(INDEX(Products!$D$5:$D$54,MATCH(B96,Products!$A$5:$A$54,0)),0))</f>
        <v/>
      </c>
      <c r="E96" s="10" t="str">
        <f aca="false">IF(B96="","",IFERROR(INDEX(Products!$C$5:$C$54,MATCH(B96,Products!$A$5:$A$54,0)),0))</f>
        <v/>
      </c>
      <c r="F96" s="10"/>
      <c r="G96" s="10"/>
      <c r="H96" s="10" t="str">
        <f aca="false">IF(A96="","",Settings!$B$5)</f>
        <v/>
      </c>
      <c r="I96" s="11" t="str">
        <f aca="false">IF(A96="","",ROUND(K96*(Settings!$B$2+Settings!$B$3)/100+Settings!$B$4,2))</f>
        <v/>
      </c>
      <c r="J96" s="11" t="str">
        <f aca="false">IF(A96="","",ROUND(K96-E96*C96-H96-G96-I96,2))</f>
        <v/>
      </c>
      <c r="K96" s="11" t="str">
        <f aca="false">IF(A96="","",D96*C96+F96)</f>
        <v/>
      </c>
      <c r="L96" s="12" t="str">
        <f aca="false">IF(OR(A96="",K96=0),"",ROUND(J96/K96*100,2))</f>
        <v/>
      </c>
      <c r="M96" s="3" t="str">
        <f aca="false">IF(A96="","",TEXT(A96,"yyyy-mm"))</f>
        <v/>
      </c>
    </row>
    <row r="97" customFormat="false" ht="15" hidden="false" customHeight="false" outlineLevel="0" collapsed="false">
      <c r="A97" s="17"/>
      <c r="B97" s="9"/>
      <c r="C97" s="9"/>
      <c r="D97" s="10" t="str">
        <f aca="false">IF(B97="","",IFERROR(INDEX(Products!$D$5:$D$54,MATCH(B97,Products!$A$5:$A$54,0)),0))</f>
        <v/>
      </c>
      <c r="E97" s="10" t="str">
        <f aca="false">IF(B97="","",IFERROR(INDEX(Products!$C$5:$C$54,MATCH(B97,Products!$A$5:$A$54,0)),0))</f>
        <v/>
      </c>
      <c r="F97" s="10"/>
      <c r="G97" s="10"/>
      <c r="H97" s="10" t="str">
        <f aca="false">IF(A97="","",Settings!$B$5)</f>
        <v/>
      </c>
      <c r="I97" s="11" t="str">
        <f aca="false">IF(A97="","",ROUND(K97*(Settings!$B$2+Settings!$B$3)/100+Settings!$B$4,2))</f>
        <v/>
      </c>
      <c r="J97" s="11" t="str">
        <f aca="false">IF(A97="","",ROUND(K97-E97*C97-H97-G97-I97,2))</f>
        <v/>
      </c>
      <c r="K97" s="11" t="str">
        <f aca="false">IF(A97="","",D97*C97+F97)</f>
        <v/>
      </c>
      <c r="L97" s="12" t="str">
        <f aca="false">IF(OR(A97="",K97=0),"",ROUND(J97/K97*100,2))</f>
        <v/>
      </c>
      <c r="M97" s="3" t="str">
        <f aca="false">IF(A97="","",TEXT(A97,"yyyy-mm"))</f>
        <v/>
      </c>
    </row>
    <row r="98" customFormat="false" ht="15" hidden="false" customHeight="false" outlineLevel="0" collapsed="false">
      <c r="A98" s="17"/>
      <c r="B98" s="9"/>
      <c r="C98" s="9"/>
      <c r="D98" s="10" t="str">
        <f aca="false">IF(B98="","",IFERROR(INDEX(Products!$D$5:$D$54,MATCH(B98,Products!$A$5:$A$54,0)),0))</f>
        <v/>
      </c>
      <c r="E98" s="10" t="str">
        <f aca="false">IF(B98="","",IFERROR(INDEX(Products!$C$5:$C$54,MATCH(B98,Products!$A$5:$A$54,0)),0))</f>
        <v/>
      </c>
      <c r="F98" s="10"/>
      <c r="G98" s="10"/>
      <c r="H98" s="10" t="str">
        <f aca="false">IF(A98="","",Settings!$B$5)</f>
        <v/>
      </c>
      <c r="I98" s="11" t="str">
        <f aca="false">IF(A98="","",ROUND(K98*(Settings!$B$2+Settings!$B$3)/100+Settings!$B$4,2))</f>
        <v/>
      </c>
      <c r="J98" s="11" t="str">
        <f aca="false">IF(A98="","",ROUND(K98-E98*C98-H98-G98-I98,2))</f>
        <v/>
      </c>
      <c r="K98" s="11" t="str">
        <f aca="false">IF(A98="","",D98*C98+F98)</f>
        <v/>
      </c>
      <c r="L98" s="12" t="str">
        <f aca="false">IF(OR(A98="",K98=0),"",ROUND(J98/K98*100,2))</f>
        <v/>
      </c>
      <c r="M98" s="3" t="str">
        <f aca="false">IF(A98="","",TEXT(A98,"yyyy-mm"))</f>
        <v/>
      </c>
    </row>
    <row r="99" customFormat="false" ht="15" hidden="false" customHeight="false" outlineLevel="0" collapsed="false">
      <c r="A99" s="17"/>
      <c r="B99" s="9"/>
      <c r="C99" s="9"/>
      <c r="D99" s="10" t="str">
        <f aca="false">IF(B99="","",IFERROR(INDEX(Products!$D$5:$D$54,MATCH(B99,Products!$A$5:$A$54,0)),0))</f>
        <v/>
      </c>
      <c r="E99" s="10" t="str">
        <f aca="false">IF(B99="","",IFERROR(INDEX(Products!$C$5:$C$54,MATCH(B99,Products!$A$5:$A$54,0)),0))</f>
        <v/>
      </c>
      <c r="F99" s="10"/>
      <c r="G99" s="10"/>
      <c r="H99" s="10" t="str">
        <f aca="false">IF(A99="","",Settings!$B$5)</f>
        <v/>
      </c>
      <c r="I99" s="11" t="str">
        <f aca="false">IF(A99="","",ROUND(K99*(Settings!$B$2+Settings!$B$3)/100+Settings!$B$4,2))</f>
        <v/>
      </c>
      <c r="J99" s="11" t="str">
        <f aca="false">IF(A99="","",ROUND(K99-E99*C99-H99-G99-I99,2))</f>
        <v/>
      </c>
      <c r="K99" s="11" t="str">
        <f aca="false">IF(A99="","",D99*C99+F99)</f>
        <v/>
      </c>
      <c r="L99" s="12" t="str">
        <f aca="false">IF(OR(A99="",K99=0),"",ROUND(J99/K99*100,2))</f>
        <v/>
      </c>
      <c r="M99" s="3" t="str">
        <f aca="false">IF(A99="","",TEXT(A99,"yyyy-mm"))</f>
        <v/>
      </c>
    </row>
    <row r="100" customFormat="false" ht="15" hidden="false" customHeight="false" outlineLevel="0" collapsed="false">
      <c r="A100" s="17"/>
      <c r="B100" s="9"/>
      <c r="C100" s="9"/>
      <c r="D100" s="10" t="str">
        <f aca="false">IF(B100="","",IFERROR(INDEX(Products!$D$5:$D$54,MATCH(B100,Products!$A$5:$A$54,0)),0))</f>
        <v/>
      </c>
      <c r="E100" s="10" t="str">
        <f aca="false">IF(B100="","",IFERROR(INDEX(Products!$C$5:$C$54,MATCH(B100,Products!$A$5:$A$54,0)),0))</f>
        <v/>
      </c>
      <c r="F100" s="10"/>
      <c r="G100" s="10"/>
      <c r="H100" s="10" t="str">
        <f aca="false">IF(A100="","",Settings!$B$5)</f>
        <v/>
      </c>
      <c r="I100" s="11" t="str">
        <f aca="false">IF(A100="","",ROUND(K100*(Settings!$B$2+Settings!$B$3)/100+Settings!$B$4,2))</f>
        <v/>
      </c>
      <c r="J100" s="11" t="str">
        <f aca="false">IF(A100="","",ROUND(K100-E100*C100-H100-G100-I100,2))</f>
        <v/>
      </c>
      <c r="K100" s="11" t="str">
        <f aca="false">IF(A100="","",D100*C100+F100)</f>
        <v/>
      </c>
      <c r="L100" s="12" t="str">
        <f aca="false">IF(OR(A100="",K100=0),"",ROUND(J100/K100*100,2))</f>
        <v/>
      </c>
      <c r="M100" s="3" t="str">
        <f aca="false">IF(A100="","",TEXT(A100,"yyyy-mm"))</f>
        <v/>
      </c>
    </row>
    <row r="101" customFormat="false" ht="15" hidden="false" customHeight="false" outlineLevel="0" collapsed="false">
      <c r="A101" s="17"/>
      <c r="B101" s="9"/>
      <c r="C101" s="9"/>
      <c r="D101" s="10" t="str">
        <f aca="false">IF(B101="","",IFERROR(INDEX(Products!$D$5:$D$54,MATCH(B101,Products!$A$5:$A$54,0)),0))</f>
        <v/>
      </c>
      <c r="E101" s="10" t="str">
        <f aca="false">IF(B101="","",IFERROR(INDEX(Products!$C$5:$C$54,MATCH(B101,Products!$A$5:$A$54,0)),0))</f>
        <v/>
      </c>
      <c r="F101" s="10"/>
      <c r="G101" s="10"/>
      <c r="H101" s="10" t="str">
        <f aca="false">IF(A101="","",Settings!$B$5)</f>
        <v/>
      </c>
      <c r="I101" s="11" t="str">
        <f aca="false">IF(A101="","",ROUND(K101*(Settings!$B$2+Settings!$B$3)/100+Settings!$B$4,2))</f>
        <v/>
      </c>
      <c r="J101" s="11" t="str">
        <f aca="false">IF(A101="","",ROUND(K101-E101*C101-H101-G101-I101,2))</f>
        <v/>
      </c>
      <c r="K101" s="11" t="str">
        <f aca="false">IF(A101="","",D101*C101+F101)</f>
        <v/>
      </c>
      <c r="L101" s="12" t="str">
        <f aca="false">IF(OR(A101="",K101=0),"",ROUND(J101/K101*100,2))</f>
        <v/>
      </c>
      <c r="M101" s="3" t="str">
        <f aca="false">IF(A101="","",TEXT(A101,"yyyy-mm"))</f>
        <v/>
      </c>
    </row>
    <row r="102" customFormat="false" ht="15" hidden="false" customHeight="false" outlineLevel="0" collapsed="false">
      <c r="A102" s="17"/>
      <c r="B102" s="9"/>
      <c r="C102" s="9"/>
      <c r="D102" s="10" t="str">
        <f aca="false">IF(B102="","",IFERROR(INDEX(Products!$D$5:$D$54,MATCH(B102,Products!$A$5:$A$54,0)),0))</f>
        <v/>
      </c>
      <c r="E102" s="10" t="str">
        <f aca="false">IF(B102="","",IFERROR(INDEX(Products!$C$5:$C$54,MATCH(B102,Products!$A$5:$A$54,0)),0))</f>
        <v/>
      </c>
      <c r="F102" s="10"/>
      <c r="G102" s="10"/>
      <c r="H102" s="10" t="str">
        <f aca="false">IF(A102="","",Settings!$B$5)</f>
        <v/>
      </c>
      <c r="I102" s="11" t="str">
        <f aca="false">IF(A102="","",ROUND(K102*(Settings!$B$2+Settings!$B$3)/100+Settings!$B$4,2))</f>
        <v/>
      </c>
      <c r="J102" s="11" t="str">
        <f aca="false">IF(A102="","",ROUND(K102-E102*C102-H102-G102-I102,2))</f>
        <v/>
      </c>
      <c r="K102" s="11" t="str">
        <f aca="false">IF(A102="","",D102*C102+F102)</f>
        <v/>
      </c>
      <c r="L102" s="12" t="str">
        <f aca="false">IF(OR(A102="",K102=0),"",ROUND(J102/K102*100,2))</f>
        <v/>
      </c>
      <c r="M102" s="3" t="str">
        <f aca="false">IF(A102="","",TEXT(A102,"yyyy-mm"))</f>
        <v/>
      </c>
    </row>
    <row r="103" customFormat="false" ht="15" hidden="false" customHeight="false" outlineLevel="0" collapsed="false">
      <c r="A103" s="17"/>
      <c r="B103" s="9"/>
      <c r="C103" s="9"/>
      <c r="D103" s="10" t="str">
        <f aca="false">IF(B103="","",IFERROR(INDEX(Products!$D$5:$D$54,MATCH(B103,Products!$A$5:$A$54,0)),0))</f>
        <v/>
      </c>
      <c r="E103" s="10" t="str">
        <f aca="false">IF(B103="","",IFERROR(INDEX(Products!$C$5:$C$54,MATCH(B103,Products!$A$5:$A$54,0)),0))</f>
        <v/>
      </c>
      <c r="F103" s="10"/>
      <c r="G103" s="10"/>
      <c r="H103" s="10" t="str">
        <f aca="false">IF(A103="","",Settings!$B$5)</f>
        <v/>
      </c>
      <c r="I103" s="11" t="str">
        <f aca="false">IF(A103="","",ROUND(K103*(Settings!$B$2+Settings!$B$3)/100+Settings!$B$4,2))</f>
        <v/>
      </c>
      <c r="J103" s="11" t="str">
        <f aca="false">IF(A103="","",ROUND(K103-E103*C103-H103-G103-I103,2))</f>
        <v/>
      </c>
      <c r="K103" s="11" t="str">
        <f aca="false">IF(A103="","",D103*C103+F103)</f>
        <v/>
      </c>
      <c r="L103" s="12" t="str">
        <f aca="false">IF(OR(A103="",K103=0),"",ROUND(J103/K103*100,2))</f>
        <v/>
      </c>
      <c r="M103" s="3" t="str">
        <f aca="false">IF(A103="","",TEXT(A103,"yyyy-mm"))</f>
        <v/>
      </c>
    </row>
    <row r="104" customFormat="false" ht="15" hidden="false" customHeight="false" outlineLevel="0" collapsed="false">
      <c r="A104" s="17"/>
      <c r="B104" s="9"/>
      <c r="C104" s="9"/>
      <c r="D104" s="10" t="str">
        <f aca="false">IF(B104="","",IFERROR(INDEX(Products!$D$5:$D$54,MATCH(B104,Products!$A$5:$A$54,0)),0))</f>
        <v/>
      </c>
      <c r="E104" s="10" t="str">
        <f aca="false">IF(B104="","",IFERROR(INDEX(Products!$C$5:$C$54,MATCH(B104,Products!$A$5:$A$54,0)),0))</f>
        <v/>
      </c>
      <c r="F104" s="10"/>
      <c r="G104" s="10"/>
      <c r="H104" s="10" t="str">
        <f aca="false">IF(A104="","",Settings!$B$5)</f>
        <v/>
      </c>
      <c r="I104" s="11" t="str">
        <f aca="false">IF(A104="","",ROUND(K104*(Settings!$B$2+Settings!$B$3)/100+Settings!$B$4,2))</f>
        <v/>
      </c>
      <c r="J104" s="11" t="str">
        <f aca="false">IF(A104="","",ROUND(K104-E104*C104-H104-G104-I104,2))</f>
        <v/>
      </c>
      <c r="K104" s="11" t="str">
        <f aca="false">IF(A104="","",D104*C104+F104)</f>
        <v/>
      </c>
      <c r="L104" s="12" t="str">
        <f aca="false">IF(OR(A104="",K104=0),"",ROUND(J104/K104*100,2))</f>
        <v/>
      </c>
      <c r="M104" s="3" t="str">
        <f aca="false">IF(A104="","",TEXT(A104,"yyyy-mm"))</f>
        <v/>
      </c>
    </row>
    <row r="105" customFormat="false" ht="15" hidden="false" customHeight="false" outlineLevel="0" collapsed="false">
      <c r="A105" s="17"/>
      <c r="B105" s="9"/>
      <c r="C105" s="9"/>
      <c r="D105" s="10" t="str">
        <f aca="false">IF(B105="","",IFERROR(INDEX(Products!$D$5:$D$54,MATCH(B105,Products!$A$5:$A$54,0)),0))</f>
        <v/>
      </c>
      <c r="E105" s="10" t="str">
        <f aca="false">IF(B105="","",IFERROR(INDEX(Products!$C$5:$C$54,MATCH(B105,Products!$A$5:$A$54,0)),0))</f>
        <v/>
      </c>
      <c r="F105" s="10"/>
      <c r="G105" s="10"/>
      <c r="H105" s="10" t="str">
        <f aca="false">IF(A105="","",Settings!$B$5)</f>
        <v/>
      </c>
      <c r="I105" s="11" t="str">
        <f aca="false">IF(A105="","",ROUND(K105*(Settings!$B$2+Settings!$B$3)/100+Settings!$B$4,2))</f>
        <v/>
      </c>
      <c r="J105" s="11" t="str">
        <f aca="false">IF(A105="","",ROUND(K105-E105*C105-H105-G105-I105,2))</f>
        <v/>
      </c>
      <c r="K105" s="11" t="str">
        <f aca="false">IF(A105="","",D105*C105+F105)</f>
        <v/>
      </c>
      <c r="L105" s="12" t="str">
        <f aca="false">IF(OR(A105="",K105=0),"",ROUND(J105/K105*100,2))</f>
        <v/>
      </c>
      <c r="M105" s="3" t="str">
        <f aca="false">IF(A105="","",TEXT(A105,"yyyy-mm"))</f>
        <v/>
      </c>
    </row>
    <row r="106" customFormat="false" ht="15" hidden="false" customHeight="false" outlineLevel="0" collapsed="false">
      <c r="A106" s="17"/>
      <c r="B106" s="9"/>
      <c r="C106" s="9"/>
      <c r="D106" s="10" t="str">
        <f aca="false">IF(B106="","",IFERROR(INDEX(Products!$D$5:$D$54,MATCH(B106,Products!$A$5:$A$54,0)),0))</f>
        <v/>
      </c>
      <c r="E106" s="10" t="str">
        <f aca="false">IF(B106="","",IFERROR(INDEX(Products!$C$5:$C$54,MATCH(B106,Products!$A$5:$A$54,0)),0))</f>
        <v/>
      </c>
      <c r="F106" s="10"/>
      <c r="G106" s="10"/>
      <c r="H106" s="10" t="str">
        <f aca="false">IF(A106="","",Settings!$B$5)</f>
        <v/>
      </c>
      <c r="I106" s="11" t="str">
        <f aca="false">IF(A106="","",ROUND(K106*(Settings!$B$2+Settings!$B$3)/100+Settings!$B$4,2))</f>
        <v/>
      </c>
      <c r="J106" s="11" t="str">
        <f aca="false">IF(A106="","",ROUND(K106-E106*C106-H106-G106-I106,2))</f>
        <v/>
      </c>
      <c r="K106" s="11" t="str">
        <f aca="false">IF(A106="","",D106*C106+F106)</f>
        <v/>
      </c>
      <c r="L106" s="12" t="str">
        <f aca="false">IF(OR(A106="",K106=0),"",ROUND(J106/K106*100,2))</f>
        <v/>
      </c>
      <c r="M106" s="3" t="str">
        <f aca="false">IF(A106="","",TEXT(A106,"yyyy-mm"))</f>
        <v/>
      </c>
    </row>
    <row r="107" customFormat="false" ht="15" hidden="false" customHeight="false" outlineLevel="0" collapsed="false">
      <c r="A107" s="17"/>
      <c r="B107" s="9"/>
      <c r="C107" s="9"/>
      <c r="D107" s="10" t="str">
        <f aca="false">IF(B107="","",IFERROR(INDEX(Products!$D$5:$D$54,MATCH(B107,Products!$A$5:$A$54,0)),0))</f>
        <v/>
      </c>
      <c r="E107" s="10" t="str">
        <f aca="false">IF(B107="","",IFERROR(INDEX(Products!$C$5:$C$54,MATCH(B107,Products!$A$5:$A$54,0)),0))</f>
        <v/>
      </c>
      <c r="F107" s="10"/>
      <c r="G107" s="10"/>
      <c r="H107" s="10" t="str">
        <f aca="false">IF(A107="","",Settings!$B$5)</f>
        <v/>
      </c>
      <c r="I107" s="11" t="str">
        <f aca="false">IF(A107="","",ROUND(K107*(Settings!$B$2+Settings!$B$3)/100+Settings!$B$4,2))</f>
        <v/>
      </c>
      <c r="J107" s="11" t="str">
        <f aca="false">IF(A107="","",ROUND(K107-E107*C107-H107-G107-I107,2))</f>
        <v/>
      </c>
      <c r="K107" s="11" t="str">
        <f aca="false">IF(A107="","",D107*C107+F107)</f>
        <v/>
      </c>
      <c r="L107" s="12" t="str">
        <f aca="false">IF(OR(A107="",K107=0),"",ROUND(J107/K107*100,2))</f>
        <v/>
      </c>
      <c r="M107" s="3" t="str">
        <f aca="false">IF(A107="","",TEXT(A107,"yyyy-mm"))</f>
        <v/>
      </c>
    </row>
    <row r="108" customFormat="false" ht="15" hidden="false" customHeight="false" outlineLevel="0" collapsed="false">
      <c r="A108" s="17"/>
      <c r="B108" s="9"/>
      <c r="C108" s="9"/>
      <c r="D108" s="10" t="str">
        <f aca="false">IF(B108="","",IFERROR(INDEX(Products!$D$5:$D$54,MATCH(B108,Products!$A$5:$A$54,0)),0))</f>
        <v/>
      </c>
      <c r="E108" s="10" t="str">
        <f aca="false">IF(B108="","",IFERROR(INDEX(Products!$C$5:$C$54,MATCH(B108,Products!$A$5:$A$54,0)),0))</f>
        <v/>
      </c>
      <c r="F108" s="10"/>
      <c r="G108" s="10"/>
      <c r="H108" s="10" t="str">
        <f aca="false">IF(A108="","",Settings!$B$5)</f>
        <v/>
      </c>
      <c r="I108" s="11" t="str">
        <f aca="false">IF(A108="","",ROUND(K108*(Settings!$B$2+Settings!$B$3)/100+Settings!$B$4,2))</f>
        <v/>
      </c>
      <c r="J108" s="11" t="str">
        <f aca="false">IF(A108="","",ROUND(K108-E108*C108-H108-G108-I108,2))</f>
        <v/>
      </c>
      <c r="K108" s="11" t="str">
        <f aca="false">IF(A108="","",D108*C108+F108)</f>
        <v/>
      </c>
      <c r="L108" s="12" t="str">
        <f aca="false">IF(OR(A108="",K108=0),"",ROUND(J108/K108*100,2))</f>
        <v/>
      </c>
      <c r="M108" s="3" t="str">
        <f aca="false">IF(A108="","",TEXT(A108,"yyyy-mm"))</f>
        <v/>
      </c>
    </row>
    <row r="109" customFormat="false" ht="15" hidden="false" customHeight="false" outlineLevel="0" collapsed="false">
      <c r="A109" s="17"/>
      <c r="B109" s="9"/>
      <c r="C109" s="9"/>
      <c r="D109" s="10" t="str">
        <f aca="false">IF(B109="","",IFERROR(INDEX(Products!$D$5:$D$54,MATCH(B109,Products!$A$5:$A$54,0)),0))</f>
        <v/>
      </c>
      <c r="E109" s="10" t="str">
        <f aca="false">IF(B109="","",IFERROR(INDEX(Products!$C$5:$C$54,MATCH(B109,Products!$A$5:$A$54,0)),0))</f>
        <v/>
      </c>
      <c r="F109" s="10"/>
      <c r="G109" s="10"/>
      <c r="H109" s="10" t="str">
        <f aca="false">IF(A109="","",Settings!$B$5)</f>
        <v/>
      </c>
      <c r="I109" s="11" t="str">
        <f aca="false">IF(A109="","",ROUND(K109*(Settings!$B$2+Settings!$B$3)/100+Settings!$B$4,2))</f>
        <v/>
      </c>
      <c r="J109" s="11" t="str">
        <f aca="false">IF(A109="","",ROUND(K109-E109*C109-H109-G109-I109,2))</f>
        <v/>
      </c>
      <c r="K109" s="11" t="str">
        <f aca="false">IF(A109="","",D109*C109+F109)</f>
        <v/>
      </c>
      <c r="L109" s="12" t="str">
        <f aca="false">IF(OR(A109="",K109=0),"",ROUND(J109/K109*100,2))</f>
        <v/>
      </c>
      <c r="M109" s="3" t="str">
        <f aca="false">IF(A109="","",TEXT(A109,"yyyy-mm"))</f>
        <v/>
      </c>
    </row>
    <row r="110" customFormat="false" ht="15" hidden="false" customHeight="false" outlineLevel="0" collapsed="false">
      <c r="A110" s="17"/>
      <c r="B110" s="9"/>
      <c r="C110" s="9"/>
      <c r="D110" s="10" t="str">
        <f aca="false">IF(B110="","",IFERROR(INDEX(Products!$D$5:$D$54,MATCH(B110,Products!$A$5:$A$54,0)),0))</f>
        <v/>
      </c>
      <c r="E110" s="10" t="str">
        <f aca="false">IF(B110="","",IFERROR(INDEX(Products!$C$5:$C$54,MATCH(B110,Products!$A$5:$A$54,0)),0))</f>
        <v/>
      </c>
      <c r="F110" s="10"/>
      <c r="G110" s="10"/>
      <c r="H110" s="10" t="str">
        <f aca="false">IF(A110="","",Settings!$B$5)</f>
        <v/>
      </c>
      <c r="I110" s="11" t="str">
        <f aca="false">IF(A110="","",ROUND(K110*(Settings!$B$2+Settings!$B$3)/100+Settings!$B$4,2))</f>
        <v/>
      </c>
      <c r="J110" s="11" t="str">
        <f aca="false">IF(A110="","",ROUND(K110-E110*C110-H110-G110-I110,2))</f>
        <v/>
      </c>
      <c r="K110" s="11" t="str">
        <f aca="false">IF(A110="","",D110*C110+F110)</f>
        <v/>
      </c>
      <c r="L110" s="12" t="str">
        <f aca="false">IF(OR(A110="",K110=0),"",ROUND(J110/K110*100,2))</f>
        <v/>
      </c>
      <c r="M110" s="3" t="str">
        <f aca="false">IF(A110="","",TEXT(A110,"yyyy-mm"))</f>
        <v/>
      </c>
    </row>
    <row r="111" customFormat="false" ht="15" hidden="false" customHeight="false" outlineLevel="0" collapsed="false">
      <c r="A111" s="17"/>
      <c r="B111" s="9"/>
      <c r="C111" s="9"/>
      <c r="D111" s="10" t="str">
        <f aca="false">IF(B111="","",IFERROR(INDEX(Products!$D$5:$D$54,MATCH(B111,Products!$A$5:$A$54,0)),0))</f>
        <v/>
      </c>
      <c r="E111" s="10" t="str">
        <f aca="false">IF(B111="","",IFERROR(INDEX(Products!$C$5:$C$54,MATCH(B111,Products!$A$5:$A$54,0)),0))</f>
        <v/>
      </c>
      <c r="F111" s="10"/>
      <c r="G111" s="10"/>
      <c r="H111" s="10" t="str">
        <f aca="false">IF(A111="","",Settings!$B$5)</f>
        <v/>
      </c>
      <c r="I111" s="11" t="str">
        <f aca="false">IF(A111="","",ROUND(K111*(Settings!$B$2+Settings!$B$3)/100+Settings!$B$4,2))</f>
        <v/>
      </c>
      <c r="J111" s="11" t="str">
        <f aca="false">IF(A111="","",ROUND(K111-E111*C111-H111-G111-I111,2))</f>
        <v/>
      </c>
      <c r="K111" s="11" t="str">
        <f aca="false">IF(A111="","",D111*C111+F111)</f>
        <v/>
      </c>
      <c r="L111" s="12" t="str">
        <f aca="false">IF(OR(A111="",K111=0),"",ROUND(J111/K111*100,2))</f>
        <v/>
      </c>
      <c r="M111" s="3" t="str">
        <f aca="false">IF(A111="","",TEXT(A111,"yyyy-mm"))</f>
        <v/>
      </c>
    </row>
    <row r="112" customFormat="false" ht="15" hidden="false" customHeight="false" outlineLevel="0" collapsed="false">
      <c r="A112" s="17"/>
      <c r="B112" s="9"/>
      <c r="C112" s="9"/>
      <c r="D112" s="10" t="str">
        <f aca="false">IF(B112="","",IFERROR(INDEX(Products!$D$5:$D$54,MATCH(B112,Products!$A$5:$A$54,0)),0))</f>
        <v/>
      </c>
      <c r="E112" s="10" t="str">
        <f aca="false">IF(B112="","",IFERROR(INDEX(Products!$C$5:$C$54,MATCH(B112,Products!$A$5:$A$54,0)),0))</f>
        <v/>
      </c>
      <c r="F112" s="10"/>
      <c r="G112" s="10"/>
      <c r="H112" s="10" t="str">
        <f aca="false">IF(A112="","",Settings!$B$5)</f>
        <v/>
      </c>
      <c r="I112" s="11" t="str">
        <f aca="false">IF(A112="","",ROUND(K112*(Settings!$B$2+Settings!$B$3)/100+Settings!$B$4,2))</f>
        <v/>
      </c>
      <c r="J112" s="11" t="str">
        <f aca="false">IF(A112="","",ROUND(K112-E112*C112-H112-G112-I112,2))</f>
        <v/>
      </c>
      <c r="K112" s="11" t="str">
        <f aca="false">IF(A112="","",D112*C112+F112)</f>
        <v/>
      </c>
      <c r="L112" s="12" t="str">
        <f aca="false">IF(OR(A112="",K112=0),"",ROUND(J112/K112*100,2))</f>
        <v/>
      </c>
      <c r="M112" s="3" t="str">
        <f aca="false">IF(A112="","",TEXT(A112,"yyyy-mm"))</f>
        <v/>
      </c>
    </row>
    <row r="113" customFormat="false" ht="15" hidden="false" customHeight="false" outlineLevel="0" collapsed="false">
      <c r="A113" s="17"/>
      <c r="B113" s="9"/>
      <c r="C113" s="9"/>
      <c r="D113" s="10" t="str">
        <f aca="false">IF(B113="","",IFERROR(INDEX(Products!$D$5:$D$54,MATCH(B113,Products!$A$5:$A$54,0)),0))</f>
        <v/>
      </c>
      <c r="E113" s="10" t="str">
        <f aca="false">IF(B113="","",IFERROR(INDEX(Products!$C$5:$C$54,MATCH(B113,Products!$A$5:$A$54,0)),0))</f>
        <v/>
      </c>
      <c r="F113" s="10"/>
      <c r="G113" s="10"/>
      <c r="H113" s="10" t="str">
        <f aca="false">IF(A113="","",Settings!$B$5)</f>
        <v/>
      </c>
      <c r="I113" s="11" t="str">
        <f aca="false">IF(A113="","",ROUND(K113*(Settings!$B$2+Settings!$B$3)/100+Settings!$B$4,2))</f>
        <v/>
      </c>
      <c r="J113" s="11" t="str">
        <f aca="false">IF(A113="","",ROUND(K113-E113*C113-H113-G113-I113,2))</f>
        <v/>
      </c>
      <c r="K113" s="11" t="str">
        <f aca="false">IF(A113="","",D113*C113+F113)</f>
        <v/>
      </c>
      <c r="L113" s="12" t="str">
        <f aca="false">IF(OR(A113="",K113=0),"",ROUND(J113/K113*100,2))</f>
        <v/>
      </c>
      <c r="M113" s="3" t="str">
        <f aca="false">IF(A113="","",TEXT(A113,"yyyy-mm"))</f>
        <v/>
      </c>
    </row>
    <row r="114" customFormat="false" ht="15" hidden="false" customHeight="false" outlineLevel="0" collapsed="false">
      <c r="A114" s="17"/>
      <c r="B114" s="9"/>
      <c r="C114" s="9"/>
      <c r="D114" s="10" t="str">
        <f aca="false">IF(B114="","",IFERROR(INDEX(Products!$D$5:$D$54,MATCH(B114,Products!$A$5:$A$54,0)),0))</f>
        <v/>
      </c>
      <c r="E114" s="10" t="str">
        <f aca="false">IF(B114="","",IFERROR(INDEX(Products!$C$5:$C$54,MATCH(B114,Products!$A$5:$A$54,0)),0))</f>
        <v/>
      </c>
      <c r="F114" s="10"/>
      <c r="G114" s="10"/>
      <c r="H114" s="10" t="str">
        <f aca="false">IF(A114="","",Settings!$B$5)</f>
        <v/>
      </c>
      <c r="I114" s="11" t="str">
        <f aca="false">IF(A114="","",ROUND(K114*(Settings!$B$2+Settings!$B$3)/100+Settings!$B$4,2))</f>
        <v/>
      </c>
      <c r="J114" s="11" t="str">
        <f aca="false">IF(A114="","",ROUND(K114-E114*C114-H114-G114-I114,2))</f>
        <v/>
      </c>
      <c r="K114" s="11" t="str">
        <f aca="false">IF(A114="","",D114*C114+F114)</f>
        <v/>
      </c>
      <c r="L114" s="12" t="str">
        <f aca="false">IF(OR(A114="",K114=0),"",ROUND(J114/K114*100,2))</f>
        <v/>
      </c>
      <c r="M114" s="3" t="str">
        <f aca="false">IF(A114="","",TEXT(A114,"yyyy-mm"))</f>
        <v/>
      </c>
    </row>
    <row r="115" customFormat="false" ht="15" hidden="false" customHeight="false" outlineLevel="0" collapsed="false">
      <c r="A115" s="17"/>
      <c r="B115" s="9"/>
      <c r="C115" s="9"/>
      <c r="D115" s="10" t="str">
        <f aca="false">IF(B115="","",IFERROR(INDEX(Products!$D$5:$D$54,MATCH(B115,Products!$A$5:$A$54,0)),0))</f>
        <v/>
      </c>
      <c r="E115" s="10" t="str">
        <f aca="false">IF(B115="","",IFERROR(INDEX(Products!$C$5:$C$54,MATCH(B115,Products!$A$5:$A$54,0)),0))</f>
        <v/>
      </c>
      <c r="F115" s="10"/>
      <c r="G115" s="10"/>
      <c r="H115" s="10" t="str">
        <f aca="false">IF(A115="","",Settings!$B$5)</f>
        <v/>
      </c>
      <c r="I115" s="11" t="str">
        <f aca="false">IF(A115="","",ROUND(K115*(Settings!$B$2+Settings!$B$3)/100+Settings!$B$4,2))</f>
        <v/>
      </c>
      <c r="J115" s="11" t="str">
        <f aca="false">IF(A115="","",ROUND(K115-E115*C115-H115-G115-I115,2))</f>
        <v/>
      </c>
      <c r="K115" s="11" t="str">
        <f aca="false">IF(A115="","",D115*C115+F115)</f>
        <v/>
      </c>
      <c r="L115" s="12" t="str">
        <f aca="false">IF(OR(A115="",K115=0),"",ROUND(J115/K115*100,2))</f>
        <v/>
      </c>
      <c r="M115" s="3" t="str">
        <f aca="false">IF(A115="","",TEXT(A115,"yyyy-mm"))</f>
        <v/>
      </c>
    </row>
    <row r="116" customFormat="false" ht="15" hidden="false" customHeight="false" outlineLevel="0" collapsed="false">
      <c r="A116" s="17"/>
      <c r="B116" s="9"/>
      <c r="C116" s="9"/>
      <c r="D116" s="10" t="str">
        <f aca="false">IF(B116="","",IFERROR(INDEX(Products!$D$5:$D$54,MATCH(B116,Products!$A$5:$A$54,0)),0))</f>
        <v/>
      </c>
      <c r="E116" s="10" t="str">
        <f aca="false">IF(B116="","",IFERROR(INDEX(Products!$C$5:$C$54,MATCH(B116,Products!$A$5:$A$54,0)),0))</f>
        <v/>
      </c>
      <c r="F116" s="10"/>
      <c r="G116" s="10"/>
      <c r="H116" s="10" t="str">
        <f aca="false">IF(A116="","",Settings!$B$5)</f>
        <v/>
      </c>
      <c r="I116" s="11" t="str">
        <f aca="false">IF(A116="","",ROUND(K116*(Settings!$B$2+Settings!$B$3)/100+Settings!$B$4,2))</f>
        <v/>
      </c>
      <c r="J116" s="11" t="str">
        <f aca="false">IF(A116="","",ROUND(K116-E116*C116-H116-G116-I116,2))</f>
        <v/>
      </c>
      <c r="K116" s="11" t="str">
        <f aca="false">IF(A116="","",D116*C116+F116)</f>
        <v/>
      </c>
      <c r="L116" s="12" t="str">
        <f aca="false">IF(OR(A116="",K116=0),"",ROUND(J116/K116*100,2))</f>
        <v/>
      </c>
      <c r="M116" s="3" t="str">
        <f aca="false">IF(A116="","",TEXT(A116,"yyyy-mm"))</f>
        <v/>
      </c>
    </row>
    <row r="117" customFormat="false" ht="15" hidden="false" customHeight="false" outlineLevel="0" collapsed="false">
      <c r="A117" s="17"/>
      <c r="B117" s="9"/>
      <c r="C117" s="9"/>
      <c r="D117" s="10" t="str">
        <f aca="false">IF(B117="","",IFERROR(INDEX(Products!$D$5:$D$54,MATCH(B117,Products!$A$5:$A$54,0)),0))</f>
        <v/>
      </c>
      <c r="E117" s="10" t="str">
        <f aca="false">IF(B117="","",IFERROR(INDEX(Products!$C$5:$C$54,MATCH(B117,Products!$A$5:$A$54,0)),0))</f>
        <v/>
      </c>
      <c r="F117" s="10"/>
      <c r="G117" s="10"/>
      <c r="H117" s="10" t="str">
        <f aca="false">IF(A117="","",Settings!$B$5)</f>
        <v/>
      </c>
      <c r="I117" s="11" t="str">
        <f aca="false">IF(A117="","",ROUND(K117*(Settings!$B$2+Settings!$B$3)/100+Settings!$B$4,2))</f>
        <v/>
      </c>
      <c r="J117" s="11" t="str">
        <f aca="false">IF(A117="","",ROUND(K117-E117*C117-H117-G117-I117,2))</f>
        <v/>
      </c>
      <c r="K117" s="11" t="str">
        <f aca="false">IF(A117="","",D117*C117+F117)</f>
        <v/>
      </c>
      <c r="L117" s="12" t="str">
        <f aca="false">IF(OR(A117="",K117=0),"",ROUND(J117/K117*100,2))</f>
        <v/>
      </c>
      <c r="M117" s="3" t="str">
        <f aca="false">IF(A117="","",TEXT(A117,"yyyy-mm"))</f>
        <v/>
      </c>
    </row>
    <row r="118" customFormat="false" ht="15" hidden="false" customHeight="false" outlineLevel="0" collapsed="false">
      <c r="A118" s="17"/>
      <c r="B118" s="9"/>
      <c r="C118" s="9"/>
      <c r="D118" s="10" t="str">
        <f aca="false">IF(B118="","",IFERROR(INDEX(Products!$D$5:$D$54,MATCH(B118,Products!$A$5:$A$54,0)),0))</f>
        <v/>
      </c>
      <c r="E118" s="10" t="str">
        <f aca="false">IF(B118="","",IFERROR(INDEX(Products!$C$5:$C$54,MATCH(B118,Products!$A$5:$A$54,0)),0))</f>
        <v/>
      </c>
      <c r="F118" s="10"/>
      <c r="G118" s="10"/>
      <c r="H118" s="10" t="str">
        <f aca="false">IF(A118="","",Settings!$B$5)</f>
        <v/>
      </c>
      <c r="I118" s="11" t="str">
        <f aca="false">IF(A118="","",ROUND(K118*(Settings!$B$2+Settings!$B$3)/100+Settings!$B$4,2))</f>
        <v/>
      </c>
      <c r="J118" s="11" t="str">
        <f aca="false">IF(A118="","",ROUND(K118-E118*C118-H118-G118-I118,2))</f>
        <v/>
      </c>
      <c r="K118" s="11" t="str">
        <f aca="false">IF(A118="","",D118*C118+F118)</f>
        <v/>
      </c>
      <c r="L118" s="12" t="str">
        <f aca="false">IF(OR(A118="",K118=0),"",ROUND(J118/K118*100,2))</f>
        <v/>
      </c>
      <c r="M118" s="3" t="str">
        <f aca="false">IF(A118="","",TEXT(A118,"yyyy-mm"))</f>
        <v/>
      </c>
    </row>
    <row r="119" customFormat="false" ht="15" hidden="false" customHeight="false" outlineLevel="0" collapsed="false">
      <c r="A119" s="17"/>
      <c r="B119" s="9"/>
      <c r="C119" s="9"/>
      <c r="D119" s="10" t="str">
        <f aca="false">IF(B119="","",IFERROR(INDEX(Products!$D$5:$D$54,MATCH(B119,Products!$A$5:$A$54,0)),0))</f>
        <v/>
      </c>
      <c r="E119" s="10" t="str">
        <f aca="false">IF(B119="","",IFERROR(INDEX(Products!$C$5:$C$54,MATCH(B119,Products!$A$5:$A$54,0)),0))</f>
        <v/>
      </c>
      <c r="F119" s="10"/>
      <c r="G119" s="10"/>
      <c r="H119" s="10" t="str">
        <f aca="false">IF(A119="","",Settings!$B$5)</f>
        <v/>
      </c>
      <c r="I119" s="11" t="str">
        <f aca="false">IF(A119="","",ROUND(K119*(Settings!$B$2+Settings!$B$3)/100+Settings!$B$4,2))</f>
        <v/>
      </c>
      <c r="J119" s="11" t="str">
        <f aca="false">IF(A119="","",ROUND(K119-E119*C119-H119-G119-I119,2))</f>
        <v/>
      </c>
      <c r="K119" s="11" t="str">
        <f aca="false">IF(A119="","",D119*C119+F119)</f>
        <v/>
      </c>
      <c r="L119" s="12" t="str">
        <f aca="false">IF(OR(A119="",K119=0),"",ROUND(J119/K119*100,2))</f>
        <v/>
      </c>
      <c r="M119" s="3" t="str">
        <f aca="false">IF(A119="","",TEXT(A119,"yyyy-mm"))</f>
        <v/>
      </c>
    </row>
    <row r="120" customFormat="false" ht="15" hidden="false" customHeight="false" outlineLevel="0" collapsed="false">
      <c r="A120" s="17"/>
      <c r="B120" s="9"/>
      <c r="C120" s="9"/>
      <c r="D120" s="10" t="str">
        <f aca="false">IF(B120="","",IFERROR(INDEX(Products!$D$5:$D$54,MATCH(B120,Products!$A$5:$A$54,0)),0))</f>
        <v/>
      </c>
      <c r="E120" s="10" t="str">
        <f aca="false">IF(B120="","",IFERROR(INDEX(Products!$C$5:$C$54,MATCH(B120,Products!$A$5:$A$54,0)),0))</f>
        <v/>
      </c>
      <c r="F120" s="10"/>
      <c r="G120" s="10"/>
      <c r="H120" s="10" t="str">
        <f aca="false">IF(A120="","",Settings!$B$5)</f>
        <v/>
      </c>
      <c r="I120" s="11" t="str">
        <f aca="false">IF(A120="","",ROUND(K120*(Settings!$B$2+Settings!$B$3)/100+Settings!$B$4,2))</f>
        <v/>
      </c>
      <c r="J120" s="11" t="str">
        <f aca="false">IF(A120="","",ROUND(K120-E120*C120-H120-G120-I120,2))</f>
        <v/>
      </c>
      <c r="K120" s="11" t="str">
        <f aca="false">IF(A120="","",D120*C120+F120)</f>
        <v/>
      </c>
      <c r="L120" s="12" t="str">
        <f aca="false">IF(OR(A120="",K120=0),"",ROUND(J120/K120*100,2))</f>
        <v/>
      </c>
      <c r="M120" s="3" t="str">
        <f aca="false">IF(A120="","",TEXT(A120,"yyyy-mm"))</f>
        <v/>
      </c>
    </row>
    <row r="121" customFormat="false" ht="15" hidden="false" customHeight="false" outlineLevel="0" collapsed="false">
      <c r="A121" s="17"/>
      <c r="B121" s="9"/>
      <c r="C121" s="9"/>
      <c r="D121" s="10" t="str">
        <f aca="false">IF(B121="","",IFERROR(INDEX(Products!$D$5:$D$54,MATCH(B121,Products!$A$5:$A$54,0)),0))</f>
        <v/>
      </c>
      <c r="E121" s="10" t="str">
        <f aca="false">IF(B121="","",IFERROR(INDEX(Products!$C$5:$C$54,MATCH(B121,Products!$A$5:$A$54,0)),0))</f>
        <v/>
      </c>
      <c r="F121" s="10"/>
      <c r="G121" s="10"/>
      <c r="H121" s="10" t="str">
        <f aca="false">IF(A121="","",Settings!$B$5)</f>
        <v/>
      </c>
      <c r="I121" s="11" t="str">
        <f aca="false">IF(A121="","",ROUND(K121*(Settings!$B$2+Settings!$B$3)/100+Settings!$B$4,2))</f>
        <v/>
      </c>
      <c r="J121" s="11" t="str">
        <f aca="false">IF(A121="","",ROUND(K121-E121*C121-H121-G121-I121,2))</f>
        <v/>
      </c>
      <c r="K121" s="11" t="str">
        <f aca="false">IF(A121="","",D121*C121+F121)</f>
        <v/>
      </c>
      <c r="L121" s="12" t="str">
        <f aca="false">IF(OR(A121="",K121=0),"",ROUND(J121/K121*100,2))</f>
        <v/>
      </c>
      <c r="M121" s="3" t="str">
        <f aca="false">IF(A121="","",TEXT(A121,"yyyy-mm"))</f>
        <v/>
      </c>
    </row>
    <row r="122" customFormat="false" ht="15" hidden="false" customHeight="false" outlineLevel="0" collapsed="false">
      <c r="A122" s="17"/>
      <c r="B122" s="9"/>
      <c r="C122" s="9"/>
      <c r="D122" s="10" t="str">
        <f aca="false">IF(B122="","",IFERROR(INDEX(Products!$D$5:$D$54,MATCH(B122,Products!$A$5:$A$54,0)),0))</f>
        <v/>
      </c>
      <c r="E122" s="10" t="str">
        <f aca="false">IF(B122="","",IFERROR(INDEX(Products!$C$5:$C$54,MATCH(B122,Products!$A$5:$A$54,0)),0))</f>
        <v/>
      </c>
      <c r="F122" s="10"/>
      <c r="G122" s="10"/>
      <c r="H122" s="10" t="str">
        <f aca="false">IF(A122="","",Settings!$B$5)</f>
        <v/>
      </c>
      <c r="I122" s="11" t="str">
        <f aca="false">IF(A122="","",ROUND(K122*(Settings!$B$2+Settings!$B$3)/100+Settings!$B$4,2))</f>
        <v/>
      </c>
      <c r="J122" s="11" t="str">
        <f aca="false">IF(A122="","",ROUND(K122-E122*C122-H122-G122-I122,2))</f>
        <v/>
      </c>
      <c r="K122" s="11" t="str">
        <f aca="false">IF(A122="","",D122*C122+F122)</f>
        <v/>
      </c>
      <c r="L122" s="12" t="str">
        <f aca="false">IF(OR(A122="",K122=0),"",ROUND(J122/K122*100,2))</f>
        <v/>
      </c>
      <c r="M122" s="3" t="str">
        <f aca="false">IF(A122="","",TEXT(A122,"yyyy-mm"))</f>
        <v/>
      </c>
    </row>
    <row r="123" customFormat="false" ht="15" hidden="false" customHeight="false" outlineLevel="0" collapsed="false">
      <c r="A123" s="17"/>
      <c r="B123" s="9"/>
      <c r="C123" s="9"/>
      <c r="D123" s="10" t="str">
        <f aca="false">IF(B123="","",IFERROR(INDEX(Products!$D$5:$D$54,MATCH(B123,Products!$A$5:$A$54,0)),0))</f>
        <v/>
      </c>
      <c r="E123" s="10" t="str">
        <f aca="false">IF(B123="","",IFERROR(INDEX(Products!$C$5:$C$54,MATCH(B123,Products!$A$5:$A$54,0)),0))</f>
        <v/>
      </c>
      <c r="F123" s="10"/>
      <c r="G123" s="10"/>
      <c r="H123" s="10" t="str">
        <f aca="false">IF(A123="","",Settings!$B$5)</f>
        <v/>
      </c>
      <c r="I123" s="11" t="str">
        <f aca="false">IF(A123="","",ROUND(K123*(Settings!$B$2+Settings!$B$3)/100+Settings!$B$4,2))</f>
        <v/>
      </c>
      <c r="J123" s="11" t="str">
        <f aca="false">IF(A123="","",ROUND(K123-E123*C123-H123-G123-I123,2))</f>
        <v/>
      </c>
      <c r="K123" s="11" t="str">
        <f aca="false">IF(A123="","",D123*C123+F123)</f>
        <v/>
      </c>
      <c r="L123" s="12" t="str">
        <f aca="false">IF(OR(A123="",K123=0),"",ROUND(J123/K123*100,2))</f>
        <v/>
      </c>
      <c r="M123" s="3" t="str">
        <f aca="false">IF(A123="","",TEXT(A123,"yyyy-mm"))</f>
        <v/>
      </c>
    </row>
    <row r="124" customFormat="false" ht="15" hidden="false" customHeight="false" outlineLevel="0" collapsed="false">
      <c r="A124" s="17"/>
      <c r="B124" s="9"/>
      <c r="C124" s="9"/>
      <c r="D124" s="10" t="str">
        <f aca="false">IF(B124="","",IFERROR(INDEX(Products!$D$5:$D$54,MATCH(B124,Products!$A$5:$A$54,0)),0))</f>
        <v/>
      </c>
      <c r="E124" s="10" t="str">
        <f aca="false">IF(B124="","",IFERROR(INDEX(Products!$C$5:$C$54,MATCH(B124,Products!$A$5:$A$54,0)),0))</f>
        <v/>
      </c>
      <c r="F124" s="10"/>
      <c r="G124" s="10"/>
      <c r="H124" s="10" t="str">
        <f aca="false">IF(A124="","",Settings!$B$5)</f>
        <v/>
      </c>
      <c r="I124" s="11" t="str">
        <f aca="false">IF(A124="","",ROUND(K124*(Settings!$B$2+Settings!$B$3)/100+Settings!$B$4,2))</f>
        <v/>
      </c>
      <c r="J124" s="11" t="str">
        <f aca="false">IF(A124="","",ROUND(K124-E124*C124-H124-G124-I124,2))</f>
        <v/>
      </c>
      <c r="K124" s="11" t="str">
        <f aca="false">IF(A124="","",D124*C124+F124)</f>
        <v/>
      </c>
      <c r="L124" s="12" t="str">
        <f aca="false">IF(OR(A124="",K124=0),"",ROUND(J124/K124*100,2))</f>
        <v/>
      </c>
      <c r="M124" s="3" t="str">
        <f aca="false">IF(A124="","",TEXT(A124,"yyyy-mm"))</f>
        <v/>
      </c>
    </row>
    <row r="125" customFormat="false" ht="15" hidden="false" customHeight="false" outlineLevel="0" collapsed="false">
      <c r="A125" s="17"/>
      <c r="B125" s="9"/>
      <c r="C125" s="9"/>
      <c r="D125" s="10" t="str">
        <f aca="false">IF(B125="","",IFERROR(INDEX(Products!$D$5:$D$54,MATCH(B125,Products!$A$5:$A$54,0)),0))</f>
        <v/>
      </c>
      <c r="E125" s="10" t="str">
        <f aca="false">IF(B125="","",IFERROR(INDEX(Products!$C$5:$C$54,MATCH(B125,Products!$A$5:$A$54,0)),0))</f>
        <v/>
      </c>
      <c r="F125" s="10"/>
      <c r="G125" s="10"/>
      <c r="H125" s="10" t="str">
        <f aca="false">IF(A125="","",Settings!$B$5)</f>
        <v/>
      </c>
      <c r="I125" s="11" t="str">
        <f aca="false">IF(A125="","",ROUND(K125*(Settings!$B$2+Settings!$B$3)/100+Settings!$B$4,2))</f>
        <v/>
      </c>
      <c r="J125" s="11" t="str">
        <f aca="false">IF(A125="","",ROUND(K125-E125*C125-H125-G125-I125,2))</f>
        <v/>
      </c>
      <c r="K125" s="11" t="str">
        <f aca="false">IF(A125="","",D125*C125+F125)</f>
        <v/>
      </c>
      <c r="L125" s="12" t="str">
        <f aca="false">IF(OR(A125="",K125=0),"",ROUND(J125/K125*100,2))</f>
        <v/>
      </c>
      <c r="M125" s="3" t="str">
        <f aca="false">IF(A125="","",TEXT(A125,"yyyy-mm"))</f>
        <v/>
      </c>
    </row>
    <row r="126" customFormat="false" ht="15" hidden="false" customHeight="false" outlineLevel="0" collapsed="false">
      <c r="A126" s="17"/>
      <c r="B126" s="9"/>
      <c r="C126" s="9"/>
      <c r="D126" s="10" t="str">
        <f aca="false">IF(B126="","",IFERROR(INDEX(Products!$D$5:$D$54,MATCH(B126,Products!$A$5:$A$54,0)),0))</f>
        <v/>
      </c>
      <c r="E126" s="10" t="str">
        <f aca="false">IF(B126="","",IFERROR(INDEX(Products!$C$5:$C$54,MATCH(B126,Products!$A$5:$A$54,0)),0))</f>
        <v/>
      </c>
      <c r="F126" s="10"/>
      <c r="G126" s="10"/>
      <c r="H126" s="10" t="str">
        <f aca="false">IF(A126="","",Settings!$B$5)</f>
        <v/>
      </c>
      <c r="I126" s="11" t="str">
        <f aca="false">IF(A126="","",ROUND(K126*(Settings!$B$2+Settings!$B$3)/100+Settings!$B$4,2))</f>
        <v/>
      </c>
      <c r="J126" s="11" t="str">
        <f aca="false">IF(A126="","",ROUND(K126-E126*C126-H126-G126-I126,2))</f>
        <v/>
      </c>
      <c r="K126" s="11" t="str">
        <f aca="false">IF(A126="","",D126*C126+F126)</f>
        <v/>
      </c>
      <c r="L126" s="12" t="str">
        <f aca="false">IF(OR(A126="",K126=0),"",ROUND(J126/K126*100,2))</f>
        <v/>
      </c>
      <c r="M126" s="3" t="str">
        <f aca="false">IF(A126="","",TEXT(A126,"yyyy-mm"))</f>
        <v/>
      </c>
    </row>
    <row r="127" customFormat="false" ht="15" hidden="false" customHeight="false" outlineLevel="0" collapsed="false">
      <c r="A127" s="17"/>
      <c r="B127" s="9"/>
      <c r="C127" s="9"/>
      <c r="D127" s="10" t="str">
        <f aca="false">IF(B127="","",IFERROR(INDEX(Products!$D$5:$D$54,MATCH(B127,Products!$A$5:$A$54,0)),0))</f>
        <v/>
      </c>
      <c r="E127" s="10" t="str">
        <f aca="false">IF(B127="","",IFERROR(INDEX(Products!$C$5:$C$54,MATCH(B127,Products!$A$5:$A$54,0)),0))</f>
        <v/>
      </c>
      <c r="F127" s="10"/>
      <c r="G127" s="10"/>
      <c r="H127" s="10" t="str">
        <f aca="false">IF(A127="","",Settings!$B$5)</f>
        <v/>
      </c>
      <c r="I127" s="11" t="str">
        <f aca="false">IF(A127="","",ROUND(K127*(Settings!$B$2+Settings!$B$3)/100+Settings!$B$4,2))</f>
        <v/>
      </c>
      <c r="J127" s="11" t="str">
        <f aca="false">IF(A127="","",ROUND(K127-E127*C127-H127-G127-I127,2))</f>
        <v/>
      </c>
      <c r="K127" s="11" t="str">
        <f aca="false">IF(A127="","",D127*C127+F127)</f>
        <v/>
      </c>
      <c r="L127" s="12" t="str">
        <f aca="false">IF(OR(A127="",K127=0),"",ROUND(J127/K127*100,2))</f>
        <v/>
      </c>
      <c r="M127" s="3" t="str">
        <f aca="false">IF(A127="","",TEXT(A127,"yyyy-mm"))</f>
        <v/>
      </c>
    </row>
    <row r="128" customFormat="false" ht="15" hidden="false" customHeight="false" outlineLevel="0" collapsed="false">
      <c r="A128" s="17"/>
      <c r="B128" s="9"/>
      <c r="C128" s="9"/>
      <c r="D128" s="10" t="str">
        <f aca="false">IF(B128="","",IFERROR(INDEX(Products!$D$5:$D$54,MATCH(B128,Products!$A$5:$A$54,0)),0))</f>
        <v/>
      </c>
      <c r="E128" s="10" t="str">
        <f aca="false">IF(B128="","",IFERROR(INDEX(Products!$C$5:$C$54,MATCH(B128,Products!$A$5:$A$54,0)),0))</f>
        <v/>
      </c>
      <c r="F128" s="10"/>
      <c r="G128" s="10"/>
      <c r="H128" s="10" t="str">
        <f aca="false">IF(A128="","",Settings!$B$5)</f>
        <v/>
      </c>
      <c r="I128" s="11" t="str">
        <f aca="false">IF(A128="","",ROUND(K128*(Settings!$B$2+Settings!$B$3)/100+Settings!$B$4,2))</f>
        <v/>
      </c>
      <c r="J128" s="11" t="str">
        <f aca="false">IF(A128="","",ROUND(K128-E128*C128-H128-G128-I128,2))</f>
        <v/>
      </c>
      <c r="K128" s="11" t="str">
        <f aca="false">IF(A128="","",D128*C128+F128)</f>
        <v/>
      </c>
      <c r="L128" s="12" t="str">
        <f aca="false">IF(OR(A128="",K128=0),"",ROUND(J128/K128*100,2))</f>
        <v/>
      </c>
      <c r="M128" s="3" t="str">
        <f aca="false">IF(A128="","",TEXT(A128,"yyyy-mm"))</f>
        <v/>
      </c>
    </row>
    <row r="129" customFormat="false" ht="15" hidden="false" customHeight="false" outlineLevel="0" collapsed="false">
      <c r="A129" s="17"/>
      <c r="B129" s="9"/>
      <c r="C129" s="9"/>
      <c r="D129" s="10" t="str">
        <f aca="false">IF(B129="","",IFERROR(INDEX(Products!$D$5:$D$54,MATCH(B129,Products!$A$5:$A$54,0)),0))</f>
        <v/>
      </c>
      <c r="E129" s="10" t="str">
        <f aca="false">IF(B129="","",IFERROR(INDEX(Products!$C$5:$C$54,MATCH(B129,Products!$A$5:$A$54,0)),0))</f>
        <v/>
      </c>
      <c r="F129" s="10"/>
      <c r="G129" s="10"/>
      <c r="H129" s="10" t="str">
        <f aca="false">IF(A129="","",Settings!$B$5)</f>
        <v/>
      </c>
      <c r="I129" s="11" t="str">
        <f aca="false">IF(A129="","",ROUND(K129*(Settings!$B$2+Settings!$B$3)/100+Settings!$B$4,2))</f>
        <v/>
      </c>
      <c r="J129" s="11" t="str">
        <f aca="false">IF(A129="","",ROUND(K129-E129*C129-H129-G129-I129,2))</f>
        <v/>
      </c>
      <c r="K129" s="11" t="str">
        <f aca="false">IF(A129="","",D129*C129+F129)</f>
        <v/>
      </c>
      <c r="L129" s="12" t="str">
        <f aca="false">IF(OR(A129="",K129=0),"",ROUND(J129/K129*100,2))</f>
        <v/>
      </c>
      <c r="M129" s="3" t="str">
        <f aca="false">IF(A129="","",TEXT(A129,"yyyy-mm"))</f>
        <v/>
      </c>
    </row>
    <row r="130" customFormat="false" ht="15" hidden="false" customHeight="false" outlineLevel="0" collapsed="false">
      <c r="A130" s="17"/>
      <c r="B130" s="9"/>
      <c r="C130" s="9"/>
      <c r="D130" s="10" t="str">
        <f aca="false">IF(B130="","",IFERROR(INDEX(Products!$D$5:$D$54,MATCH(B130,Products!$A$5:$A$54,0)),0))</f>
        <v/>
      </c>
      <c r="E130" s="10" t="str">
        <f aca="false">IF(B130="","",IFERROR(INDEX(Products!$C$5:$C$54,MATCH(B130,Products!$A$5:$A$54,0)),0))</f>
        <v/>
      </c>
      <c r="F130" s="10"/>
      <c r="G130" s="10"/>
      <c r="H130" s="10" t="str">
        <f aca="false">IF(A130="","",Settings!$B$5)</f>
        <v/>
      </c>
      <c r="I130" s="11" t="str">
        <f aca="false">IF(A130="","",ROUND(K130*(Settings!$B$2+Settings!$B$3)/100+Settings!$B$4,2))</f>
        <v/>
      </c>
      <c r="J130" s="11" t="str">
        <f aca="false">IF(A130="","",ROUND(K130-E130*C130-H130-G130-I130,2))</f>
        <v/>
      </c>
      <c r="K130" s="11" t="str">
        <f aca="false">IF(A130="","",D130*C130+F130)</f>
        <v/>
      </c>
      <c r="L130" s="12" t="str">
        <f aca="false">IF(OR(A130="",K130=0),"",ROUND(J130/K130*100,2))</f>
        <v/>
      </c>
      <c r="M130" s="3" t="str">
        <f aca="false">IF(A130="","",TEXT(A130,"yyyy-mm"))</f>
        <v/>
      </c>
    </row>
    <row r="131" customFormat="false" ht="15" hidden="false" customHeight="false" outlineLevel="0" collapsed="false">
      <c r="A131" s="17"/>
      <c r="B131" s="9"/>
      <c r="C131" s="9"/>
      <c r="D131" s="10" t="str">
        <f aca="false">IF(B131="","",IFERROR(INDEX(Products!$D$5:$D$54,MATCH(B131,Products!$A$5:$A$54,0)),0))</f>
        <v/>
      </c>
      <c r="E131" s="10" t="str">
        <f aca="false">IF(B131="","",IFERROR(INDEX(Products!$C$5:$C$54,MATCH(B131,Products!$A$5:$A$54,0)),0))</f>
        <v/>
      </c>
      <c r="F131" s="10"/>
      <c r="G131" s="10"/>
      <c r="H131" s="10" t="str">
        <f aca="false">IF(A131="","",Settings!$B$5)</f>
        <v/>
      </c>
      <c r="I131" s="11" t="str">
        <f aca="false">IF(A131="","",ROUND(K131*(Settings!$B$2+Settings!$B$3)/100+Settings!$B$4,2))</f>
        <v/>
      </c>
      <c r="J131" s="11" t="str">
        <f aca="false">IF(A131="","",ROUND(K131-E131*C131-H131-G131-I131,2))</f>
        <v/>
      </c>
      <c r="K131" s="11" t="str">
        <f aca="false">IF(A131="","",D131*C131+F131)</f>
        <v/>
      </c>
      <c r="L131" s="12" t="str">
        <f aca="false">IF(OR(A131="",K131=0),"",ROUND(J131/K131*100,2))</f>
        <v/>
      </c>
      <c r="M131" s="3" t="str">
        <f aca="false">IF(A131="","",TEXT(A131,"yyyy-mm"))</f>
        <v/>
      </c>
    </row>
    <row r="132" customFormat="false" ht="15" hidden="false" customHeight="false" outlineLevel="0" collapsed="false">
      <c r="A132" s="17"/>
      <c r="B132" s="9"/>
      <c r="C132" s="9"/>
      <c r="D132" s="10" t="str">
        <f aca="false">IF(B132="","",IFERROR(INDEX(Products!$D$5:$D$54,MATCH(B132,Products!$A$5:$A$54,0)),0))</f>
        <v/>
      </c>
      <c r="E132" s="10" t="str">
        <f aca="false">IF(B132="","",IFERROR(INDEX(Products!$C$5:$C$54,MATCH(B132,Products!$A$5:$A$54,0)),0))</f>
        <v/>
      </c>
      <c r="F132" s="10"/>
      <c r="G132" s="10"/>
      <c r="H132" s="10" t="str">
        <f aca="false">IF(A132="","",Settings!$B$5)</f>
        <v/>
      </c>
      <c r="I132" s="11" t="str">
        <f aca="false">IF(A132="","",ROUND(K132*(Settings!$B$2+Settings!$B$3)/100+Settings!$B$4,2))</f>
        <v/>
      </c>
      <c r="J132" s="11" t="str">
        <f aca="false">IF(A132="","",ROUND(K132-E132*C132-H132-G132-I132,2))</f>
        <v/>
      </c>
      <c r="K132" s="11" t="str">
        <f aca="false">IF(A132="","",D132*C132+F132)</f>
        <v/>
      </c>
      <c r="L132" s="12" t="str">
        <f aca="false">IF(OR(A132="",K132=0),"",ROUND(J132/K132*100,2))</f>
        <v/>
      </c>
      <c r="M132" s="3" t="str">
        <f aca="false">IF(A132="","",TEXT(A132,"yyyy-mm"))</f>
        <v/>
      </c>
    </row>
    <row r="133" customFormat="false" ht="15" hidden="false" customHeight="false" outlineLevel="0" collapsed="false">
      <c r="A133" s="17"/>
      <c r="B133" s="9"/>
      <c r="C133" s="9"/>
      <c r="D133" s="10" t="str">
        <f aca="false">IF(B133="","",IFERROR(INDEX(Products!$D$5:$D$54,MATCH(B133,Products!$A$5:$A$54,0)),0))</f>
        <v/>
      </c>
      <c r="E133" s="10" t="str">
        <f aca="false">IF(B133="","",IFERROR(INDEX(Products!$C$5:$C$54,MATCH(B133,Products!$A$5:$A$54,0)),0))</f>
        <v/>
      </c>
      <c r="F133" s="10"/>
      <c r="G133" s="10"/>
      <c r="H133" s="10" t="str">
        <f aca="false">IF(A133="","",Settings!$B$5)</f>
        <v/>
      </c>
      <c r="I133" s="11" t="str">
        <f aca="false">IF(A133="","",ROUND(K133*(Settings!$B$2+Settings!$B$3)/100+Settings!$B$4,2))</f>
        <v/>
      </c>
      <c r="J133" s="11" t="str">
        <f aca="false">IF(A133="","",ROUND(K133-E133*C133-H133-G133-I133,2))</f>
        <v/>
      </c>
      <c r="K133" s="11" t="str">
        <f aca="false">IF(A133="","",D133*C133+F133)</f>
        <v/>
      </c>
      <c r="L133" s="12" t="str">
        <f aca="false">IF(OR(A133="",K133=0),"",ROUND(J133/K133*100,2))</f>
        <v/>
      </c>
      <c r="M133" s="3" t="str">
        <f aca="false">IF(A133="","",TEXT(A133,"yyyy-mm"))</f>
        <v/>
      </c>
    </row>
    <row r="134" customFormat="false" ht="15" hidden="false" customHeight="false" outlineLevel="0" collapsed="false">
      <c r="A134" s="17"/>
      <c r="B134" s="9"/>
      <c r="C134" s="9"/>
      <c r="D134" s="10" t="str">
        <f aca="false">IF(B134="","",IFERROR(INDEX(Products!$D$5:$D$54,MATCH(B134,Products!$A$5:$A$54,0)),0))</f>
        <v/>
      </c>
      <c r="E134" s="10" t="str">
        <f aca="false">IF(B134="","",IFERROR(INDEX(Products!$C$5:$C$54,MATCH(B134,Products!$A$5:$A$54,0)),0))</f>
        <v/>
      </c>
      <c r="F134" s="10"/>
      <c r="G134" s="10"/>
      <c r="H134" s="10" t="str">
        <f aca="false">IF(A134="","",Settings!$B$5)</f>
        <v/>
      </c>
      <c r="I134" s="11" t="str">
        <f aca="false">IF(A134="","",ROUND(K134*(Settings!$B$2+Settings!$B$3)/100+Settings!$B$4,2))</f>
        <v/>
      </c>
      <c r="J134" s="11" t="str">
        <f aca="false">IF(A134="","",ROUND(K134-E134*C134-H134-G134-I134,2))</f>
        <v/>
      </c>
      <c r="K134" s="11" t="str">
        <f aca="false">IF(A134="","",D134*C134+F134)</f>
        <v/>
      </c>
      <c r="L134" s="12" t="str">
        <f aca="false">IF(OR(A134="",K134=0),"",ROUND(J134/K134*100,2))</f>
        <v/>
      </c>
      <c r="M134" s="3" t="str">
        <f aca="false">IF(A134="","",TEXT(A134,"yyyy-mm"))</f>
        <v/>
      </c>
    </row>
    <row r="135" customFormat="false" ht="15" hidden="false" customHeight="false" outlineLevel="0" collapsed="false">
      <c r="A135" s="17"/>
      <c r="B135" s="9"/>
      <c r="C135" s="9"/>
      <c r="D135" s="10" t="str">
        <f aca="false">IF(B135="","",IFERROR(INDEX(Products!$D$5:$D$54,MATCH(B135,Products!$A$5:$A$54,0)),0))</f>
        <v/>
      </c>
      <c r="E135" s="10" t="str">
        <f aca="false">IF(B135="","",IFERROR(INDEX(Products!$C$5:$C$54,MATCH(B135,Products!$A$5:$A$54,0)),0))</f>
        <v/>
      </c>
      <c r="F135" s="10"/>
      <c r="G135" s="10"/>
      <c r="H135" s="10" t="str">
        <f aca="false">IF(A135="","",Settings!$B$5)</f>
        <v/>
      </c>
      <c r="I135" s="11" t="str">
        <f aca="false">IF(A135="","",ROUND(K135*(Settings!$B$2+Settings!$B$3)/100+Settings!$B$4,2))</f>
        <v/>
      </c>
      <c r="J135" s="11" t="str">
        <f aca="false">IF(A135="","",ROUND(K135-E135*C135-H135-G135-I135,2))</f>
        <v/>
      </c>
      <c r="K135" s="11" t="str">
        <f aca="false">IF(A135="","",D135*C135+F135)</f>
        <v/>
      </c>
      <c r="L135" s="12" t="str">
        <f aca="false">IF(OR(A135="",K135=0),"",ROUND(J135/K135*100,2))</f>
        <v/>
      </c>
      <c r="M135" s="3" t="str">
        <f aca="false">IF(A135="","",TEXT(A135,"yyyy-mm"))</f>
        <v/>
      </c>
    </row>
    <row r="136" customFormat="false" ht="15" hidden="false" customHeight="false" outlineLevel="0" collapsed="false">
      <c r="A136" s="17"/>
      <c r="B136" s="9"/>
      <c r="C136" s="9"/>
      <c r="D136" s="10" t="str">
        <f aca="false">IF(B136="","",IFERROR(INDEX(Products!$D$5:$D$54,MATCH(B136,Products!$A$5:$A$54,0)),0))</f>
        <v/>
      </c>
      <c r="E136" s="10" t="str">
        <f aca="false">IF(B136="","",IFERROR(INDEX(Products!$C$5:$C$54,MATCH(B136,Products!$A$5:$A$54,0)),0))</f>
        <v/>
      </c>
      <c r="F136" s="10"/>
      <c r="G136" s="10"/>
      <c r="H136" s="10" t="str">
        <f aca="false">IF(A136="","",Settings!$B$5)</f>
        <v/>
      </c>
      <c r="I136" s="11" t="str">
        <f aca="false">IF(A136="","",ROUND(K136*(Settings!$B$2+Settings!$B$3)/100+Settings!$B$4,2))</f>
        <v/>
      </c>
      <c r="J136" s="11" t="str">
        <f aca="false">IF(A136="","",ROUND(K136-E136*C136-H136-G136-I136,2))</f>
        <v/>
      </c>
      <c r="K136" s="11" t="str">
        <f aca="false">IF(A136="","",D136*C136+F136)</f>
        <v/>
      </c>
      <c r="L136" s="12" t="str">
        <f aca="false">IF(OR(A136="",K136=0),"",ROUND(J136/K136*100,2))</f>
        <v/>
      </c>
      <c r="M136" s="3" t="str">
        <f aca="false">IF(A136="","",TEXT(A136,"yyyy-mm"))</f>
        <v/>
      </c>
    </row>
    <row r="137" customFormat="false" ht="15" hidden="false" customHeight="false" outlineLevel="0" collapsed="false">
      <c r="A137" s="17"/>
      <c r="B137" s="9"/>
      <c r="C137" s="9"/>
      <c r="D137" s="10" t="str">
        <f aca="false">IF(B137="","",IFERROR(INDEX(Products!$D$5:$D$54,MATCH(B137,Products!$A$5:$A$54,0)),0))</f>
        <v/>
      </c>
      <c r="E137" s="10" t="str">
        <f aca="false">IF(B137="","",IFERROR(INDEX(Products!$C$5:$C$54,MATCH(B137,Products!$A$5:$A$54,0)),0))</f>
        <v/>
      </c>
      <c r="F137" s="10"/>
      <c r="G137" s="10"/>
      <c r="H137" s="10" t="str">
        <f aca="false">IF(A137="","",Settings!$B$5)</f>
        <v/>
      </c>
      <c r="I137" s="11" t="str">
        <f aca="false">IF(A137="","",ROUND(K137*(Settings!$B$2+Settings!$B$3)/100+Settings!$B$4,2))</f>
        <v/>
      </c>
      <c r="J137" s="11" t="str">
        <f aca="false">IF(A137="","",ROUND(K137-E137*C137-H137-G137-I137,2))</f>
        <v/>
      </c>
      <c r="K137" s="11" t="str">
        <f aca="false">IF(A137="","",D137*C137+F137)</f>
        <v/>
      </c>
      <c r="L137" s="12" t="str">
        <f aca="false">IF(OR(A137="",K137=0),"",ROUND(J137/K137*100,2))</f>
        <v/>
      </c>
      <c r="M137" s="3" t="str">
        <f aca="false">IF(A137="","",TEXT(A137,"yyyy-mm"))</f>
        <v/>
      </c>
    </row>
    <row r="138" customFormat="false" ht="15" hidden="false" customHeight="false" outlineLevel="0" collapsed="false">
      <c r="A138" s="17"/>
      <c r="B138" s="9"/>
      <c r="C138" s="9"/>
      <c r="D138" s="10" t="str">
        <f aca="false">IF(B138="","",IFERROR(INDEX(Products!$D$5:$D$54,MATCH(B138,Products!$A$5:$A$54,0)),0))</f>
        <v/>
      </c>
      <c r="E138" s="10" t="str">
        <f aca="false">IF(B138="","",IFERROR(INDEX(Products!$C$5:$C$54,MATCH(B138,Products!$A$5:$A$54,0)),0))</f>
        <v/>
      </c>
      <c r="F138" s="10"/>
      <c r="G138" s="10"/>
      <c r="H138" s="10" t="str">
        <f aca="false">IF(A138="","",Settings!$B$5)</f>
        <v/>
      </c>
      <c r="I138" s="11" t="str">
        <f aca="false">IF(A138="","",ROUND(K138*(Settings!$B$2+Settings!$B$3)/100+Settings!$B$4,2))</f>
        <v/>
      </c>
      <c r="J138" s="11" t="str">
        <f aca="false">IF(A138="","",ROUND(K138-E138*C138-H138-G138-I138,2))</f>
        <v/>
      </c>
      <c r="K138" s="11" t="str">
        <f aca="false">IF(A138="","",D138*C138+F138)</f>
        <v/>
      </c>
      <c r="L138" s="12" t="str">
        <f aca="false">IF(OR(A138="",K138=0),"",ROUND(J138/K138*100,2))</f>
        <v/>
      </c>
      <c r="M138" s="3" t="str">
        <f aca="false">IF(A138="","",TEXT(A138,"yyyy-mm"))</f>
        <v/>
      </c>
    </row>
    <row r="139" customFormat="false" ht="15" hidden="false" customHeight="false" outlineLevel="0" collapsed="false">
      <c r="A139" s="17"/>
      <c r="B139" s="9"/>
      <c r="C139" s="9"/>
      <c r="D139" s="10" t="str">
        <f aca="false">IF(B139="","",IFERROR(INDEX(Products!$D$5:$D$54,MATCH(B139,Products!$A$5:$A$54,0)),0))</f>
        <v/>
      </c>
      <c r="E139" s="10" t="str">
        <f aca="false">IF(B139="","",IFERROR(INDEX(Products!$C$5:$C$54,MATCH(B139,Products!$A$5:$A$54,0)),0))</f>
        <v/>
      </c>
      <c r="F139" s="10"/>
      <c r="G139" s="10"/>
      <c r="H139" s="10" t="str">
        <f aca="false">IF(A139="","",Settings!$B$5)</f>
        <v/>
      </c>
      <c r="I139" s="11" t="str">
        <f aca="false">IF(A139="","",ROUND(K139*(Settings!$B$2+Settings!$B$3)/100+Settings!$B$4,2))</f>
        <v/>
      </c>
      <c r="J139" s="11" t="str">
        <f aca="false">IF(A139="","",ROUND(K139-E139*C139-H139-G139-I139,2))</f>
        <v/>
      </c>
      <c r="K139" s="11" t="str">
        <f aca="false">IF(A139="","",D139*C139+F139)</f>
        <v/>
      </c>
      <c r="L139" s="12" t="str">
        <f aca="false">IF(OR(A139="",K139=0),"",ROUND(J139/K139*100,2))</f>
        <v/>
      </c>
      <c r="M139" s="3" t="str">
        <f aca="false">IF(A139="","",TEXT(A139,"yyyy-mm"))</f>
        <v/>
      </c>
    </row>
    <row r="140" customFormat="false" ht="15" hidden="false" customHeight="false" outlineLevel="0" collapsed="false">
      <c r="A140" s="17"/>
      <c r="B140" s="9"/>
      <c r="C140" s="9"/>
      <c r="D140" s="10" t="str">
        <f aca="false">IF(B140="","",IFERROR(INDEX(Products!$D$5:$D$54,MATCH(B140,Products!$A$5:$A$54,0)),0))</f>
        <v/>
      </c>
      <c r="E140" s="10" t="str">
        <f aca="false">IF(B140="","",IFERROR(INDEX(Products!$C$5:$C$54,MATCH(B140,Products!$A$5:$A$54,0)),0))</f>
        <v/>
      </c>
      <c r="F140" s="10"/>
      <c r="G140" s="10"/>
      <c r="H140" s="10" t="str">
        <f aca="false">IF(A140="","",Settings!$B$5)</f>
        <v/>
      </c>
      <c r="I140" s="11" t="str">
        <f aca="false">IF(A140="","",ROUND(K140*(Settings!$B$2+Settings!$B$3)/100+Settings!$B$4,2))</f>
        <v/>
      </c>
      <c r="J140" s="11" t="str">
        <f aca="false">IF(A140="","",ROUND(K140-E140*C140-H140-G140-I140,2))</f>
        <v/>
      </c>
      <c r="K140" s="11" t="str">
        <f aca="false">IF(A140="","",D140*C140+F140)</f>
        <v/>
      </c>
      <c r="L140" s="12" t="str">
        <f aca="false">IF(OR(A140="",K140=0),"",ROUND(J140/K140*100,2))</f>
        <v/>
      </c>
      <c r="M140" s="3" t="str">
        <f aca="false">IF(A140="","",TEXT(A140,"yyyy-mm"))</f>
        <v/>
      </c>
    </row>
    <row r="141" customFormat="false" ht="15" hidden="false" customHeight="false" outlineLevel="0" collapsed="false">
      <c r="A141" s="17"/>
      <c r="B141" s="9"/>
      <c r="C141" s="9"/>
      <c r="D141" s="10" t="str">
        <f aca="false">IF(B141="","",IFERROR(INDEX(Products!$D$5:$D$54,MATCH(B141,Products!$A$5:$A$54,0)),0))</f>
        <v/>
      </c>
      <c r="E141" s="10" t="str">
        <f aca="false">IF(B141="","",IFERROR(INDEX(Products!$C$5:$C$54,MATCH(B141,Products!$A$5:$A$54,0)),0))</f>
        <v/>
      </c>
      <c r="F141" s="10"/>
      <c r="G141" s="10"/>
      <c r="H141" s="10" t="str">
        <f aca="false">IF(A141="","",Settings!$B$5)</f>
        <v/>
      </c>
      <c r="I141" s="11" t="str">
        <f aca="false">IF(A141="","",ROUND(K141*(Settings!$B$2+Settings!$B$3)/100+Settings!$B$4,2))</f>
        <v/>
      </c>
      <c r="J141" s="11" t="str">
        <f aca="false">IF(A141="","",ROUND(K141-E141*C141-H141-G141-I141,2))</f>
        <v/>
      </c>
      <c r="K141" s="11" t="str">
        <f aca="false">IF(A141="","",D141*C141+F141)</f>
        <v/>
      </c>
      <c r="L141" s="12" t="str">
        <f aca="false">IF(OR(A141="",K141=0),"",ROUND(J141/K141*100,2))</f>
        <v/>
      </c>
      <c r="M141" s="3" t="str">
        <f aca="false">IF(A141="","",TEXT(A141,"yyyy-mm"))</f>
        <v/>
      </c>
    </row>
    <row r="142" customFormat="false" ht="15" hidden="false" customHeight="false" outlineLevel="0" collapsed="false">
      <c r="A142" s="17"/>
      <c r="B142" s="9"/>
      <c r="C142" s="9"/>
      <c r="D142" s="10" t="str">
        <f aca="false">IF(B142="","",IFERROR(INDEX(Products!$D$5:$D$54,MATCH(B142,Products!$A$5:$A$54,0)),0))</f>
        <v/>
      </c>
      <c r="E142" s="10" t="str">
        <f aca="false">IF(B142="","",IFERROR(INDEX(Products!$C$5:$C$54,MATCH(B142,Products!$A$5:$A$54,0)),0))</f>
        <v/>
      </c>
      <c r="F142" s="10"/>
      <c r="G142" s="10"/>
      <c r="H142" s="10" t="str">
        <f aca="false">IF(A142="","",Settings!$B$5)</f>
        <v/>
      </c>
      <c r="I142" s="11" t="str">
        <f aca="false">IF(A142="","",ROUND(K142*(Settings!$B$2+Settings!$B$3)/100+Settings!$B$4,2))</f>
        <v/>
      </c>
      <c r="J142" s="11" t="str">
        <f aca="false">IF(A142="","",ROUND(K142-E142*C142-H142-G142-I142,2))</f>
        <v/>
      </c>
      <c r="K142" s="11" t="str">
        <f aca="false">IF(A142="","",D142*C142+F142)</f>
        <v/>
      </c>
      <c r="L142" s="12" t="str">
        <f aca="false">IF(OR(A142="",K142=0),"",ROUND(J142/K142*100,2))</f>
        <v/>
      </c>
      <c r="M142" s="3" t="str">
        <f aca="false">IF(A142="","",TEXT(A142,"yyyy-mm"))</f>
        <v/>
      </c>
    </row>
    <row r="143" customFormat="false" ht="15" hidden="false" customHeight="false" outlineLevel="0" collapsed="false">
      <c r="A143" s="17"/>
      <c r="B143" s="9"/>
      <c r="C143" s="9"/>
      <c r="D143" s="10" t="str">
        <f aca="false">IF(B143="","",IFERROR(INDEX(Products!$D$5:$D$54,MATCH(B143,Products!$A$5:$A$54,0)),0))</f>
        <v/>
      </c>
      <c r="E143" s="10" t="str">
        <f aca="false">IF(B143="","",IFERROR(INDEX(Products!$C$5:$C$54,MATCH(B143,Products!$A$5:$A$54,0)),0))</f>
        <v/>
      </c>
      <c r="F143" s="10"/>
      <c r="G143" s="10"/>
      <c r="H143" s="10" t="str">
        <f aca="false">IF(A143="","",Settings!$B$5)</f>
        <v/>
      </c>
      <c r="I143" s="11" t="str">
        <f aca="false">IF(A143="","",ROUND(K143*(Settings!$B$2+Settings!$B$3)/100+Settings!$B$4,2))</f>
        <v/>
      </c>
      <c r="J143" s="11" t="str">
        <f aca="false">IF(A143="","",ROUND(K143-E143*C143-H143-G143-I143,2))</f>
        <v/>
      </c>
      <c r="K143" s="11" t="str">
        <f aca="false">IF(A143="","",D143*C143+F143)</f>
        <v/>
      </c>
      <c r="L143" s="12" t="str">
        <f aca="false">IF(OR(A143="",K143=0),"",ROUND(J143/K143*100,2))</f>
        <v/>
      </c>
      <c r="M143" s="3" t="str">
        <f aca="false">IF(A143="","",TEXT(A143,"yyyy-mm"))</f>
        <v/>
      </c>
    </row>
    <row r="144" customFormat="false" ht="15" hidden="false" customHeight="false" outlineLevel="0" collapsed="false">
      <c r="A144" s="17"/>
      <c r="B144" s="9"/>
      <c r="C144" s="9"/>
      <c r="D144" s="10" t="str">
        <f aca="false">IF(B144="","",IFERROR(INDEX(Products!$D$5:$D$54,MATCH(B144,Products!$A$5:$A$54,0)),0))</f>
        <v/>
      </c>
      <c r="E144" s="10" t="str">
        <f aca="false">IF(B144="","",IFERROR(INDEX(Products!$C$5:$C$54,MATCH(B144,Products!$A$5:$A$54,0)),0))</f>
        <v/>
      </c>
      <c r="F144" s="10"/>
      <c r="G144" s="10"/>
      <c r="H144" s="10" t="str">
        <f aca="false">IF(A144="","",Settings!$B$5)</f>
        <v/>
      </c>
      <c r="I144" s="11" t="str">
        <f aca="false">IF(A144="","",ROUND(K144*(Settings!$B$2+Settings!$B$3)/100+Settings!$B$4,2))</f>
        <v/>
      </c>
      <c r="J144" s="11" t="str">
        <f aca="false">IF(A144="","",ROUND(K144-E144*C144-H144-G144-I144,2))</f>
        <v/>
      </c>
      <c r="K144" s="11" t="str">
        <f aca="false">IF(A144="","",D144*C144+F144)</f>
        <v/>
      </c>
      <c r="L144" s="12" t="str">
        <f aca="false">IF(OR(A144="",K144=0),"",ROUND(J144/K144*100,2))</f>
        <v/>
      </c>
      <c r="M144" s="3" t="str">
        <f aca="false">IF(A144="","",TEXT(A144,"yyyy-mm"))</f>
        <v/>
      </c>
    </row>
    <row r="145" customFormat="false" ht="15" hidden="false" customHeight="false" outlineLevel="0" collapsed="false">
      <c r="A145" s="17"/>
      <c r="B145" s="9"/>
      <c r="C145" s="9"/>
      <c r="D145" s="10" t="str">
        <f aca="false">IF(B145="","",IFERROR(INDEX(Products!$D$5:$D$54,MATCH(B145,Products!$A$5:$A$54,0)),0))</f>
        <v/>
      </c>
      <c r="E145" s="10" t="str">
        <f aca="false">IF(B145="","",IFERROR(INDEX(Products!$C$5:$C$54,MATCH(B145,Products!$A$5:$A$54,0)),0))</f>
        <v/>
      </c>
      <c r="F145" s="10"/>
      <c r="G145" s="10"/>
      <c r="H145" s="10" t="str">
        <f aca="false">IF(A145="","",Settings!$B$5)</f>
        <v/>
      </c>
      <c r="I145" s="11" t="str">
        <f aca="false">IF(A145="","",ROUND(K145*(Settings!$B$2+Settings!$B$3)/100+Settings!$B$4,2))</f>
        <v/>
      </c>
      <c r="J145" s="11" t="str">
        <f aca="false">IF(A145="","",ROUND(K145-E145*C145-H145-G145-I145,2))</f>
        <v/>
      </c>
      <c r="K145" s="11" t="str">
        <f aca="false">IF(A145="","",D145*C145+F145)</f>
        <v/>
      </c>
      <c r="L145" s="12" t="str">
        <f aca="false">IF(OR(A145="",K145=0),"",ROUND(J145/K145*100,2))</f>
        <v/>
      </c>
      <c r="M145" s="3" t="str">
        <f aca="false">IF(A145="","",TEXT(A145,"yyyy-mm"))</f>
        <v/>
      </c>
    </row>
    <row r="146" customFormat="false" ht="15" hidden="false" customHeight="false" outlineLevel="0" collapsed="false">
      <c r="A146" s="17"/>
      <c r="B146" s="9"/>
      <c r="C146" s="9"/>
      <c r="D146" s="10" t="str">
        <f aca="false">IF(B146="","",IFERROR(INDEX(Products!$D$5:$D$54,MATCH(B146,Products!$A$5:$A$54,0)),0))</f>
        <v/>
      </c>
      <c r="E146" s="10" t="str">
        <f aca="false">IF(B146="","",IFERROR(INDEX(Products!$C$5:$C$54,MATCH(B146,Products!$A$5:$A$54,0)),0))</f>
        <v/>
      </c>
      <c r="F146" s="10"/>
      <c r="G146" s="10"/>
      <c r="H146" s="10" t="str">
        <f aca="false">IF(A146="","",Settings!$B$5)</f>
        <v/>
      </c>
      <c r="I146" s="11" t="str">
        <f aca="false">IF(A146="","",ROUND(K146*(Settings!$B$2+Settings!$B$3)/100+Settings!$B$4,2))</f>
        <v/>
      </c>
      <c r="J146" s="11" t="str">
        <f aca="false">IF(A146="","",ROUND(K146-E146*C146-H146-G146-I146,2))</f>
        <v/>
      </c>
      <c r="K146" s="11" t="str">
        <f aca="false">IF(A146="","",D146*C146+F146)</f>
        <v/>
      </c>
      <c r="L146" s="12" t="str">
        <f aca="false">IF(OR(A146="",K146=0),"",ROUND(J146/K146*100,2))</f>
        <v/>
      </c>
      <c r="M146" s="3" t="str">
        <f aca="false">IF(A146="","",TEXT(A146,"yyyy-mm"))</f>
        <v/>
      </c>
    </row>
    <row r="147" customFormat="false" ht="15" hidden="false" customHeight="false" outlineLevel="0" collapsed="false">
      <c r="A147" s="17"/>
      <c r="B147" s="9"/>
      <c r="C147" s="9"/>
      <c r="D147" s="10" t="str">
        <f aca="false">IF(B147="","",IFERROR(INDEX(Products!$D$5:$D$54,MATCH(B147,Products!$A$5:$A$54,0)),0))</f>
        <v/>
      </c>
      <c r="E147" s="10" t="str">
        <f aca="false">IF(B147="","",IFERROR(INDEX(Products!$C$5:$C$54,MATCH(B147,Products!$A$5:$A$54,0)),0))</f>
        <v/>
      </c>
      <c r="F147" s="10"/>
      <c r="G147" s="10"/>
      <c r="H147" s="10" t="str">
        <f aca="false">IF(A147="","",Settings!$B$5)</f>
        <v/>
      </c>
      <c r="I147" s="11" t="str">
        <f aca="false">IF(A147="","",ROUND(K147*(Settings!$B$2+Settings!$B$3)/100+Settings!$B$4,2))</f>
        <v/>
      </c>
      <c r="J147" s="11" t="str">
        <f aca="false">IF(A147="","",ROUND(K147-E147*C147-H147-G147-I147,2))</f>
        <v/>
      </c>
      <c r="K147" s="11" t="str">
        <f aca="false">IF(A147="","",D147*C147+F147)</f>
        <v/>
      </c>
      <c r="L147" s="12" t="str">
        <f aca="false">IF(OR(A147="",K147=0),"",ROUND(J147/K147*100,2))</f>
        <v/>
      </c>
      <c r="M147" s="3" t="str">
        <f aca="false">IF(A147="","",TEXT(A147,"yyyy-mm"))</f>
        <v/>
      </c>
    </row>
    <row r="148" customFormat="false" ht="15" hidden="false" customHeight="false" outlineLevel="0" collapsed="false">
      <c r="A148" s="17"/>
      <c r="B148" s="9"/>
      <c r="C148" s="9"/>
      <c r="D148" s="10" t="str">
        <f aca="false">IF(B148="","",IFERROR(INDEX(Products!$D$5:$D$54,MATCH(B148,Products!$A$5:$A$54,0)),0))</f>
        <v/>
      </c>
      <c r="E148" s="10" t="str">
        <f aca="false">IF(B148="","",IFERROR(INDEX(Products!$C$5:$C$54,MATCH(B148,Products!$A$5:$A$54,0)),0))</f>
        <v/>
      </c>
      <c r="F148" s="10"/>
      <c r="G148" s="10"/>
      <c r="H148" s="10" t="str">
        <f aca="false">IF(A148="","",Settings!$B$5)</f>
        <v/>
      </c>
      <c r="I148" s="11" t="str">
        <f aca="false">IF(A148="","",ROUND(K148*(Settings!$B$2+Settings!$B$3)/100+Settings!$B$4,2))</f>
        <v/>
      </c>
      <c r="J148" s="11" t="str">
        <f aca="false">IF(A148="","",ROUND(K148-E148*C148-H148-G148-I148,2))</f>
        <v/>
      </c>
      <c r="K148" s="11" t="str">
        <f aca="false">IF(A148="","",D148*C148+F148)</f>
        <v/>
      </c>
      <c r="L148" s="12" t="str">
        <f aca="false">IF(OR(A148="",K148=0),"",ROUND(J148/K148*100,2))</f>
        <v/>
      </c>
      <c r="M148" s="3" t="str">
        <f aca="false">IF(A148="","",TEXT(A148,"yyyy-mm"))</f>
        <v/>
      </c>
    </row>
    <row r="149" customFormat="false" ht="15" hidden="false" customHeight="false" outlineLevel="0" collapsed="false">
      <c r="A149" s="17"/>
      <c r="B149" s="9"/>
      <c r="C149" s="9"/>
      <c r="D149" s="10" t="str">
        <f aca="false">IF(B149="","",IFERROR(INDEX(Products!$D$5:$D$54,MATCH(B149,Products!$A$5:$A$54,0)),0))</f>
        <v/>
      </c>
      <c r="E149" s="10" t="str">
        <f aca="false">IF(B149="","",IFERROR(INDEX(Products!$C$5:$C$54,MATCH(B149,Products!$A$5:$A$54,0)),0))</f>
        <v/>
      </c>
      <c r="F149" s="10"/>
      <c r="G149" s="10"/>
      <c r="H149" s="10" t="str">
        <f aca="false">IF(A149="","",Settings!$B$5)</f>
        <v/>
      </c>
      <c r="I149" s="11" t="str">
        <f aca="false">IF(A149="","",ROUND(K149*(Settings!$B$2+Settings!$B$3)/100+Settings!$B$4,2))</f>
        <v/>
      </c>
      <c r="J149" s="11" t="str">
        <f aca="false">IF(A149="","",ROUND(K149-E149*C149-H149-G149-I149,2))</f>
        <v/>
      </c>
      <c r="K149" s="11" t="str">
        <f aca="false">IF(A149="","",D149*C149+F149)</f>
        <v/>
      </c>
      <c r="L149" s="12" t="str">
        <f aca="false">IF(OR(A149="",K149=0),"",ROUND(J149/K149*100,2))</f>
        <v/>
      </c>
      <c r="M149" s="3" t="str">
        <f aca="false">IF(A149="","",TEXT(A149,"yyyy-mm"))</f>
        <v/>
      </c>
    </row>
    <row r="150" customFormat="false" ht="15" hidden="false" customHeight="false" outlineLevel="0" collapsed="false">
      <c r="A150" s="17"/>
      <c r="B150" s="9"/>
      <c r="C150" s="9"/>
      <c r="D150" s="10" t="str">
        <f aca="false">IF(B150="","",IFERROR(INDEX(Products!$D$5:$D$54,MATCH(B150,Products!$A$5:$A$54,0)),0))</f>
        <v/>
      </c>
      <c r="E150" s="10" t="str">
        <f aca="false">IF(B150="","",IFERROR(INDEX(Products!$C$5:$C$54,MATCH(B150,Products!$A$5:$A$54,0)),0))</f>
        <v/>
      </c>
      <c r="F150" s="10"/>
      <c r="G150" s="10"/>
      <c r="H150" s="10" t="str">
        <f aca="false">IF(A150="","",Settings!$B$5)</f>
        <v/>
      </c>
      <c r="I150" s="11" t="str">
        <f aca="false">IF(A150="","",ROUND(K150*(Settings!$B$2+Settings!$B$3)/100+Settings!$B$4,2))</f>
        <v/>
      </c>
      <c r="J150" s="11" t="str">
        <f aca="false">IF(A150="","",ROUND(K150-E150*C150-H150-G150-I150,2))</f>
        <v/>
      </c>
      <c r="K150" s="11" t="str">
        <f aca="false">IF(A150="","",D150*C150+F150)</f>
        <v/>
      </c>
      <c r="L150" s="12" t="str">
        <f aca="false">IF(OR(A150="",K150=0),"",ROUND(J150/K150*100,2))</f>
        <v/>
      </c>
      <c r="M150" s="3" t="str">
        <f aca="false">IF(A150="","",TEXT(A150,"yyyy-mm"))</f>
        <v/>
      </c>
    </row>
    <row r="151" customFormat="false" ht="15" hidden="false" customHeight="false" outlineLevel="0" collapsed="false">
      <c r="A151" s="17"/>
      <c r="B151" s="9"/>
      <c r="C151" s="9"/>
      <c r="D151" s="10" t="str">
        <f aca="false">IF(B151="","",IFERROR(INDEX(Products!$D$5:$D$54,MATCH(B151,Products!$A$5:$A$54,0)),0))</f>
        <v/>
      </c>
      <c r="E151" s="10" t="str">
        <f aca="false">IF(B151="","",IFERROR(INDEX(Products!$C$5:$C$54,MATCH(B151,Products!$A$5:$A$54,0)),0))</f>
        <v/>
      </c>
      <c r="F151" s="10"/>
      <c r="G151" s="10"/>
      <c r="H151" s="10" t="str">
        <f aca="false">IF(A151="","",Settings!$B$5)</f>
        <v/>
      </c>
      <c r="I151" s="11" t="str">
        <f aca="false">IF(A151="","",ROUND(K151*(Settings!$B$2+Settings!$B$3)/100+Settings!$B$4,2))</f>
        <v/>
      </c>
      <c r="J151" s="11" t="str">
        <f aca="false">IF(A151="","",ROUND(K151-E151*C151-H151-G151-I151,2))</f>
        <v/>
      </c>
      <c r="K151" s="11" t="str">
        <f aca="false">IF(A151="","",D151*C151+F151)</f>
        <v/>
      </c>
      <c r="L151" s="12" t="str">
        <f aca="false">IF(OR(A151="",K151=0),"",ROUND(J151/K151*100,2))</f>
        <v/>
      </c>
      <c r="M151" s="3" t="str">
        <f aca="false">IF(A151="","",TEXT(A151,"yyyy-mm"))</f>
        <v/>
      </c>
    </row>
    <row r="152" customFormat="false" ht="15" hidden="false" customHeight="false" outlineLevel="0" collapsed="false">
      <c r="A152" s="17"/>
      <c r="B152" s="9"/>
      <c r="C152" s="9"/>
      <c r="D152" s="10" t="str">
        <f aca="false">IF(B152="","",IFERROR(INDEX(Products!$D$5:$D$54,MATCH(B152,Products!$A$5:$A$54,0)),0))</f>
        <v/>
      </c>
      <c r="E152" s="10" t="str">
        <f aca="false">IF(B152="","",IFERROR(INDEX(Products!$C$5:$C$54,MATCH(B152,Products!$A$5:$A$54,0)),0))</f>
        <v/>
      </c>
      <c r="F152" s="10"/>
      <c r="G152" s="10"/>
      <c r="H152" s="10" t="str">
        <f aca="false">IF(A152="","",Settings!$B$5)</f>
        <v/>
      </c>
      <c r="I152" s="11" t="str">
        <f aca="false">IF(A152="","",ROUND(K152*(Settings!$B$2+Settings!$B$3)/100+Settings!$B$4,2))</f>
        <v/>
      </c>
      <c r="J152" s="11" t="str">
        <f aca="false">IF(A152="","",ROUND(K152-E152*C152-H152-G152-I152,2))</f>
        <v/>
      </c>
      <c r="K152" s="11" t="str">
        <f aca="false">IF(A152="","",D152*C152+F152)</f>
        <v/>
      </c>
      <c r="L152" s="12" t="str">
        <f aca="false">IF(OR(A152="",K152=0),"",ROUND(J152/K152*100,2))</f>
        <v/>
      </c>
      <c r="M152" s="3" t="str">
        <f aca="false">IF(A152="","",TEXT(A152,"yyyy-mm"))</f>
        <v/>
      </c>
    </row>
    <row r="153" customFormat="false" ht="15" hidden="false" customHeight="false" outlineLevel="0" collapsed="false">
      <c r="A153" s="17"/>
      <c r="B153" s="9"/>
      <c r="C153" s="9"/>
      <c r="D153" s="10" t="str">
        <f aca="false">IF(B153="","",IFERROR(INDEX(Products!$D$5:$D$54,MATCH(B153,Products!$A$5:$A$54,0)),0))</f>
        <v/>
      </c>
      <c r="E153" s="10" t="str">
        <f aca="false">IF(B153="","",IFERROR(INDEX(Products!$C$5:$C$54,MATCH(B153,Products!$A$5:$A$54,0)),0))</f>
        <v/>
      </c>
      <c r="F153" s="10"/>
      <c r="G153" s="10"/>
      <c r="H153" s="10" t="str">
        <f aca="false">IF(A153="","",Settings!$B$5)</f>
        <v/>
      </c>
      <c r="I153" s="11" t="str">
        <f aca="false">IF(A153="","",ROUND(K153*(Settings!$B$2+Settings!$B$3)/100+Settings!$B$4,2))</f>
        <v/>
      </c>
      <c r="J153" s="11" t="str">
        <f aca="false">IF(A153="","",ROUND(K153-E153*C153-H153-G153-I153,2))</f>
        <v/>
      </c>
      <c r="K153" s="11" t="str">
        <f aca="false">IF(A153="","",D153*C153+F153)</f>
        <v/>
      </c>
      <c r="L153" s="12" t="str">
        <f aca="false">IF(OR(A153="",K153=0),"",ROUND(J153/K153*100,2))</f>
        <v/>
      </c>
      <c r="M153" s="3" t="str">
        <f aca="false">IF(A153="","",TEXT(A153,"yyyy-mm"))</f>
        <v/>
      </c>
    </row>
    <row r="154" customFormat="false" ht="15" hidden="false" customHeight="false" outlineLevel="0" collapsed="false">
      <c r="A154" s="17"/>
      <c r="B154" s="9"/>
      <c r="C154" s="9"/>
      <c r="D154" s="10" t="str">
        <f aca="false">IF(B154="","",IFERROR(INDEX(Products!$D$5:$D$54,MATCH(B154,Products!$A$5:$A$54,0)),0))</f>
        <v/>
      </c>
      <c r="E154" s="10" t="str">
        <f aca="false">IF(B154="","",IFERROR(INDEX(Products!$C$5:$C$54,MATCH(B154,Products!$A$5:$A$54,0)),0))</f>
        <v/>
      </c>
      <c r="F154" s="10"/>
      <c r="G154" s="10"/>
      <c r="H154" s="10" t="str">
        <f aca="false">IF(A154="","",Settings!$B$5)</f>
        <v/>
      </c>
      <c r="I154" s="11" t="str">
        <f aca="false">IF(A154="","",ROUND(K154*(Settings!$B$2+Settings!$B$3)/100+Settings!$B$4,2))</f>
        <v/>
      </c>
      <c r="J154" s="11" t="str">
        <f aca="false">IF(A154="","",ROUND(K154-E154*C154-H154-G154-I154,2))</f>
        <v/>
      </c>
      <c r="K154" s="11" t="str">
        <f aca="false">IF(A154="","",D154*C154+F154)</f>
        <v/>
      </c>
      <c r="L154" s="12" t="str">
        <f aca="false">IF(OR(A154="",K154=0),"",ROUND(J154/K154*100,2))</f>
        <v/>
      </c>
      <c r="M154" s="3" t="str">
        <f aca="false">IF(A154="","",TEXT(A154,"yyyy-mm"))</f>
        <v/>
      </c>
    </row>
    <row r="155" customFormat="false" ht="15" hidden="false" customHeight="false" outlineLevel="0" collapsed="false">
      <c r="A155" s="17"/>
      <c r="B155" s="9"/>
      <c r="C155" s="9"/>
      <c r="D155" s="10" t="str">
        <f aca="false">IF(B155="","",IFERROR(INDEX(Products!$D$5:$D$54,MATCH(B155,Products!$A$5:$A$54,0)),0))</f>
        <v/>
      </c>
      <c r="E155" s="10" t="str">
        <f aca="false">IF(B155="","",IFERROR(INDEX(Products!$C$5:$C$54,MATCH(B155,Products!$A$5:$A$54,0)),0))</f>
        <v/>
      </c>
      <c r="F155" s="10"/>
      <c r="G155" s="10"/>
      <c r="H155" s="10" t="str">
        <f aca="false">IF(A155="","",Settings!$B$5)</f>
        <v/>
      </c>
      <c r="I155" s="11" t="str">
        <f aca="false">IF(A155="","",ROUND(K155*(Settings!$B$2+Settings!$B$3)/100+Settings!$B$4,2))</f>
        <v/>
      </c>
      <c r="J155" s="11" t="str">
        <f aca="false">IF(A155="","",ROUND(K155-E155*C155-H155-G155-I155,2))</f>
        <v/>
      </c>
      <c r="K155" s="11" t="str">
        <f aca="false">IF(A155="","",D155*C155+F155)</f>
        <v/>
      </c>
      <c r="L155" s="12" t="str">
        <f aca="false">IF(OR(A155="",K155=0),"",ROUND(J155/K155*100,2))</f>
        <v/>
      </c>
      <c r="M155" s="3" t="str">
        <f aca="false">IF(A155="","",TEXT(A155,"yyyy-mm"))</f>
        <v/>
      </c>
    </row>
    <row r="156" customFormat="false" ht="15" hidden="false" customHeight="false" outlineLevel="0" collapsed="false">
      <c r="A156" s="17"/>
      <c r="B156" s="9"/>
      <c r="C156" s="9"/>
      <c r="D156" s="10" t="str">
        <f aca="false">IF(B156="","",IFERROR(INDEX(Products!$D$5:$D$54,MATCH(B156,Products!$A$5:$A$54,0)),0))</f>
        <v/>
      </c>
      <c r="E156" s="10" t="str">
        <f aca="false">IF(B156="","",IFERROR(INDEX(Products!$C$5:$C$54,MATCH(B156,Products!$A$5:$A$54,0)),0))</f>
        <v/>
      </c>
      <c r="F156" s="10"/>
      <c r="G156" s="10"/>
      <c r="H156" s="10" t="str">
        <f aca="false">IF(A156="","",Settings!$B$5)</f>
        <v/>
      </c>
      <c r="I156" s="11" t="str">
        <f aca="false">IF(A156="","",ROUND(K156*(Settings!$B$2+Settings!$B$3)/100+Settings!$B$4,2))</f>
        <v/>
      </c>
      <c r="J156" s="11" t="str">
        <f aca="false">IF(A156="","",ROUND(K156-E156*C156-H156-G156-I156,2))</f>
        <v/>
      </c>
      <c r="K156" s="11" t="str">
        <f aca="false">IF(A156="","",D156*C156+F156)</f>
        <v/>
      </c>
      <c r="L156" s="12" t="str">
        <f aca="false">IF(OR(A156="",K156=0),"",ROUND(J156/K156*100,2))</f>
        <v/>
      </c>
      <c r="M156" s="3" t="str">
        <f aca="false">IF(A156="","",TEXT(A156,"yyyy-mm"))</f>
        <v/>
      </c>
    </row>
    <row r="157" customFormat="false" ht="15" hidden="false" customHeight="false" outlineLevel="0" collapsed="false">
      <c r="A157" s="17"/>
      <c r="B157" s="9"/>
      <c r="C157" s="9"/>
      <c r="D157" s="10" t="str">
        <f aca="false">IF(B157="","",IFERROR(INDEX(Products!$D$5:$D$54,MATCH(B157,Products!$A$5:$A$54,0)),0))</f>
        <v/>
      </c>
      <c r="E157" s="10" t="str">
        <f aca="false">IF(B157="","",IFERROR(INDEX(Products!$C$5:$C$54,MATCH(B157,Products!$A$5:$A$54,0)),0))</f>
        <v/>
      </c>
      <c r="F157" s="10"/>
      <c r="G157" s="10"/>
      <c r="H157" s="10" t="str">
        <f aca="false">IF(A157="","",Settings!$B$5)</f>
        <v/>
      </c>
      <c r="I157" s="11" t="str">
        <f aca="false">IF(A157="","",ROUND(K157*(Settings!$B$2+Settings!$B$3)/100+Settings!$B$4,2))</f>
        <v/>
      </c>
      <c r="J157" s="11" t="str">
        <f aca="false">IF(A157="","",ROUND(K157-E157*C157-H157-G157-I157,2))</f>
        <v/>
      </c>
      <c r="K157" s="11" t="str">
        <f aca="false">IF(A157="","",D157*C157+F157)</f>
        <v/>
      </c>
      <c r="L157" s="12" t="str">
        <f aca="false">IF(OR(A157="",K157=0),"",ROUND(J157/K157*100,2))</f>
        <v/>
      </c>
      <c r="M157" s="3" t="str">
        <f aca="false">IF(A157="","",TEXT(A157,"yyyy-mm"))</f>
        <v/>
      </c>
    </row>
    <row r="158" customFormat="false" ht="15" hidden="false" customHeight="false" outlineLevel="0" collapsed="false">
      <c r="A158" s="17"/>
      <c r="B158" s="9"/>
      <c r="C158" s="9"/>
      <c r="D158" s="10" t="str">
        <f aca="false">IF(B158="","",IFERROR(INDEX(Products!$D$5:$D$54,MATCH(B158,Products!$A$5:$A$54,0)),0))</f>
        <v/>
      </c>
      <c r="E158" s="10" t="str">
        <f aca="false">IF(B158="","",IFERROR(INDEX(Products!$C$5:$C$54,MATCH(B158,Products!$A$5:$A$54,0)),0))</f>
        <v/>
      </c>
      <c r="F158" s="10"/>
      <c r="G158" s="10"/>
      <c r="H158" s="10" t="str">
        <f aca="false">IF(A158="","",Settings!$B$5)</f>
        <v/>
      </c>
      <c r="I158" s="11" t="str">
        <f aca="false">IF(A158="","",ROUND(K158*(Settings!$B$2+Settings!$B$3)/100+Settings!$B$4,2))</f>
        <v/>
      </c>
      <c r="J158" s="11" t="str">
        <f aca="false">IF(A158="","",ROUND(K158-E158*C158-H158-G158-I158,2))</f>
        <v/>
      </c>
      <c r="K158" s="11" t="str">
        <f aca="false">IF(A158="","",D158*C158+F158)</f>
        <v/>
      </c>
      <c r="L158" s="12" t="str">
        <f aca="false">IF(OR(A158="",K158=0),"",ROUND(J158/K158*100,2))</f>
        <v/>
      </c>
      <c r="M158" s="3" t="str">
        <f aca="false">IF(A158="","",TEXT(A158,"yyyy-mm"))</f>
        <v/>
      </c>
    </row>
    <row r="159" customFormat="false" ht="15" hidden="false" customHeight="false" outlineLevel="0" collapsed="false">
      <c r="A159" s="17"/>
      <c r="B159" s="9"/>
      <c r="C159" s="9"/>
      <c r="D159" s="10" t="str">
        <f aca="false">IF(B159="","",IFERROR(INDEX(Products!$D$5:$D$54,MATCH(B159,Products!$A$5:$A$54,0)),0))</f>
        <v/>
      </c>
      <c r="E159" s="10" t="str">
        <f aca="false">IF(B159="","",IFERROR(INDEX(Products!$C$5:$C$54,MATCH(B159,Products!$A$5:$A$54,0)),0))</f>
        <v/>
      </c>
      <c r="F159" s="10"/>
      <c r="G159" s="10"/>
      <c r="H159" s="10" t="str">
        <f aca="false">IF(A159="","",Settings!$B$5)</f>
        <v/>
      </c>
      <c r="I159" s="11" t="str">
        <f aca="false">IF(A159="","",ROUND(K159*(Settings!$B$2+Settings!$B$3)/100+Settings!$B$4,2))</f>
        <v/>
      </c>
      <c r="J159" s="11" t="str">
        <f aca="false">IF(A159="","",ROUND(K159-E159*C159-H159-G159-I159,2))</f>
        <v/>
      </c>
      <c r="K159" s="11" t="str">
        <f aca="false">IF(A159="","",D159*C159+F159)</f>
        <v/>
      </c>
      <c r="L159" s="12" t="str">
        <f aca="false">IF(OR(A159="",K159=0),"",ROUND(J159/K159*100,2))</f>
        <v/>
      </c>
      <c r="M159" s="3" t="str">
        <f aca="false">IF(A159="","",TEXT(A159,"yyyy-mm"))</f>
        <v/>
      </c>
    </row>
    <row r="160" customFormat="false" ht="15" hidden="false" customHeight="false" outlineLevel="0" collapsed="false">
      <c r="A160" s="17"/>
      <c r="B160" s="9"/>
      <c r="C160" s="9"/>
      <c r="D160" s="10" t="str">
        <f aca="false">IF(B160="","",IFERROR(INDEX(Products!$D$5:$D$54,MATCH(B160,Products!$A$5:$A$54,0)),0))</f>
        <v/>
      </c>
      <c r="E160" s="10" t="str">
        <f aca="false">IF(B160="","",IFERROR(INDEX(Products!$C$5:$C$54,MATCH(B160,Products!$A$5:$A$54,0)),0))</f>
        <v/>
      </c>
      <c r="F160" s="10"/>
      <c r="G160" s="10"/>
      <c r="H160" s="10" t="str">
        <f aca="false">IF(A160="","",Settings!$B$5)</f>
        <v/>
      </c>
      <c r="I160" s="11" t="str">
        <f aca="false">IF(A160="","",ROUND(K160*(Settings!$B$2+Settings!$B$3)/100+Settings!$B$4,2))</f>
        <v/>
      </c>
      <c r="J160" s="11" t="str">
        <f aca="false">IF(A160="","",ROUND(K160-E160*C160-H160-G160-I160,2))</f>
        <v/>
      </c>
      <c r="K160" s="11" t="str">
        <f aca="false">IF(A160="","",D160*C160+F160)</f>
        <v/>
      </c>
      <c r="L160" s="12" t="str">
        <f aca="false">IF(OR(A160="",K160=0),"",ROUND(J160/K160*100,2))</f>
        <v/>
      </c>
      <c r="M160" s="3" t="str">
        <f aca="false">IF(A160="","",TEXT(A160,"yyyy-mm"))</f>
        <v/>
      </c>
    </row>
    <row r="161" customFormat="false" ht="15" hidden="false" customHeight="false" outlineLevel="0" collapsed="false">
      <c r="A161" s="17"/>
      <c r="B161" s="9"/>
      <c r="C161" s="9"/>
      <c r="D161" s="10" t="str">
        <f aca="false">IF(B161="","",IFERROR(INDEX(Products!$D$5:$D$54,MATCH(B161,Products!$A$5:$A$54,0)),0))</f>
        <v/>
      </c>
      <c r="E161" s="10" t="str">
        <f aca="false">IF(B161="","",IFERROR(INDEX(Products!$C$5:$C$54,MATCH(B161,Products!$A$5:$A$54,0)),0))</f>
        <v/>
      </c>
      <c r="F161" s="10"/>
      <c r="G161" s="10"/>
      <c r="H161" s="10" t="str">
        <f aca="false">IF(A161="","",Settings!$B$5)</f>
        <v/>
      </c>
      <c r="I161" s="11" t="str">
        <f aca="false">IF(A161="","",ROUND(K161*(Settings!$B$2+Settings!$B$3)/100+Settings!$B$4,2))</f>
        <v/>
      </c>
      <c r="J161" s="11" t="str">
        <f aca="false">IF(A161="","",ROUND(K161-E161*C161-H161-G161-I161,2))</f>
        <v/>
      </c>
      <c r="K161" s="11" t="str">
        <f aca="false">IF(A161="","",D161*C161+F161)</f>
        <v/>
      </c>
      <c r="L161" s="12" t="str">
        <f aca="false">IF(OR(A161="",K161=0),"",ROUND(J161/K161*100,2))</f>
        <v/>
      </c>
      <c r="M161" s="3" t="str">
        <f aca="false">IF(A161="","",TEXT(A161,"yyyy-mm"))</f>
        <v/>
      </c>
    </row>
    <row r="162" customFormat="false" ht="15" hidden="false" customHeight="false" outlineLevel="0" collapsed="false">
      <c r="A162" s="17"/>
      <c r="B162" s="9"/>
      <c r="C162" s="9"/>
      <c r="D162" s="10" t="str">
        <f aca="false">IF(B162="","",IFERROR(INDEX(Products!$D$5:$D$54,MATCH(B162,Products!$A$5:$A$54,0)),0))</f>
        <v/>
      </c>
      <c r="E162" s="10" t="str">
        <f aca="false">IF(B162="","",IFERROR(INDEX(Products!$C$5:$C$54,MATCH(B162,Products!$A$5:$A$54,0)),0))</f>
        <v/>
      </c>
      <c r="F162" s="10"/>
      <c r="G162" s="10"/>
      <c r="H162" s="10" t="str">
        <f aca="false">IF(A162="","",Settings!$B$5)</f>
        <v/>
      </c>
      <c r="I162" s="11" t="str">
        <f aca="false">IF(A162="","",ROUND(K162*(Settings!$B$2+Settings!$B$3)/100+Settings!$B$4,2))</f>
        <v/>
      </c>
      <c r="J162" s="11" t="str">
        <f aca="false">IF(A162="","",ROUND(K162-E162*C162-H162-G162-I162,2))</f>
        <v/>
      </c>
      <c r="K162" s="11" t="str">
        <f aca="false">IF(A162="","",D162*C162+F162)</f>
        <v/>
      </c>
      <c r="L162" s="12" t="str">
        <f aca="false">IF(OR(A162="",K162=0),"",ROUND(J162/K162*100,2))</f>
        <v/>
      </c>
      <c r="M162" s="3" t="str">
        <f aca="false">IF(A162="","",TEXT(A162,"yyyy-mm"))</f>
        <v/>
      </c>
    </row>
    <row r="163" customFormat="false" ht="15" hidden="false" customHeight="false" outlineLevel="0" collapsed="false">
      <c r="A163" s="17"/>
      <c r="B163" s="9"/>
      <c r="C163" s="9"/>
      <c r="D163" s="10" t="str">
        <f aca="false">IF(B163="","",IFERROR(INDEX(Products!$D$5:$D$54,MATCH(B163,Products!$A$5:$A$54,0)),0))</f>
        <v/>
      </c>
      <c r="E163" s="10" t="str">
        <f aca="false">IF(B163="","",IFERROR(INDEX(Products!$C$5:$C$54,MATCH(B163,Products!$A$5:$A$54,0)),0))</f>
        <v/>
      </c>
      <c r="F163" s="10"/>
      <c r="G163" s="10"/>
      <c r="H163" s="10" t="str">
        <f aca="false">IF(A163="","",Settings!$B$5)</f>
        <v/>
      </c>
      <c r="I163" s="11" t="str">
        <f aca="false">IF(A163="","",ROUND(K163*(Settings!$B$2+Settings!$B$3)/100+Settings!$B$4,2))</f>
        <v/>
      </c>
      <c r="J163" s="11" t="str">
        <f aca="false">IF(A163="","",ROUND(K163-E163*C163-H163-G163-I163,2))</f>
        <v/>
      </c>
      <c r="K163" s="11" t="str">
        <f aca="false">IF(A163="","",D163*C163+F163)</f>
        <v/>
      </c>
      <c r="L163" s="12" t="str">
        <f aca="false">IF(OR(A163="",K163=0),"",ROUND(J163/K163*100,2))</f>
        <v/>
      </c>
      <c r="M163" s="3" t="str">
        <f aca="false">IF(A163="","",TEXT(A163,"yyyy-mm"))</f>
        <v/>
      </c>
    </row>
    <row r="164" customFormat="false" ht="15" hidden="false" customHeight="false" outlineLevel="0" collapsed="false">
      <c r="A164" s="17"/>
      <c r="B164" s="9"/>
      <c r="C164" s="9"/>
      <c r="D164" s="10" t="str">
        <f aca="false">IF(B164="","",IFERROR(INDEX(Products!$D$5:$D$54,MATCH(B164,Products!$A$5:$A$54,0)),0))</f>
        <v/>
      </c>
      <c r="E164" s="10" t="str">
        <f aca="false">IF(B164="","",IFERROR(INDEX(Products!$C$5:$C$54,MATCH(B164,Products!$A$5:$A$54,0)),0))</f>
        <v/>
      </c>
      <c r="F164" s="10"/>
      <c r="G164" s="10"/>
      <c r="H164" s="10" t="str">
        <f aca="false">IF(A164="","",Settings!$B$5)</f>
        <v/>
      </c>
      <c r="I164" s="11" t="str">
        <f aca="false">IF(A164="","",ROUND(K164*(Settings!$B$2+Settings!$B$3)/100+Settings!$B$4,2))</f>
        <v/>
      </c>
      <c r="J164" s="11" t="str">
        <f aca="false">IF(A164="","",ROUND(K164-E164*C164-H164-G164-I164,2))</f>
        <v/>
      </c>
      <c r="K164" s="11" t="str">
        <f aca="false">IF(A164="","",D164*C164+F164)</f>
        <v/>
      </c>
      <c r="L164" s="12" t="str">
        <f aca="false">IF(OR(A164="",K164=0),"",ROUND(J164/K164*100,2))</f>
        <v/>
      </c>
      <c r="M164" s="3" t="str">
        <f aca="false">IF(A164="","",TEXT(A164,"yyyy-mm"))</f>
        <v/>
      </c>
    </row>
    <row r="165" customFormat="false" ht="15" hidden="false" customHeight="false" outlineLevel="0" collapsed="false">
      <c r="A165" s="17"/>
      <c r="B165" s="9"/>
      <c r="C165" s="9"/>
      <c r="D165" s="10" t="str">
        <f aca="false">IF(B165="","",IFERROR(INDEX(Products!$D$5:$D$54,MATCH(B165,Products!$A$5:$A$54,0)),0))</f>
        <v/>
      </c>
      <c r="E165" s="10" t="str">
        <f aca="false">IF(B165="","",IFERROR(INDEX(Products!$C$5:$C$54,MATCH(B165,Products!$A$5:$A$54,0)),0))</f>
        <v/>
      </c>
      <c r="F165" s="10"/>
      <c r="G165" s="10"/>
      <c r="H165" s="10" t="str">
        <f aca="false">IF(A165="","",Settings!$B$5)</f>
        <v/>
      </c>
      <c r="I165" s="11" t="str">
        <f aca="false">IF(A165="","",ROUND(K165*(Settings!$B$2+Settings!$B$3)/100+Settings!$B$4,2))</f>
        <v/>
      </c>
      <c r="J165" s="11" t="str">
        <f aca="false">IF(A165="","",ROUND(K165-E165*C165-H165-G165-I165,2))</f>
        <v/>
      </c>
      <c r="K165" s="11" t="str">
        <f aca="false">IF(A165="","",D165*C165+F165)</f>
        <v/>
      </c>
      <c r="L165" s="12" t="str">
        <f aca="false">IF(OR(A165="",K165=0),"",ROUND(J165/K165*100,2))</f>
        <v/>
      </c>
      <c r="M165" s="3" t="str">
        <f aca="false">IF(A165="","",TEXT(A165,"yyyy-mm"))</f>
        <v/>
      </c>
    </row>
    <row r="166" customFormat="false" ht="15" hidden="false" customHeight="false" outlineLevel="0" collapsed="false">
      <c r="A166" s="17"/>
      <c r="B166" s="9"/>
      <c r="C166" s="9"/>
      <c r="D166" s="10" t="str">
        <f aca="false">IF(B166="","",IFERROR(INDEX(Products!$D$5:$D$54,MATCH(B166,Products!$A$5:$A$54,0)),0))</f>
        <v/>
      </c>
      <c r="E166" s="10" t="str">
        <f aca="false">IF(B166="","",IFERROR(INDEX(Products!$C$5:$C$54,MATCH(B166,Products!$A$5:$A$54,0)),0))</f>
        <v/>
      </c>
      <c r="F166" s="10"/>
      <c r="G166" s="10"/>
      <c r="H166" s="10" t="str">
        <f aca="false">IF(A166="","",Settings!$B$5)</f>
        <v/>
      </c>
      <c r="I166" s="11" t="str">
        <f aca="false">IF(A166="","",ROUND(K166*(Settings!$B$2+Settings!$B$3)/100+Settings!$B$4,2))</f>
        <v/>
      </c>
      <c r="J166" s="11" t="str">
        <f aca="false">IF(A166="","",ROUND(K166-E166*C166-H166-G166-I166,2))</f>
        <v/>
      </c>
      <c r="K166" s="11" t="str">
        <f aca="false">IF(A166="","",D166*C166+F166)</f>
        <v/>
      </c>
      <c r="L166" s="12" t="str">
        <f aca="false">IF(OR(A166="",K166=0),"",ROUND(J166/K166*100,2))</f>
        <v/>
      </c>
      <c r="M166" s="3" t="str">
        <f aca="false">IF(A166="","",TEXT(A166,"yyyy-mm"))</f>
        <v/>
      </c>
    </row>
    <row r="167" customFormat="false" ht="15" hidden="false" customHeight="false" outlineLevel="0" collapsed="false">
      <c r="A167" s="17"/>
      <c r="B167" s="9"/>
      <c r="C167" s="9"/>
      <c r="D167" s="10" t="str">
        <f aca="false">IF(B167="","",IFERROR(INDEX(Products!$D$5:$D$54,MATCH(B167,Products!$A$5:$A$54,0)),0))</f>
        <v/>
      </c>
      <c r="E167" s="10" t="str">
        <f aca="false">IF(B167="","",IFERROR(INDEX(Products!$C$5:$C$54,MATCH(B167,Products!$A$5:$A$54,0)),0))</f>
        <v/>
      </c>
      <c r="F167" s="10"/>
      <c r="G167" s="10"/>
      <c r="H167" s="10" t="str">
        <f aca="false">IF(A167="","",Settings!$B$5)</f>
        <v/>
      </c>
      <c r="I167" s="11" t="str">
        <f aca="false">IF(A167="","",ROUND(K167*(Settings!$B$2+Settings!$B$3)/100+Settings!$B$4,2))</f>
        <v/>
      </c>
      <c r="J167" s="11" t="str">
        <f aca="false">IF(A167="","",ROUND(K167-E167*C167-H167-G167-I167,2))</f>
        <v/>
      </c>
      <c r="K167" s="11" t="str">
        <f aca="false">IF(A167="","",D167*C167+F167)</f>
        <v/>
      </c>
      <c r="L167" s="12" t="str">
        <f aca="false">IF(OR(A167="",K167=0),"",ROUND(J167/K167*100,2))</f>
        <v/>
      </c>
      <c r="M167" s="3" t="str">
        <f aca="false">IF(A167="","",TEXT(A167,"yyyy-mm"))</f>
        <v/>
      </c>
    </row>
    <row r="168" customFormat="false" ht="15" hidden="false" customHeight="false" outlineLevel="0" collapsed="false">
      <c r="A168" s="17"/>
      <c r="B168" s="9"/>
      <c r="C168" s="9"/>
      <c r="D168" s="10" t="str">
        <f aca="false">IF(B168="","",IFERROR(INDEX(Products!$D$5:$D$54,MATCH(B168,Products!$A$5:$A$54,0)),0))</f>
        <v/>
      </c>
      <c r="E168" s="10" t="str">
        <f aca="false">IF(B168="","",IFERROR(INDEX(Products!$C$5:$C$54,MATCH(B168,Products!$A$5:$A$54,0)),0))</f>
        <v/>
      </c>
      <c r="F168" s="10"/>
      <c r="G168" s="10"/>
      <c r="H168" s="10" t="str">
        <f aca="false">IF(A168="","",Settings!$B$5)</f>
        <v/>
      </c>
      <c r="I168" s="11" t="str">
        <f aca="false">IF(A168="","",ROUND(K168*(Settings!$B$2+Settings!$B$3)/100+Settings!$B$4,2))</f>
        <v/>
      </c>
      <c r="J168" s="11" t="str">
        <f aca="false">IF(A168="","",ROUND(K168-E168*C168-H168-G168-I168,2))</f>
        <v/>
      </c>
      <c r="K168" s="11" t="str">
        <f aca="false">IF(A168="","",D168*C168+F168)</f>
        <v/>
      </c>
      <c r="L168" s="12" t="str">
        <f aca="false">IF(OR(A168="",K168=0),"",ROUND(J168/K168*100,2))</f>
        <v/>
      </c>
      <c r="M168" s="3" t="str">
        <f aca="false">IF(A168="","",TEXT(A168,"yyyy-mm"))</f>
        <v/>
      </c>
    </row>
    <row r="169" customFormat="false" ht="15" hidden="false" customHeight="false" outlineLevel="0" collapsed="false">
      <c r="A169" s="17"/>
      <c r="B169" s="9"/>
      <c r="C169" s="9"/>
      <c r="D169" s="10" t="str">
        <f aca="false">IF(B169="","",IFERROR(INDEX(Products!$D$5:$D$54,MATCH(B169,Products!$A$5:$A$54,0)),0))</f>
        <v/>
      </c>
      <c r="E169" s="10" t="str">
        <f aca="false">IF(B169="","",IFERROR(INDEX(Products!$C$5:$C$54,MATCH(B169,Products!$A$5:$A$54,0)),0))</f>
        <v/>
      </c>
      <c r="F169" s="10"/>
      <c r="G169" s="10"/>
      <c r="H169" s="10" t="str">
        <f aca="false">IF(A169="","",Settings!$B$5)</f>
        <v/>
      </c>
      <c r="I169" s="11" t="str">
        <f aca="false">IF(A169="","",ROUND(K169*(Settings!$B$2+Settings!$B$3)/100+Settings!$B$4,2))</f>
        <v/>
      </c>
      <c r="J169" s="11" t="str">
        <f aca="false">IF(A169="","",ROUND(K169-E169*C169-H169-G169-I169,2))</f>
        <v/>
      </c>
      <c r="K169" s="11" t="str">
        <f aca="false">IF(A169="","",D169*C169+F169)</f>
        <v/>
      </c>
      <c r="L169" s="12" t="str">
        <f aca="false">IF(OR(A169="",K169=0),"",ROUND(J169/K169*100,2))</f>
        <v/>
      </c>
      <c r="M169" s="3" t="str">
        <f aca="false">IF(A169="","",TEXT(A169,"yyyy-mm"))</f>
        <v/>
      </c>
    </row>
    <row r="170" customFormat="false" ht="15" hidden="false" customHeight="false" outlineLevel="0" collapsed="false">
      <c r="A170" s="17"/>
      <c r="B170" s="9"/>
      <c r="C170" s="9"/>
      <c r="D170" s="10" t="str">
        <f aca="false">IF(B170="","",IFERROR(INDEX(Products!$D$5:$D$54,MATCH(B170,Products!$A$5:$A$54,0)),0))</f>
        <v/>
      </c>
      <c r="E170" s="10" t="str">
        <f aca="false">IF(B170="","",IFERROR(INDEX(Products!$C$5:$C$54,MATCH(B170,Products!$A$5:$A$54,0)),0))</f>
        <v/>
      </c>
      <c r="F170" s="10"/>
      <c r="G170" s="10"/>
      <c r="H170" s="10" t="str">
        <f aca="false">IF(A170="","",Settings!$B$5)</f>
        <v/>
      </c>
      <c r="I170" s="11" t="str">
        <f aca="false">IF(A170="","",ROUND(K170*(Settings!$B$2+Settings!$B$3)/100+Settings!$B$4,2))</f>
        <v/>
      </c>
      <c r="J170" s="11" t="str">
        <f aca="false">IF(A170="","",ROUND(K170-E170*C170-H170-G170-I170,2))</f>
        <v/>
      </c>
      <c r="K170" s="11" t="str">
        <f aca="false">IF(A170="","",D170*C170+F170)</f>
        <v/>
      </c>
      <c r="L170" s="12" t="str">
        <f aca="false">IF(OR(A170="",K170=0),"",ROUND(J170/K170*100,2))</f>
        <v/>
      </c>
      <c r="M170" s="3" t="str">
        <f aca="false">IF(A170="","",TEXT(A170,"yyyy-mm"))</f>
        <v/>
      </c>
    </row>
    <row r="171" customFormat="false" ht="15" hidden="false" customHeight="false" outlineLevel="0" collapsed="false">
      <c r="A171" s="17"/>
      <c r="B171" s="9"/>
      <c r="C171" s="9"/>
      <c r="D171" s="10" t="str">
        <f aca="false">IF(B171="","",IFERROR(INDEX(Products!$D$5:$D$54,MATCH(B171,Products!$A$5:$A$54,0)),0))</f>
        <v/>
      </c>
      <c r="E171" s="10" t="str">
        <f aca="false">IF(B171="","",IFERROR(INDEX(Products!$C$5:$C$54,MATCH(B171,Products!$A$5:$A$54,0)),0))</f>
        <v/>
      </c>
      <c r="F171" s="10"/>
      <c r="G171" s="10"/>
      <c r="H171" s="10" t="str">
        <f aca="false">IF(A171="","",Settings!$B$5)</f>
        <v/>
      </c>
      <c r="I171" s="11" t="str">
        <f aca="false">IF(A171="","",ROUND(K171*(Settings!$B$2+Settings!$B$3)/100+Settings!$B$4,2))</f>
        <v/>
      </c>
      <c r="J171" s="11" t="str">
        <f aca="false">IF(A171="","",ROUND(K171-E171*C171-H171-G171-I171,2))</f>
        <v/>
      </c>
      <c r="K171" s="11" t="str">
        <f aca="false">IF(A171="","",D171*C171+F171)</f>
        <v/>
      </c>
      <c r="L171" s="12" t="str">
        <f aca="false">IF(OR(A171="",K171=0),"",ROUND(J171/K171*100,2))</f>
        <v/>
      </c>
      <c r="M171" s="3" t="str">
        <f aca="false">IF(A171="","",TEXT(A171,"yyyy-mm"))</f>
        <v/>
      </c>
    </row>
    <row r="172" customFormat="false" ht="15" hidden="false" customHeight="false" outlineLevel="0" collapsed="false">
      <c r="A172" s="17"/>
      <c r="B172" s="9"/>
      <c r="C172" s="9"/>
      <c r="D172" s="10" t="str">
        <f aca="false">IF(B172="","",IFERROR(INDEX(Products!$D$5:$D$54,MATCH(B172,Products!$A$5:$A$54,0)),0))</f>
        <v/>
      </c>
      <c r="E172" s="10" t="str">
        <f aca="false">IF(B172="","",IFERROR(INDEX(Products!$C$5:$C$54,MATCH(B172,Products!$A$5:$A$54,0)),0))</f>
        <v/>
      </c>
      <c r="F172" s="10"/>
      <c r="G172" s="10"/>
      <c r="H172" s="10" t="str">
        <f aca="false">IF(A172="","",Settings!$B$5)</f>
        <v/>
      </c>
      <c r="I172" s="11" t="str">
        <f aca="false">IF(A172="","",ROUND(K172*(Settings!$B$2+Settings!$B$3)/100+Settings!$B$4,2))</f>
        <v/>
      </c>
      <c r="J172" s="11" t="str">
        <f aca="false">IF(A172="","",ROUND(K172-E172*C172-H172-G172-I172,2))</f>
        <v/>
      </c>
      <c r="K172" s="11" t="str">
        <f aca="false">IF(A172="","",D172*C172+F172)</f>
        <v/>
      </c>
      <c r="L172" s="12" t="str">
        <f aca="false">IF(OR(A172="",K172=0),"",ROUND(J172/K172*100,2))</f>
        <v/>
      </c>
      <c r="M172" s="3" t="str">
        <f aca="false">IF(A172="","",TEXT(A172,"yyyy-mm"))</f>
        <v/>
      </c>
    </row>
    <row r="173" customFormat="false" ht="15" hidden="false" customHeight="false" outlineLevel="0" collapsed="false">
      <c r="A173" s="17"/>
      <c r="B173" s="9"/>
      <c r="C173" s="9"/>
      <c r="D173" s="10" t="str">
        <f aca="false">IF(B173="","",IFERROR(INDEX(Products!$D$5:$D$54,MATCH(B173,Products!$A$5:$A$54,0)),0))</f>
        <v/>
      </c>
      <c r="E173" s="10" t="str">
        <f aca="false">IF(B173="","",IFERROR(INDEX(Products!$C$5:$C$54,MATCH(B173,Products!$A$5:$A$54,0)),0))</f>
        <v/>
      </c>
      <c r="F173" s="10"/>
      <c r="G173" s="10"/>
      <c r="H173" s="10" t="str">
        <f aca="false">IF(A173="","",Settings!$B$5)</f>
        <v/>
      </c>
      <c r="I173" s="11" t="str">
        <f aca="false">IF(A173="","",ROUND(K173*(Settings!$B$2+Settings!$B$3)/100+Settings!$B$4,2))</f>
        <v/>
      </c>
      <c r="J173" s="11" t="str">
        <f aca="false">IF(A173="","",ROUND(K173-E173*C173-H173-G173-I173,2))</f>
        <v/>
      </c>
      <c r="K173" s="11" t="str">
        <f aca="false">IF(A173="","",D173*C173+F173)</f>
        <v/>
      </c>
      <c r="L173" s="12" t="str">
        <f aca="false">IF(OR(A173="",K173=0),"",ROUND(J173/K173*100,2))</f>
        <v/>
      </c>
      <c r="M173" s="3" t="str">
        <f aca="false">IF(A173="","",TEXT(A173,"yyyy-mm"))</f>
        <v/>
      </c>
    </row>
    <row r="174" customFormat="false" ht="15" hidden="false" customHeight="false" outlineLevel="0" collapsed="false">
      <c r="A174" s="17"/>
      <c r="B174" s="9"/>
      <c r="C174" s="9"/>
      <c r="D174" s="10" t="str">
        <f aca="false">IF(B174="","",IFERROR(INDEX(Products!$D$5:$D$54,MATCH(B174,Products!$A$5:$A$54,0)),0))</f>
        <v/>
      </c>
      <c r="E174" s="10" t="str">
        <f aca="false">IF(B174="","",IFERROR(INDEX(Products!$C$5:$C$54,MATCH(B174,Products!$A$5:$A$54,0)),0))</f>
        <v/>
      </c>
      <c r="F174" s="10"/>
      <c r="G174" s="10"/>
      <c r="H174" s="10" t="str">
        <f aca="false">IF(A174="","",Settings!$B$5)</f>
        <v/>
      </c>
      <c r="I174" s="11" t="str">
        <f aca="false">IF(A174="","",ROUND(K174*(Settings!$B$2+Settings!$B$3)/100+Settings!$B$4,2))</f>
        <v/>
      </c>
      <c r="J174" s="11" t="str">
        <f aca="false">IF(A174="","",ROUND(K174-E174*C174-H174-G174-I174,2))</f>
        <v/>
      </c>
      <c r="K174" s="11" t="str">
        <f aca="false">IF(A174="","",D174*C174+F174)</f>
        <v/>
      </c>
      <c r="L174" s="12" t="str">
        <f aca="false">IF(OR(A174="",K174=0),"",ROUND(J174/K174*100,2))</f>
        <v/>
      </c>
      <c r="M174" s="3" t="str">
        <f aca="false">IF(A174="","",TEXT(A174,"yyyy-mm"))</f>
        <v/>
      </c>
    </row>
    <row r="175" customFormat="false" ht="15" hidden="false" customHeight="false" outlineLevel="0" collapsed="false">
      <c r="A175" s="17"/>
      <c r="B175" s="9"/>
      <c r="C175" s="9"/>
      <c r="D175" s="10" t="str">
        <f aca="false">IF(B175="","",IFERROR(INDEX(Products!$D$5:$D$54,MATCH(B175,Products!$A$5:$A$54,0)),0))</f>
        <v/>
      </c>
      <c r="E175" s="10" t="str">
        <f aca="false">IF(B175="","",IFERROR(INDEX(Products!$C$5:$C$54,MATCH(B175,Products!$A$5:$A$54,0)),0))</f>
        <v/>
      </c>
      <c r="F175" s="10"/>
      <c r="G175" s="10"/>
      <c r="H175" s="10" t="str">
        <f aca="false">IF(A175="","",Settings!$B$5)</f>
        <v/>
      </c>
      <c r="I175" s="11" t="str">
        <f aca="false">IF(A175="","",ROUND(K175*(Settings!$B$2+Settings!$B$3)/100+Settings!$B$4,2))</f>
        <v/>
      </c>
      <c r="J175" s="11" t="str">
        <f aca="false">IF(A175="","",ROUND(K175-E175*C175-H175-G175-I175,2))</f>
        <v/>
      </c>
      <c r="K175" s="11" t="str">
        <f aca="false">IF(A175="","",D175*C175+F175)</f>
        <v/>
      </c>
      <c r="L175" s="12" t="str">
        <f aca="false">IF(OR(A175="",K175=0),"",ROUND(J175/K175*100,2))</f>
        <v/>
      </c>
      <c r="M175" s="3" t="str">
        <f aca="false">IF(A175="","",TEXT(A175,"yyyy-mm"))</f>
        <v/>
      </c>
    </row>
    <row r="176" customFormat="false" ht="15" hidden="false" customHeight="false" outlineLevel="0" collapsed="false">
      <c r="A176" s="17"/>
      <c r="B176" s="9"/>
      <c r="C176" s="9"/>
      <c r="D176" s="10" t="str">
        <f aca="false">IF(B176="","",IFERROR(INDEX(Products!$D$5:$D$54,MATCH(B176,Products!$A$5:$A$54,0)),0))</f>
        <v/>
      </c>
      <c r="E176" s="10" t="str">
        <f aca="false">IF(B176="","",IFERROR(INDEX(Products!$C$5:$C$54,MATCH(B176,Products!$A$5:$A$54,0)),0))</f>
        <v/>
      </c>
      <c r="F176" s="10"/>
      <c r="G176" s="10"/>
      <c r="H176" s="10" t="str">
        <f aca="false">IF(A176="","",Settings!$B$5)</f>
        <v/>
      </c>
      <c r="I176" s="11" t="str">
        <f aca="false">IF(A176="","",ROUND(K176*(Settings!$B$2+Settings!$B$3)/100+Settings!$B$4,2))</f>
        <v/>
      </c>
      <c r="J176" s="11" t="str">
        <f aca="false">IF(A176="","",ROUND(K176-E176*C176-H176-G176-I176,2))</f>
        <v/>
      </c>
      <c r="K176" s="11" t="str">
        <f aca="false">IF(A176="","",D176*C176+F176)</f>
        <v/>
      </c>
      <c r="L176" s="12" t="str">
        <f aca="false">IF(OR(A176="",K176=0),"",ROUND(J176/K176*100,2))</f>
        <v/>
      </c>
      <c r="M176" s="3" t="str">
        <f aca="false">IF(A176="","",TEXT(A176,"yyyy-mm"))</f>
        <v/>
      </c>
    </row>
    <row r="177" customFormat="false" ht="15" hidden="false" customHeight="false" outlineLevel="0" collapsed="false">
      <c r="A177" s="17"/>
      <c r="B177" s="9"/>
      <c r="C177" s="9"/>
      <c r="D177" s="10" t="str">
        <f aca="false">IF(B177="","",IFERROR(INDEX(Products!$D$5:$D$54,MATCH(B177,Products!$A$5:$A$54,0)),0))</f>
        <v/>
      </c>
      <c r="E177" s="10" t="str">
        <f aca="false">IF(B177="","",IFERROR(INDEX(Products!$C$5:$C$54,MATCH(B177,Products!$A$5:$A$54,0)),0))</f>
        <v/>
      </c>
      <c r="F177" s="10"/>
      <c r="G177" s="10"/>
      <c r="H177" s="10" t="str">
        <f aca="false">IF(A177="","",Settings!$B$5)</f>
        <v/>
      </c>
      <c r="I177" s="11" t="str">
        <f aca="false">IF(A177="","",ROUND(K177*(Settings!$B$2+Settings!$B$3)/100+Settings!$B$4,2))</f>
        <v/>
      </c>
      <c r="J177" s="11" t="str">
        <f aca="false">IF(A177="","",ROUND(K177-E177*C177-H177-G177-I177,2))</f>
        <v/>
      </c>
      <c r="K177" s="11" t="str">
        <f aca="false">IF(A177="","",D177*C177+F177)</f>
        <v/>
      </c>
      <c r="L177" s="12" t="str">
        <f aca="false">IF(OR(A177="",K177=0),"",ROUND(J177/K177*100,2))</f>
        <v/>
      </c>
      <c r="M177" s="3" t="str">
        <f aca="false">IF(A177="","",TEXT(A177,"yyyy-mm"))</f>
        <v/>
      </c>
    </row>
    <row r="178" customFormat="false" ht="15" hidden="false" customHeight="false" outlineLevel="0" collapsed="false">
      <c r="A178" s="17"/>
      <c r="B178" s="9"/>
      <c r="C178" s="9"/>
      <c r="D178" s="10" t="str">
        <f aca="false">IF(B178="","",IFERROR(INDEX(Products!$D$5:$D$54,MATCH(B178,Products!$A$5:$A$54,0)),0))</f>
        <v/>
      </c>
      <c r="E178" s="10" t="str">
        <f aca="false">IF(B178="","",IFERROR(INDEX(Products!$C$5:$C$54,MATCH(B178,Products!$A$5:$A$54,0)),0))</f>
        <v/>
      </c>
      <c r="F178" s="10"/>
      <c r="G178" s="10"/>
      <c r="H178" s="10" t="str">
        <f aca="false">IF(A178="","",Settings!$B$5)</f>
        <v/>
      </c>
      <c r="I178" s="11" t="str">
        <f aca="false">IF(A178="","",ROUND(K178*(Settings!$B$2+Settings!$B$3)/100+Settings!$B$4,2))</f>
        <v/>
      </c>
      <c r="J178" s="11" t="str">
        <f aca="false">IF(A178="","",ROUND(K178-E178*C178-H178-G178-I178,2))</f>
        <v/>
      </c>
      <c r="K178" s="11" t="str">
        <f aca="false">IF(A178="","",D178*C178+F178)</f>
        <v/>
      </c>
      <c r="L178" s="12" t="str">
        <f aca="false">IF(OR(A178="",K178=0),"",ROUND(J178/K178*100,2))</f>
        <v/>
      </c>
      <c r="M178" s="3" t="str">
        <f aca="false">IF(A178="","",TEXT(A178,"yyyy-mm"))</f>
        <v/>
      </c>
    </row>
    <row r="179" customFormat="false" ht="15" hidden="false" customHeight="false" outlineLevel="0" collapsed="false">
      <c r="A179" s="17"/>
      <c r="B179" s="9"/>
      <c r="C179" s="9"/>
      <c r="D179" s="10" t="str">
        <f aca="false">IF(B179="","",IFERROR(INDEX(Products!$D$5:$D$54,MATCH(B179,Products!$A$5:$A$54,0)),0))</f>
        <v/>
      </c>
      <c r="E179" s="10" t="str">
        <f aca="false">IF(B179="","",IFERROR(INDEX(Products!$C$5:$C$54,MATCH(B179,Products!$A$5:$A$54,0)),0))</f>
        <v/>
      </c>
      <c r="F179" s="10"/>
      <c r="G179" s="10"/>
      <c r="H179" s="10" t="str">
        <f aca="false">IF(A179="","",Settings!$B$5)</f>
        <v/>
      </c>
      <c r="I179" s="11" t="str">
        <f aca="false">IF(A179="","",ROUND(K179*(Settings!$B$2+Settings!$B$3)/100+Settings!$B$4,2))</f>
        <v/>
      </c>
      <c r="J179" s="11" t="str">
        <f aca="false">IF(A179="","",ROUND(K179-E179*C179-H179-G179-I179,2))</f>
        <v/>
      </c>
      <c r="K179" s="11" t="str">
        <f aca="false">IF(A179="","",D179*C179+F179)</f>
        <v/>
      </c>
      <c r="L179" s="12" t="str">
        <f aca="false">IF(OR(A179="",K179=0),"",ROUND(J179/K179*100,2))</f>
        <v/>
      </c>
      <c r="M179" s="3" t="str">
        <f aca="false">IF(A179="","",TEXT(A179,"yyyy-mm"))</f>
        <v/>
      </c>
    </row>
    <row r="180" customFormat="false" ht="15" hidden="false" customHeight="false" outlineLevel="0" collapsed="false">
      <c r="A180" s="17"/>
      <c r="B180" s="9"/>
      <c r="C180" s="9"/>
      <c r="D180" s="10" t="str">
        <f aca="false">IF(B180="","",IFERROR(INDEX(Products!$D$5:$D$54,MATCH(B180,Products!$A$5:$A$54,0)),0))</f>
        <v/>
      </c>
      <c r="E180" s="10" t="str">
        <f aca="false">IF(B180="","",IFERROR(INDEX(Products!$C$5:$C$54,MATCH(B180,Products!$A$5:$A$54,0)),0))</f>
        <v/>
      </c>
      <c r="F180" s="10"/>
      <c r="G180" s="10"/>
      <c r="H180" s="10" t="str">
        <f aca="false">IF(A180="","",Settings!$B$5)</f>
        <v/>
      </c>
      <c r="I180" s="11" t="str">
        <f aca="false">IF(A180="","",ROUND(K180*(Settings!$B$2+Settings!$B$3)/100+Settings!$B$4,2))</f>
        <v/>
      </c>
      <c r="J180" s="11" t="str">
        <f aca="false">IF(A180="","",ROUND(K180-E180*C180-H180-G180-I180,2))</f>
        <v/>
      </c>
      <c r="K180" s="11" t="str">
        <f aca="false">IF(A180="","",D180*C180+F180)</f>
        <v/>
      </c>
      <c r="L180" s="12" t="str">
        <f aca="false">IF(OR(A180="",K180=0),"",ROUND(J180/K180*100,2))</f>
        <v/>
      </c>
      <c r="M180" s="3" t="str">
        <f aca="false">IF(A180="","",TEXT(A180,"yyyy-mm"))</f>
        <v/>
      </c>
    </row>
    <row r="181" customFormat="false" ht="15" hidden="false" customHeight="false" outlineLevel="0" collapsed="false">
      <c r="A181" s="17"/>
      <c r="B181" s="9"/>
      <c r="C181" s="9"/>
      <c r="D181" s="10" t="str">
        <f aca="false">IF(B181="","",IFERROR(INDEX(Products!$D$5:$D$54,MATCH(B181,Products!$A$5:$A$54,0)),0))</f>
        <v/>
      </c>
      <c r="E181" s="10" t="str">
        <f aca="false">IF(B181="","",IFERROR(INDEX(Products!$C$5:$C$54,MATCH(B181,Products!$A$5:$A$54,0)),0))</f>
        <v/>
      </c>
      <c r="F181" s="10"/>
      <c r="G181" s="10"/>
      <c r="H181" s="10" t="str">
        <f aca="false">IF(A181="","",Settings!$B$5)</f>
        <v/>
      </c>
      <c r="I181" s="11" t="str">
        <f aca="false">IF(A181="","",ROUND(K181*(Settings!$B$2+Settings!$B$3)/100+Settings!$B$4,2))</f>
        <v/>
      </c>
      <c r="J181" s="11" t="str">
        <f aca="false">IF(A181="","",ROUND(K181-E181*C181-H181-G181-I181,2))</f>
        <v/>
      </c>
      <c r="K181" s="11" t="str">
        <f aca="false">IF(A181="","",D181*C181+F181)</f>
        <v/>
      </c>
      <c r="L181" s="12" t="str">
        <f aca="false">IF(OR(A181="",K181=0),"",ROUND(J181/K181*100,2))</f>
        <v/>
      </c>
      <c r="M181" s="3" t="str">
        <f aca="false">IF(A181="","",TEXT(A181,"yyyy-mm"))</f>
        <v/>
      </c>
    </row>
    <row r="182" customFormat="false" ht="15" hidden="false" customHeight="false" outlineLevel="0" collapsed="false">
      <c r="A182" s="17"/>
      <c r="B182" s="9"/>
      <c r="C182" s="9"/>
      <c r="D182" s="10" t="str">
        <f aca="false">IF(B182="","",IFERROR(INDEX(Products!$D$5:$D$54,MATCH(B182,Products!$A$5:$A$54,0)),0))</f>
        <v/>
      </c>
      <c r="E182" s="10" t="str">
        <f aca="false">IF(B182="","",IFERROR(INDEX(Products!$C$5:$C$54,MATCH(B182,Products!$A$5:$A$54,0)),0))</f>
        <v/>
      </c>
      <c r="F182" s="10"/>
      <c r="G182" s="10"/>
      <c r="H182" s="10" t="str">
        <f aca="false">IF(A182="","",Settings!$B$5)</f>
        <v/>
      </c>
      <c r="I182" s="11" t="str">
        <f aca="false">IF(A182="","",ROUND(K182*(Settings!$B$2+Settings!$B$3)/100+Settings!$B$4,2))</f>
        <v/>
      </c>
      <c r="J182" s="11" t="str">
        <f aca="false">IF(A182="","",ROUND(K182-E182*C182-H182-G182-I182,2))</f>
        <v/>
      </c>
      <c r="K182" s="11" t="str">
        <f aca="false">IF(A182="","",D182*C182+F182)</f>
        <v/>
      </c>
      <c r="L182" s="12" t="str">
        <f aca="false">IF(OR(A182="",K182=0),"",ROUND(J182/K182*100,2))</f>
        <v/>
      </c>
      <c r="M182" s="3" t="str">
        <f aca="false">IF(A182="","",TEXT(A182,"yyyy-mm"))</f>
        <v/>
      </c>
    </row>
    <row r="183" customFormat="false" ht="15" hidden="false" customHeight="false" outlineLevel="0" collapsed="false">
      <c r="A183" s="17"/>
      <c r="B183" s="9"/>
      <c r="C183" s="9"/>
      <c r="D183" s="10" t="str">
        <f aca="false">IF(B183="","",IFERROR(INDEX(Products!$D$5:$D$54,MATCH(B183,Products!$A$5:$A$54,0)),0))</f>
        <v/>
      </c>
      <c r="E183" s="10" t="str">
        <f aca="false">IF(B183="","",IFERROR(INDEX(Products!$C$5:$C$54,MATCH(B183,Products!$A$5:$A$54,0)),0))</f>
        <v/>
      </c>
      <c r="F183" s="10"/>
      <c r="G183" s="10"/>
      <c r="H183" s="10" t="str">
        <f aca="false">IF(A183="","",Settings!$B$5)</f>
        <v/>
      </c>
      <c r="I183" s="11" t="str">
        <f aca="false">IF(A183="","",ROUND(K183*(Settings!$B$2+Settings!$B$3)/100+Settings!$B$4,2))</f>
        <v/>
      </c>
      <c r="J183" s="11" t="str">
        <f aca="false">IF(A183="","",ROUND(K183-E183*C183-H183-G183-I183,2))</f>
        <v/>
      </c>
      <c r="K183" s="11" t="str">
        <f aca="false">IF(A183="","",D183*C183+F183)</f>
        <v/>
      </c>
      <c r="L183" s="12" t="str">
        <f aca="false">IF(OR(A183="",K183=0),"",ROUND(J183/K183*100,2))</f>
        <v/>
      </c>
      <c r="M183" s="3" t="str">
        <f aca="false">IF(A183="","",TEXT(A183,"yyyy-mm"))</f>
        <v/>
      </c>
    </row>
    <row r="184" customFormat="false" ht="15" hidden="false" customHeight="false" outlineLevel="0" collapsed="false">
      <c r="A184" s="17"/>
      <c r="B184" s="9"/>
      <c r="C184" s="9"/>
      <c r="D184" s="10" t="str">
        <f aca="false">IF(B184="","",IFERROR(INDEX(Products!$D$5:$D$54,MATCH(B184,Products!$A$5:$A$54,0)),0))</f>
        <v/>
      </c>
      <c r="E184" s="10" t="str">
        <f aca="false">IF(B184="","",IFERROR(INDEX(Products!$C$5:$C$54,MATCH(B184,Products!$A$5:$A$54,0)),0))</f>
        <v/>
      </c>
      <c r="F184" s="10"/>
      <c r="G184" s="10"/>
      <c r="H184" s="10" t="str">
        <f aca="false">IF(A184="","",Settings!$B$5)</f>
        <v/>
      </c>
      <c r="I184" s="11" t="str">
        <f aca="false">IF(A184="","",ROUND(K184*(Settings!$B$2+Settings!$B$3)/100+Settings!$B$4,2))</f>
        <v/>
      </c>
      <c r="J184" s="11" t="str">
        <f aca="false">IF(A184="","",ROUND(K184-E184*C184-H184-G184-I184,2))</f>
        <v/>
      </c>
      <c r="K184" s="11" t="str">
        <f aca="false">IF(A184="","",D184*C184+F184)</f>
        <v/>
      </c>
      <c r="L184" s="12" t="str">
        <f aca="false">IF(OR(A184="",K184=0),"",ROUND(J184/K184*100,2))</f>
        <v/>
      </c>
      <c r="M184" s="3" t="str">
        <f aca="false">IF(A184="","",TEXT(A184,"yyyy-mm"))</f>
        <v/>
      </c>
    </row>
    <row r="185" customFormat="false" ht="15" hidden="false" customHeight="false" outlineLevel="0" collapsed="false">
      <c r="A185" s="17"/>
      <c r="B185" s="9"/>
      <c r="C185" s="9"/>
      <c r="D185" s="10" t="str">
        <f aca="false">IF(B185="","",IFERROR(INDEX(Products!$D$5:$D$54,MATCH(B185,Products!$A$5:$A$54,0)),0))</f>
        <v/>
      </c>
      <c r="E185" s="10" t="str">
        <f aca="false">IF(B185="","",IFERROR(INDEX(Products!$C$5:$C$54,MATCH(B185,Products!$A$5:$A$54,0)),0))</f>
        <v/>
      </c>
      <c r="F185" s="10"/>
      <c r="G185" s="10"/>
      <c r="H185" s="10" t="str">
        <f aca="false">IF(A185="","",Settings!$B$5)</f>
        <v/>
      </c>
      <c r="I185" s="11" t="str">
        <f aca="false">IF(A185="","",ROUND(K185*(Settings!$B$2+Settings!$B$3)/100+Settings!$B$4,2))</f>
        <v/>
      </c>
      <c r="J185" s="11" t="str">
        <f aca="false">IF(A185="","",ROUND(K185-E185*C185-H185-G185-I185,2))</f>
        <v/>
      </c>
      <c r="K185" s="11" t="str">
        <f aca="false">IF(A185="","",D185*C185+F185)</f>
        <v/>
      </c>
      <c r="L185" s="12" t="str">
        <f aca="false">IF(OR(A185="",K185=0),"",ROUND(J185/K185*100,2))</f>
        <v/>
      </c>
      <c r="M185" s="3" t="str">
        <f aca="false">IF(A185="","",TEXT(A185,"yyyy-mm"))</f>
        <v/>
      </c>
    </row>
    <row r="186" customFormat="false" ht="15" hidden="false" customHeight="false" outlineLevel="0" collapsed="false">
      <c r="A186" s="17"/>
      <c r="B186" s="9"/>
      <c r="C186" s="9"/>
      <c r="D186" s="10" t="str">
        <f aca="false">IF(B186="","",IFERROR(INDEX(Products!$D$5:$D$54,MATCH(B186,Products!$A$5:$A$54,0)),0))</f>
        <v/>
      </c>
      <c r="E186" s="10" t="str">
        <f aca="false">IF(B186="","",IFERROR(INDEX(Products!$C$5:$C$54,MATCH(B186,Products!$A$5:$A$54,0)),0))</f>
        <v/>
      </c>
      <c r="F186" s="10"/>
      <c r="G186" s="10"/>
      <c r="H186" s="10" t="str">
        <f aca="false">IF(A186="","",Settings!$B$5)</f>
        <v/>
      </c>
      <c r="I186" s="11" t="str">
        <f aca="false">IF(A186="","",ROUND(K186*(Settings!$B$2+Settings!$B$3)/100+Settings!$B$4,2))</f>
        <v/>
      </c>
      <c r="J186" s="11" t="str">
        <f aca="false">IF(A186="","",ROUND(K186-E186*C186-H186-G186-I186,2))</f>
        <v/>
      </c>
      <c r="K186" s="11" t="str">
        <f aca="false">IF(A186="","",D186*C186+F186)</f>
        <v/>
      </c>
      <c r="L186" s="12" t="str">
        <f aca="false">IF(OR(A186="",K186=0),"",ROUND(J186/K186*100,2))</f>
        <v/>
      </c>
      <c r="M186" s="3" t="str">
        <f aca="false">IF(A186="","",TEXT(A186,"yyyy-mm"))</f>
        <v/>
      </c>
    </row>
    <row r="187" customFormat="false" ht="15" hidden="false" customHeight="false" outlineLevel="0" collapsed="false">
      <c r="A187" s="17"/>
      <c r="B187" s="9"/>
      <c r="C187" s="9"/>
      <c r="D187" s="10" t="str">
        <f aca="false">IF(B187="","",IFERROR(INDEX(Products!$D$5:$D$54,MATCH(B187,Products!$A$5:$A$54,0)),0))</f>
        <v/>
      </c>
      <c r="E187" s="10" t="str">
        <f aca="false">IF(B187="","",IFERROR(INDEX(Products!$C$5:$C$54,MATCH(B187,Products!$A$5:$A$54,0)),0))</f>
        <v/>
      </c>
      <c r="F187" s="10"/>
      <c r="G187" s="10"/>
      <c r="H187" s="10" t="str">
        <f aca="false">IF(A187="","",Settings!$B$5)</f>
        <v/>
      </c>
      <c r="I187" s="11" t="str">
        <f aca="false">IF(A187="","",ROUND(K187*(Settings!$B$2+Settings!$B$3)/100+Settings!$B$4,2))</f>
        <v/>
      </c>
      <c r="J187" s="11" t="str">
        <f aca="false">IF(A187="","",ROUND(K187-E187*C187-H187-G187-I187,2))</f>
        <v/>
      </c>
      <c r="K187" s="11" t="str">
        <f aca="false">IF(A187="","",D187*C187+F187)</f>
        <v/>
      </c>
      <c r="L187" s="12" t="str">
        <f aca="false">IF(OR(A187="",K187=0),"",ROUND(J187/K187*100,2))</f>
        <v/>
      </c>
      <c r="M187" s="3" t="str">
        <f aca="false">IF(A187="","",TEXT(A187,"yyyy-mm"))</f>
        <v/>
      </c>
    </row>
    <row r="188" customFormat="false" ht="15" hidden="false" customHeight="false" outlineLevel="0" collapsed="false">
      <c r="A188" s="17"/>
      <c r="B188" s="9"/>
      <c r="C188" s="9"/>
      <c r="D188" s="10" t="str">
        <f aca="false">IF(B188="","",IFERROR(INDEX(Products!$D$5:$D$54,MATCH(B188,Products!$A$5:$A$54,0)),0))</f>
        <v/>
      </c>
      <c r="E188" s="10" t="str">
        <f aca="false">IF(B188="","",IFERROR(INDEX(Products!$C$5:$C$54,MATCH(B188,Products!$A$5:$A$54,0)),0))</f>
        <v/>
      </c>
      <c r="F188" s="10"/>
      <c r="G188" s="10"/>
      <c r="H188" s="10" t="str">
        <f aca="false">IF(A188="","",Settings!$B$5)</f>
        <v/>
      </c>
      <c r="I188" s="11" t="str">
        <f aca="false">IF(A188="","",ROUND(K188*(Settings!$B$2+Settings!$B$3)/100+Settings!$B$4,2))</f>
        <v/>
      </c>
      <c r="J188" s="11" t="str">
        <f aca="false">IF(A188="","",ROUND(K188-E188*C188-H188-G188-I188,2))</f>
        <v/>
      </c>
      <c r="K188" s="11" t="str">
        <f aca="false">IF(A188="","",D188*C188+F188)</f>
        <v/>
      </c>
      <c r="L188" s="12" t="str">
        <f aca="false">IF(OR(A188="",K188=0),"",ROUND(J188/K188*100,2))</f>
        <v/>
      </c>
      <c r="M188" s="3" t="str">
        <f aca="false">IF(A188="","",TEXT(A188,"yyyy-mm"))</f>
        <v/>
      </c>
    </row>
    <row r="189" customFormat="false" ht="15" hidden="false" customHeight="false" outlineLevel="0" collapsed="false">
      <c r="A189" s="17"/>
      <c r="B189" s="9"/>
      <c r="C189" s="9"/>
      <c r="D189" s="10" t="str">
        <f aca="false">IF(B189="","",IFERROR(INDEX(Products!$D$5:$D$54,MATCH(B189,Products!$A$5:$A$54,0)),0))</f>
        <v/>
      </c>
      <c r="E189" s="10" t="str">
        <f aca="false">IF(B189="","",IFERROR(INDEX(Products!$C$5:$C$54,MATCH(B189,Products!$A$5:$A$54,0)),0))</f>
        <v/>
      </c>
      <c r="F189" s="10"/>
      <c r="G189" s="10"/>
      <c r="H189" s="10" t="str">
        <f aca="false">IF(A189="","",Settings!$B$5)</f>
        <v/>
      </c>
      <c r="I189" s="11" t="str">
        <f aca="false">IF(A189="","",ROUND(K189*(Settings!$B$2+Settings!$B$3)/100+Settings!$B$4,2))</f>
        <v/>
      </c>
      <c r="J189" s="11" t="str">
        <f aca="false">IF(A189="","",ROUND(K189-E189*C189-H189-G189-I189,2))</f>
        <v/>
      </c>
      <c r="K189" s="11" t="str">
        <f aca="false">IF(A189="","",D189*C189+F189)</f>
        <v/>
      </c>
      <c r="L189" s="12" t="str">
        <f aca="false">IF(OR(A189="",K189=0),"",ROUND(J189/K189*100,2))</f>
        <v/>
      </c>
      <c r="M189" s="3" t="str">
        <f aca="false">IF(A189="","",TEXT(A189,"yyyy-mm"))</f>
        <v/>
      </c>
    </row>
    <row r="190" customFormat="false" ht="15" hidden="false" customHeight="false" outlineLevel="0" collapsed="false">
      <c r="A190" s="17"/>
      <c r="B190" s="9"/>
      <c r="C190" s="9"/>
      <c r="D190" s="10" t="str">
        <f aca="false">IF(B190="","",IFERROR(INDEX(Products!$D$5:$D$54,MATCH(B190,Products!$A$5:$A$54,0)),0))</f>
        <v/>
      </c>
      <c r="E190" s="10" t="str">
        <f aca="false">IF(B190="","",IFERROR(INDEX(Products!$C$5:$C$54,MATCH(B190,Products!$A$5:$A$54,0)),0))</f>
        <v/>
      </c>
      <c r="F190" s="10"/>
      <c r="G190" s="10"/>
      <c r="H190" s="10" t="str">
        <f aca="false">IF(A190="","",Settings!$B$5)</f>
        <v/>
      </c>
      <c r="I190" s="11" t="str">
        <f aca="false">IF(A190="","",ROUND(K190*(Settings!$B$2+Settings!$B$3)/100+Settings!$B$4,2))</f>
        <v/>
      </c>
      <c r="J190" s="11" t="str">
        <f aca="false">IF(A190="","",ROUND(K190-E190*C190-H190-G190-I190,2))</f>
        <v/>
      </c>
      <c r="K190" s="11" t="str">
        <f aca="false">IF(A190="","",D190*C190+F190)</f>
        <v/>
      </c>
      <c r="L190" s="12" t="str">
        <f aca="false">IF(OR(A190="",K190=0),"",ROUND(J190/K190*100,2))</f>
        <v/>
      </c>
      <c r="M190" s="3" t="str">
        <f aca="false">IF(A190="","",TEXT(A190,"yyyy-mm"))</f>
        <v/>
      </c>
    </row>
    <row r="191" customFormat="false" ht="15" hidden="false" customHeight="false" outlineLevel="0" collapsed="false">
      <c r="A191" s="17"/>
      <c r="B191" s="9"/>
      <c r="C191" s="9"/>
      <c r="D191" s="10" t="str">
        <f aca="false">IF(B191="","",IFERROR(INDEX(Products!$D$5:$D$54,MATCH(B191,Products!$A$5:$A$54,0)),0))</f>
        <v/>
      </c>
      <c r="E191" s="10" t="str">
        <f aca="false">IF(B191="","",IFERROR(INDEX(Products!$C$5:$C$54,MATCH(B191,Products!$A$5:$A$54,0)),0))</f>
        <v/>
      </c>
      <c r="F191" s="10"/>
      <c r="G191" s="10"/>
      <c r="H191" s="10" t="str">
        <f aca="false">IF(A191="","",Settings!$B$5)</f>
        <v/>
      </c>
      <c r="I191" s="11" t="str">
        <f aca="false">IF(A191="","",ROUND(K191*(Settings!$B$2+Settings!$B$3)/100+Settings!$B$4,2))</f>
        <v/>
      </c>
      <c r="J191" s="11" t="str">
        <f aca="false">IF(A191="","",ROUND(K191-E191*C191-H191-G191-I191,2))</f>
        <v/>
      </c>
      <c r="K191" s="11" t="str">
        <f aca="false">IF(A191="","",D191*C191+F191)</f>
        <v/>
      </c>
      <c r="L191" s="12" t="str">
        <f aca="false">IF(OR(A191="",K191=0),"",ROUND(J191/K191*100,2))</f>
        <v/>
      </c>
      <c r="M191" s="3" t="str">
        <f aca="false">IF(A191="","",TEXT(A191,"yyyy-mm"))</f>
        <v/>
      </c>
    </row>
    <row r="192" customFormat="false" ht="15" hidden="false" customHeight="false" outlineLevel="0" collapsed="false">
      <c r="A192" s="17"/>
      <c r="B192" s="9"/>
      <c r="C192" s="9"/>
      <c r="D192" s="10" t="str">
        <f aca="false">IF(B192="","",IFERROR(INDEX(Products!$D$5:$D$54,MATCH(B192,Products!$A$5:$A$54,0)),0))</f>
        <v/>
      </c>
      <c r="E192" s="10" t="str">
        <f aca="false">IF(B192="","",IFERROR(INDEX(Products!$C$5:$C$54,MATCH(B192,Products!$A$5:$A$54,0)),0))</f>
        <v/>
      </c>
      <c r="F192" s="10"/>
      <c r="G192" s="10"/>
      <c r="H192" s="10" t="str">
        <f aca="false">IF(A192="","",Settings!$B$5)</f>
        <v/>
      </c>
      <c r="I192" s="11" t="str">
        <f aca="false">IF(A192="","",ROUND(K192*(Settings!$B$2+Settings!$B$3)/100+Settings!$B$4,2))</f>
        <v/>
      </c>
      <c r="J192" s="11" t="str">
        <f aca="false">IF(A192="","",ROUND(K192-E192*C192-H192-G192-I192,2))</f>
        <v/>
      </c>
      <c r="K192" s="11" t="str">
        <f aca="false">IF(A192="","",D192*C192+F192)</f>
        <v/>
      </c>
      <c r="L192" s="12" t="str">
        <f aca="false">IF(OR(A192="",K192=0),"",ROUND(J192/K192*100,2))</f>
        <v/>
      </c>
      <c r="M192" s="3" t="str">
        <f aca="false">IF(A192="","",TEXT(A192,"yyyy-mm"))</f>
        <v/>
      </c>
    </row>
    <row r="193" customFormat="false" ht="15" hidden="false" customHeight="false" outlineLevel="0" collapsed="false">
      <c r="A193" s="17"/>
      <c r="B193" s="9"/>
      <c r="C193" s="9"/>
      <c r="D193" s="10" t="str">
        <f aca="false">IF(B193="","",IFERROR(INDEX(Products!$D$5:$D$54,MATCH(B193,Products!$A$5:$A$54,0)),0))</f>
        <v/>
      </c>
      <c r="E193" s="10" t="str">
        <f aca="false">IF(B193="","",IFERROR(INDEX(Products!$C$5:$C$54,MATCH(B193,Products!$A$5:$A$54,0)),0))</f>
        <v/>
      </c>
      <c r="F193" s="10"/>
      <c r="G193" s="10"/>
      <c r="H193" s="10" t="str">
        <f aca="false">IF(A193="","",Settings!$B$5)</f>
        <v/>
      </c>
      <c r="I193" s="11" t="str">
        <f aca="false">IF(A193="","",ROUND(K193*(Settings!$B$2+Settings!$B$3)/100+Settings!$B$4,2))</f>
        <v/>
      </c>
      <c r="J193" s="11" t="str">
        <f aca="false">IF(A193="","",ROUND(K193-E193*C193-H193-G193-I193,2))</f>
        <v/>
      </c>
      <c r="K193" s="11" t="str">
        <f aca="false">IF(A193="","",D193*C193+F193)</f>
        <v/>
      </c>
      <c r="L193" s="12" t="str">
        <f aca="false">IF(OR(A193="",K193=0),"",ROUND(J193/K193*100,2))</f>
        <v/>
      </c>
      <c r="M193" s="3" t="str">
        <f aca="false">IF(A193="","",TEXT(A193,"yyyy-mm"))</f>
        <v/>
      </c>
    </row>
    <row r="194" customFormat="false" ht="15" hidden="false" customHeight="false" outlineLevel="0" collapsed="false">
      <c r="A194" s="17"/>
      <c r="B194" s="9"/>
      <c r="C194" s="9"/>
      <c r="D194" s="10" t="str">
        <f aca="false">IF(B194="","",IFERROR(INDEX(Products!$D$5:$D$54,MATCH(B194,Products!$A$5:$A$54,0)),0))</f>
        <v/>
      </c>
      <c r="E194" s="10" t="str">
        <f aca="false">IF(B194="","",IFERROR(INDEX(Products!$C$5:$C$54,MATCH(B194,Products!$A$5:$A$54,0)),0))</f>
        <v/>
      </c>
      <c r="F194" s="10"/>
      <c r="G194" s="10"/>
      <c r="H194" s="10" t="str">
        <f aca="false">IF(A194="","",Settings!$B$5)</f>
        <v/>
      </c>
      <c r="I194" s="11" t="str">
        <f aca="false">IF(A194="","",ROUND(K194*(Settings!$B$2+Settings!$B$3)/100+Settings!$B$4,2))</f>
        <v/>
      </c>
      <c r="J194" s="11" t="str">
        <f aca="false">IF(A194="","",ROUND(K194-E194*C194-H194-G194-I194,2))</f>
        <v/>
      </c>
      <c r="K194" s="11" t="str">
        <f aca="false">IF(A194="","",D194*C194+F194)</f>
        <v/>
      </c>
      <c r="L194" s="12" t="str">
        <f aca="false">IF(OR(A194="",K194=0),"",ROUND(J194/K194*100,2))</f>
        <v/>
      </c>
      <c r="M194" s="3" t="str">
        <f aca="false">IF(A194="","",TEXT(A194,"yyyy-mm"))</f>
        <v/>
      </c>
    </row>
    <row r="195" customFormat="false" ht="15" hidden="false" customHeight="false" outlineLevel="0" collapsed="false">
      <c r="A195" s="17"/>
      <c r="B195" s="9"/>
      <c r="C195" s="9"/>
      <c r="D195" s="10" t="str">
        <f aca="false">IF(B195="","",IFERROR(INDEX(Products!$D$5:$D$54,MATCH(B195,Products!$A$5:$A$54,0)),0))</f>
        <v/>
      </c>
      <c r="E195" s="10" t="str">
        <f aca="false">IF(B195="","",IFERROR(INDEX(Products!$C$5:$C$54,MATCH(B195,Products!$A$5:$A$54,0)),0))</f>
        <v/>
      </c>
      <c r="F195" s="10"/>
      <c r="G195" s="10"/>
      <c r="H195" s="10" t="str">
        <f aca="false">IF(A195="","",Settings!$B$5)</f>
        <v/>
      </c>
      <c r="I195" s="11" t="str">
        <f aca="false">IF(A195="","",ROUND(K195*(Settings!$B$2+Settings!$B$3)/100+Settings!$B$4,2))</f>
        <v/>
      </c>
      <c r="J195" s="11" t="str">
        <f aca="false">IF(A195="","",ROUND(K195-E195*C195-H195-G195-I195,2))</f>
        <v/>
      </c>
      <c r="K195" s="11" t="str">
        <f aca="false">IF(A195="","",D195*C195+F195)</f>
        <v/>
      </c>
      <c r="L195" s="12" t="str">
        <f aca="false">IF(OR(A195="",K195=0),"",ROUND(J195/K195*100,2))</f>
        <v/>
      </c>
      <c r="M195" s="3" t="str">
        <f aca="false">IF(A195="","",TEXT(A195,"yyyy-mm"))</f>
        <v/>
      </c>
    </row>
    <row r="196" customFormat="false" ht="15" hidden="false" customHeight="false" outlineLevel="0" collapsed="false">
      <c r="A196" s="17"/>
      <c r="B196" s="9"/>
      <c r="C196" s="9"/>
      <c r="D196" s="10" t="str">
        <f aca="false">IF(B196="","",IFERROR(INDEX(Products!$D$5:$D$54,MATCH(B196,Products!$A$5:$A$54,0)),0))</f>
        <v/>
      </c>
      <c r="E196" s="10" t="str">
        <f aca="false">IF(B196="","",IFERROR(INDEX(Products!$C$5:$C$54,MATCH(B196,Products!$A$5:$A$54,0)),0))</f>
        <v/>
      </c>
      <c r="F196" s="10"/>
      <c r="G196" s="10"/>
      <c r="H196" s="10" t="str">
        <f aca="false">IF(A196="","",Settings!$B$5)</f>
        <v/>
      </c>
      <c r="I196" s="11" t="str">
        <f aca="false">IF(A196="","",ROUND(K196*(Settings!$B$2+Settings!$B$3)/100+Settings!$B$4,2))</f>
        <v/>
      </c>
      <c r="J196" s="11" t="str">
        <f aca="false">IF(A196="","",ROUND(K196-E196*C196-H196-G196-I196,2))</f>
        <v/>
      </c>
      <c r="K196" s="11" t="str">
        <f aca="false">IF(A196="","",D196*C196+F196)</f>
        <v/>
      </c>
      <c r="L196" s="12" t="str">
        <f aca="false">IF(OR(A196="",K196=0),"",ROUND(J196/K196*100,2))</f>
        <v/>
      </c>
      <c r="M196" s="3" t="str">
        <f aca="false">IF(A196="","",TEXT(A196,"yyyy-mm"))</f>
        <v/>
      </c>
    </row>
    <row r="197" customFormat="false" ht="15" hidden="false" customHeight="false" outlineLevel="0" collapsed="false">
      <c r="A197" s="17"/>
      <c r="B197" s="9"/>
      <c r="C197" s="9"/>
      <c r="D197" s="10" t="str">
        <f aca="false">IF(B197="","",IFERROR(INDEX(Products!$D$5:$D$54,MATCH(B197,Products!$A$5:$A$54,0)),0))</f>
        <v/>
      </c>
      <c r="E197" s="10" t="str">
        <f aca="false">IF(B197="","",IFERROR(INDEX(Products!$C$5:$C$54,MATCH(B197,Products!$A$5:$A$54,0)),0))</f>
        <v/>
      </c>
      <c r="F197" s="10"/>
      <c r="G197" s="10"/>
      <c r="H197" s="10" t="str">
        <f aca="false">IF(A197="","",Settings!$B$5)</f>
        <v/>
      </c>
      <c r="I197" s="11" t="str">
        <f aca="false">IF(A197="","",ROUND(K197*(Settings!$B$2+Settings!$B$3)/100+Settings!$B$4,2))</f>
        <v/>
      </c>
      <c r="J197" s="11" t="str">
        <f aca="false">IF(A197="","",ROUND(K197-E197*C197-H197-G197-I197,2))</f>
        <v/>
      </c>
      <c r="K197" s="11" t="str">
        <f aca="false">IF(A197="","",D197*C197+F197)</f>
        <v/>
      </c>
      <c r="L197" s="12" t="str">
        <f aca="false">IF(OR(A197="",K197=0),"",ROUND(J197/K197*100,2))</f>
        <v/>
      </c>
      <c r="M197" s="3" t="str">
        <f aca="false">IF(A197="","",TEXT(A197,"yyyy-mm"))</f>
        <v/>
      </c>
    </row>
    <row r="198" customFormat="false" ht="15" hidden="false" customHeight="false" outlineLevel="0" collapsed="false">
      <c r="A198" s="17"/>
      <c r="B198" s="9"/>
      <c r="C198" s="9"/>
      <c r="D198" s="10" t="str">
        <f aca="false">IF(B198="","",IFERROR(INDEX(Products!$D$5:$D$54,MATCH(B198,Products!$A$5:$A$54,0)),0))</f>
        <v/>
      </c>
      <c r="E198" s="10" t="str">
        <f aca="false">IF(B198="","",IFERROR(INDEX(Products!$C$5:$C$54,MATCH(B198,Products!$A$5:$A$54,0)),0))</f>
        <v/>
      </c>
      <c r="F198" s="10"/>
      <c r="G198" s="10"/>
      <c r="H198" s="10" t="str">
        <f aca="false">IF(A198="","",Settings!$B$5)</f>
        <v/>
      </c>
      <c r="I198" s="11" t="str">
        <f aca="false">IF(A198="","",ROUND(K198*(Settings!$B$2+Settings!$B$3)/100+Settings!$B$4,2))</f>
        <v/>
      </c>
      <c r="J198" s="11" t="str">
        <f aca="false">IF(A198="","",ROUND(K198-E198*C198-H198-G198-I198,2))</f>
        <v/>
      </c>
      <c r="K198" s="11" t="str">
        <f aca="false">IF(A198="","",D198*C198+F198)</f>
        <v/>
      </c>
      <c r="L198" s="12" t="str">
        <f aca="false">IF(OR(A198="",K198=0),"",ROUND(J198/K198*100,2))</f>
        <v/>
      </c>
      <c r="M198" s="3" t="str">
        <f aca="false">IF(A198="","",TEXT(A198,"yyyy-mm"))</f>
        <v/>
      </c>
    </row>
    <row r="199" customFormat="false" ht="15" hidden="false" customHeight="false" outlineLevel="0" collapsed="false">
      <c r="A199" s="17"/>
      <c r="B199" s="9"/>
      <c r="C199" s="9"/>
      <c r="D199" s="10" t="str">
        <f aca="false">IF(B199="","",IFERROR(INDEX(Products!$D$5:$D$54,MATCH(B199,Products!$A$5:$A$54,0)),0))</f>
        <v/>
      </c>
      <c r="E199" s="10" t="str">
        <f aca="false">IF(B199="","",IFERROR(INDEX(Products!$C$5:$C$54,MATCH(B199,Products!$A$5:$A$54,0)),0))</f>
        <v/>
      </c>
      <c r="F199" s="10"/>
      <c r="G199" s="10"/>
      <c r="H199" s="10" t="str">
        <f aca="false">IF(A199="","",Settings!$B$5)</f>
        <v/>
      </c>
      <c r="I199" s="11" t="str">
        <f aca="false">IF(A199="","",ROUND(K199*(Settings!$B$2+Settings!$B$3)/100+Settings!$B$4,2))</f>
        <v/>
      </c>
      <c r="J199" s="11" t="str">
        <f aca="false">IF(A199="","",ROUND(K199-E199*C199-H199-G199-I199,2))</f>
        <v/>
      </c>
      <c r="K199" s="11" t="str">
        <f aca="false">IF(A199="","",D199*C199+F199)</f>
        <v/>
      </c>
      <c r="L199" s="12" t="str">
        <f aca="false">IF(OR(A199="",K199=0),"",ROUND(J199/K199*100,2))</f>
        <v/>
      </c>
      <c r="M199" s="3" t="str">
        <f aca="false">IF(A199="","",TEXT(A199,"yyyy-mm"))</f>
        <v/>
      </c>
    </row>
    <row r="200" customFormat="false" ht="15" hidden="false" customHeight="false" outlineLevel="0" collapsed="false">
      <c r="A200" s="17"/>
      <c r="B200" s="9"/>
      <c r="C200" s="9"/>
      <c r="D200" s="10" t="str">
        <f aca="false">IF(B200="","",IFERROR(INDEX(Products!$D$5:$D$54,MATCH(B200,Products!$A$5:$A$54,0)),0))</f>
        <v/>
      </c>
      <c r="E200" s="10" t="str">
        <f aca="false">IF(B200="","",IFERROR(INDEX(Products!$C$5:$C$54,MATCH(B200,Products!$A$5:$A$54,0)),0))</f>
        <v/>
      </c>
      <c r="F200" s="10"/>
      <c r="G200" s="10"/>
      <c r="H200" s="10" t="str">
        <f aca="false">IF(A200="","",Settings!$B$5)</f>
        <v/>
      </c>
      <c r="I200" s="11" t="str">
        <f aca="false">IF(A200="","",ROUND(K200*(Settings!$B$2+Settings!$B$3)/100+Settings!$B$4,2))</f>
        <v/>
      </c>
      <c r="J200" s="11" t="str">
        <f aca="false">IF(A200="","",ROUND(K200-E200*C200-H200-G200-I200,2))</f>
        <v/>
      </c>
      <c r="K200" s="11" t="str">
        <f aca="false">IF(A200="","",D200*C200+F200)</f>
        <v/>
      </c>
      <c r="L200" s="12" t="str">
        <f aca="false">IF(OR(A200="",K200=0),"",ROUND(J200/K200*100,2))</f>
        <v/>
      </c>
      <c r="M200" s="3" t="str">
        <f aca="false">IF(A200="","",TEXT(A200,"yyyy-mm"))</f>
        <v/>
      </c>
    </row>
    <row r="201" customFormat="false" ht="15" hidden="false" customHeight="false" outlineLevel="0" collapsed="false">
      <c r="A201" s="17"/>
      <c r="B201" s="9"/>
      <c r="C201" s="9"/>
      <c r="D201" s="10" t="str">
        <f aca="false">IF(B201="","",IFERROR(INDEX(Products!$D$5:$D$54,MATCH(B201,Products!$A$5:$A$54,0)),0))</f>
        <v/>
      </c>
      <c r="E201" s="10" t="str">
        <f aca="false">IF(B201="","",IFERROR(INDEX(Products!$C$5:$C$54,MATCH(B201,Products!$A$5:$A$54,0)),0))</f>
        <v/>
      </c>
      <c r="F201" s="10"/>
      <c r="G201" s="10"/>
      <c r="H201" s="10" t="str">
        <f aca="false">IF(A201="","",Settings!$B$5)</f>
        <v/>
      </c>
      <c r="I201" s="11" t="str">
        <f aca="false">IF(A201="","",ROUND(K201*(Settings!$B$2+Settings!$B$3)/100+Settings!$B$4,2))</f>
        <v/>
      </c>
      <c r="J201" s="11" t="str">
        <f aca="false">IF(A201="","",ROUND(K201-E201*C201-H201-G201-I201,2))</f>
        <v/>
      </c>
      <c r="K201" s="11" t="str">
        <f aca="false">IF(A201="","",D201*C201+F201)</f>
        <v/>
      </c>
      <c r="L201" s="12" t="str">
        <f aca="false">IF(OR(A201="",K201=0),"",ROUND(J201/K201*100,2))</f>
        <v/>
      </c>
      <c r="M201" s="3" t="str">
        <f aca="false">IF(A201="","",TEXT(A201,"yyyy-mm"))</f>
        <v/>
      </c>
    </row>
    <row r="202" customFormat="false" ht="15" hidden="false" customHeight="false" outlineLevel="0" collapsed="false">
      <c r="A202" s="17"/>
      <c r="B202" s="9"/>
      <c r="C202" s="9"/>
      <c r="D202" s="10" t="str">
        <f aca="false">IF(B202="","",IFERROR(INDEX(Products!$D$5:$D$54,MATCH(B202,Products!$A$5:$A$54,0)),0))</f>
        <v/>
      </c>
      <c r="E202" s="10" t="str">
        <f aca="false">IF(B202="","",IFERROR(INDEX(Products!$C$5:$C$54,MATCH(B202,Products!$A$5:$A$54,0)),0))</f>
        <v/>
      </c>
      <c r="F202" s="10"/>
      <c r="G202" s="10"/>
      <c r="H202" s="10" t="str">
        <f aca="false">IF(A202="","",Settings!$B$5)</f>
        <v/>
      </c>
      <c r="I202" s="11" t="str">
        <f aca="false">IF(A202="","",ROUND(K202*(Settings!$B$2+Settings!$B$3)/100+Settings!$B$4,2))</f>
        <v/>
      </c>
      <c r="J202" s="11" t="str">
        <f aca="false">IF(A202="","",ROUND(K202-E202*C202-H202-G202-I202,2))</f>
        <v/>
      </c>
      <c r="K202" s="11" t="str">
        <f aca="false">IF(A202="","",D202*C202+F202)</f>
        <v/>
      </c>
      <c r="L202" s="12" t="str">
        <f aca="false">IF(OR(A202="",K202=0),"",ROUND(J202/K202*100,2))</f>
        <v/>
      </c>
      <c r="M202" s="3" t="str">
        <f aca="false">IF(A202="","",TEXT(A202,"yyyy-mm"))</f>
        <v/>
      </c>
    </row>
    <row r="203" customFormat="false" ht="15" hidden="false" customHeight="false" outlineLevel="0" collapsed="false">
      <c r="A203" s="17"/>
      <c r="B203" s="9"/>
      <c r="C203" s="9"/>
      <c r="D203" s="10" t="str">
        <f aca="false">IF(B203="","",IFERROR(INDEX(Products!$D$5:$D$54,MATCH(B203,Products!$A$5:$A$54,0)),0))</f>
        <v/>
      </c>
      <c r="E203" s="10" t="str">
        <f aca="false">IF(B203="","",IFERROR(INDEX(Products!$C$5:$C$54,MATCH(B203,Products!$A$5:$A$54,0)),0))</f>
        <v/>
      </c>
      <c r="F203" s="10"/>
      <c r="G203" s="10"/>
      <c r="H203" s="10" t="str">
        <f aca="false">IF(A203="","",Settings!$B$5)</f>
        <v/>
      </c>
      <c r="I203" s="11" t="str">
        <f aca="false">IF(A203="","",ROUND(K203*(Settings!$B$2+Settings!$B$3)/100+Settings!$B$4,2))</f>
        <v/>
      </c>
      <c r="J203" s="11" t="str">
        <f aca="false">IF(A203="","",ROUND(K203-E203*C203-H203-G203-I203,2))</f>
        <v/>
      </c>
      <c r="K203" s="11" t="str">
        <f aca="false">IF(A203="","",D203*C203+F203)</f>
        <v/>
      </c>
      <c r="L203" s="12" t="str">
        <f aca="false">IF(OR(A203="",K203=0),"",ROUND(J203/K203*100,2))</f>
        <v/>
      </c>
      <c r="M203" s="3" t="str">
        <f aca="false">IF(A203="","",TEXT(A203,"yyyy-mm"))</f>
        <v/>
      </c>
    </row>
    <row r="204" customFormat="false" ht="15" hidden="false" customHeight="false" outlineLevel="0" collapsed="false">
      <c r="A204" s="17"/>
      <c r="B204" s="9"/>
      <c r="C204" s="9"/>
      <c r="D204" s="10" t="str">
        <f aca="false">IF(B204="","",IFERROR(INDEX(Products!$D$5:$D$54,MATCH(B204,Products!$A$5:$A$54,0)),0))</f>
        <v/>
      </c>
      <c r="E204" s="10" t="str">
        <f aca="false">IF(B204="","",IFERROR(INDEX(Products!$C$5:$C$54,MATCH(B204,Products!$A$5:$A$54,0)),0))</f>
        <v/>
      </c>
      <c r="F204" s="10"/>
      <c r="G204" s="10"/>
      <c r="H204" s="10" t="str">
        <f aca="false">IF(A204="","",Settings!$B$5)</f>
        <v/>
      </c>
      <c r="I204" s="11" t="str">
        <f aca="false">IF(A204="","",ROUND(K204*(Settings!$B$2+Settings!$B$3)/100+Settings!$B$4,2))</f>
        <v/>
      </c>
      <c r="J204" s="11" t="str">
        <f aca="false">IF(A204="","",ROUND(K204-E204*C204-H204-G204-I204,2))</f>
        <v/>
      </c>
      <c r="K204" s="11" t="str">
        <f aca="false">IF(A204="","",D204*C204+F204)</f>
        <v/>
      </c>
      <c r="L204" s="12" t="str">
        <f aca="false">IF(OR(A204="",K204=0),"",ROUND(J204/K204*100,2))</f>
        <v/>
      </c>
      <c r="M204" s="3" t="str">
        <f aca="false">IF(A204="","",TEXT(A204,"yyyy-mm"))</f>
        <v/>
      </c>
    </row>
    <row r="205" customFormat="false" ht="15" hidden="false" customHeight="false" outlineLevel="0" collapsed="false">
      <c r="A205" s="17"/>
      <c r="B205" s="9"/>
      <c r="C205" s="9"/>
      <c r="D205" s="10" t="str">
        <f aca="false">IF(B205="","",IFERROR(INDEX(Products!$D$5:$D$54,MATCH(B205,Products!$A$5:$A$54,0)),0))</f>
        <v/>
      </c>
      <c r="E205" s="10" t="str">
        <f aca="false">IF(B205="","",IFERROR(INDEX(Products!$C$5:$C$54,MATCH(B205,Products!$A$5:$A$54,0)),0))</f>
        <v/>
      </c>
      <c r="F205" s="10"/>
      <c r="G205" s="10"/>
      <c r="H205" s="10" t="str">
        <f aca="false">IF(A205="","",Settings!$B$5)</f>
        <v/>
      </c>
      <c r="I205" s="11" t="str">
        <f aca="false">IF(A205="","",ROUND(K205*(Settings!$B$2+Settings!$B$3)/100+Settings!$B$4,2))</f>
        <v/>
      </c>
      <c r="J205" s="11" t="str">
        <f aca="false">IF(A205="","",ROUND(K205-E205*C205-H205-G205-I205,2))</f>
        <v/>
      </c>
      <c r="K205" s="11" t="str">
        <f aca="false">IF(A205="","",D205*C205+F205)</f>
        <v/>
      </c>
      <c r="L205" s="12" t="str">
        <f aca="false">IF(OR(A205="",K205=0),"",ROUND(J205/K205*100,2))</f>
        <v/>
      </c>
      <c r="M205" s="3" t="str">
        <f aca="false">IF(A205="","",TEXT(A205,"yyyy-mm"))</f>
        <v/>
      </c>
    </row>
    <row r="206" customFormat="false" ht="15" hidden="false" customHeight="false" outlineLevel="0" collapsed="false">
      <c r="A206" s="17"/>
      <c r="B206" s="9"/>
      <c r="C206" s="9"/>
      <c r="D206" s="10" t="str">
        <f aca="false">IF(B206="","",IFERROR(INDEX(Products!$D$5:$D$54,MATCH(B206,Products!$A$5:$A$54,0)),0))</f>
        <v/>
      </c>
      <c r="E206" s="10" t="str">
        <f aca="false">IF(B206="","",IFERROR(INDEX(Products!$C$5:$C$54,MATCH(B206,Products!$A$5:$A$54,0)),0))</f>
        <v/>
      </c>
      <c r="F206" s="10"/>
      <c r="G206" s="10"/>
      <c r="H206" s="10" t="str">
        <f aca="false">IF(A206="","",Settings!$B$5)</f>
        <v/>
      </c>
      <c r="I206" s="11" t="str">
        <f aca="false">IF(A206="","",ROUND(K206*(Settings!$B$2+Settings!$B$3)/100+Settings!$B$4,2))</f>
        <v/>
      </c>
      <c r="J206" s="11" t="str">
        <f aca="false">IF(A206="","",ROUND(K206-E206*C206-H206-G206-I206,2))</f>
        <v/>
      </c>
      <c r="K206" s="11" t="str">
        <f aca="false">IF(A206="","",D206*C206+F206)</f>
        <v/>
      </c>
      <c r="L206" s="12" t="str">
        <f aca="false">IF(OR(A206="",K206=0),"",ROUND(J206/K206*100,2))</f>
        <v/>
      </c>
      <c r="M206" s="3" t="str">
        <f aca="false">IF(A206="","",TEXT(A206,"yyyy-mm"))</f>
        <v/>
      </c>
    </row>
    <row r="207" customFormat="false" ht="15" hidden="false" customHeight="false" outlineLevel="0" collapsed="false">
      <c r="A207" s="17"/>
      <c r="B207" s="9"/>
      <c r="C207" s="9"/>
      <c r="D207" s="10" t="str">
        <f aca="false">IF(B207="","",IFERROR(INDEX(Products!$D$5:$D$54,MATCH(B207,Products!$A$5:$A$54,0)),0))</f>
        <v/>
      </c>
      <c r="E207" s="10" t="str">
        <f aca="false">IF(B207="","",IFERROR(INDEX(Products!$C$5:$C$54,MATCH(B207,Products!$A$5:$A$54,0)),0))</f>
        <v/>
      </c>
      <c r="F207" s="10"/>
      <c r="G207" s="10"/>
      <c r="H207" s="10" t="str">
        <f aca="false">IF(A207="","",Settings!$B$5)</f>
        <v/>
      </c>
      <c r="I207" s="11" t="str">
        <f aca="false">IF(A207="","",ROUND(K207*(Settings!$B$2+Settings!$B$3)/100+Settings!$B$4,2))</f>
        <v/>
      </c>
      <c r="J207" s="11" t="str">
        <f aca="false">IF(A207="","",ROUND(K207-E207*C207-H207-G207-I207,2))</f>
        <v/>
      </c>
      <c r="K207" s="11" t="str">
        <f aca="false">IF(A207="","",D207*C207+F207)</f>
        <v/>
      </c>
      <c r="L207" s="12" t="str">
        <f aca="false">IF(OR(A207="",K207=0),"",ROUND(J207/K207*100,2))</f>
        <v/>
      </c>
      <c r="M207" s="3" t="str">
        <f aca="false">IF(A207="","",TEXT(A207,"yyyy-mm"))</f>
        <v/>
      </c>
    </row>
    <row r="208" customFormat="false" ht="15" hidden="false" customHeight="false" outlineLevel="0" collapsed="false">
      <c r="A208" s="17"/>
      <c r="B208" s="9"/>
      <c r="C208" s="9"/>
      <c r="D208" s="10" t="str">
        <f aca="false">IF(B208="","",IFERROR(INDEX(Products!$D$5:$D$54,MATCH(B208,Products!$A$5:$A$54,0)),0))</f>
        <v/>
      </c>
      <c r="E208" s="10" t="str">
        <f aca="false">IF(B208="","",IFERROR(INDEX(Products!$C$5:$C$54,MATCH(B208,Products!$A$5:$A$54,0)),0))</f>
        <v/>
      </c>
      <c r="F208" s="10"/>
      <c r="G208" s="10"/>
      <c r="H208" s="10" t="str">
        <f aca="false">IF(A208="","",Settings!$B$5)</f>
        <v/>
      </c>
      <c r="I208" s="11" t="str">
        <f aca="false">IF(A208="","",ROUND(K208*(Settings!$B$2+Settings!$B$3)/100+Settings!$B$4,2))</f>
        <v/>
      </c>
      <c r="J208" s="11" t="str">
        <f aca="false">IF(A208="","",ROUND(K208-E208*C208-H208-G208-I208,2))</f>
        <v/>
      </c>
      <c r="K208" s="11" t="str">
        <f aca="false">IF(A208="","",D208*C208+F208)</f>
        <v/>
      </c>
      <c r="L208" s="12" t="str">
        <f aca="false">IF(OR(A208="",K208=0),"",ROUND(J208/K208*100,2))</f>
        <v/>
      </c>
      <c r="M208" s="3" t="str">
        <f aca="false">IF(A208="","",TEXT(A208,"yyyy-mm"))</f>
        <v/>
      </c>
    </row>
    <row r="209" customFormat="false" ht="15" hidden="false" customHeight="false" outlineLevel="0" collapsed="false">
      <c r="A209" s="17"/>
      <c r="B209" s="9"/>
      <c r="C209" s="9"/>
      <c r="D209" s="10" t="str">
        <f aca="false">IF(B209="","",IFERROR(INDEX(Products!$D$5:$D$54,MATCH(B209,Products!$A$5:$A$54,0)),0))</f>
        <v/>
      </c>
      <c r="E209" s="10" t="str">
        <f aca="false">IF(B209="","",IFERROR(INDEX(Products!$C$5:$C$54,MATCH(B209,Products!$A$5:$A$54,0)),0))</f>
        <v/>
      </c>
      <c r="F209" s="10"/>
      <c r="G209" s="10"/>
      <c r="H209" s="10" t="str">
        <f aca="false">IF(A209="","",Settings!$B$5)</f>
        <v/>
      </c>
      <c r="I209" s="11" t="str">
        <f aca="false">IF(A209="","",ROUND(K209*(Settings!$B$2+Settings!$B$3)/100+Settings!$B$4,2))</f>
        <v/>
      </c>
      <c r="J209" s="11" t="str">
        <f aca="false">IF(A209="","",ROUND(K209-E209*C209-H209-G209-I209,2))</f>
        <v/>
      </c>
      <c r="K209" s="11" t="str">
        <f aca="false">IF(A209="","",D209*C209+F209)</f>
        <v/>
      </c>
      <c r="L209" s="12" t="str">
        <f aca="false">IF(OR(A209="",K209=0),"",ROUND(J209/K209*100,2))</f>
        <v/>
      </c>
      <c r="M209" s="3" t="str">
        <f aca="false">IF(A209="","",TEXT(A209,"yyyy-mm"))</f>
        <v/>
      </c>
    </row>
    <row r="210" customFormat="false" ht="15" hidden="false" customHeight="false" outlineLevel="0" collapsed="false">
      <c r="A210" s="17"/>
      <c r="B210" s="9"/>
      <c r="C210" s="9"/>
      <c r="D210" s="10" t="str">
        <f aca="false">IF(B210="","",IFERROR(INDEX(Products!$D$5:$D$54,MATCH(B210,Products!$A$5:$A$54,0)),0))</f>
        <v/>
      </c>
      <c r="E210" s="10" t="str">
        <f aca="false">IF(B210="","",IFERROR(INDEX(Products!$C$5:$C$54,MATCH(B210,Products!$A$5:$A$54,0)),0))</f>
        <v/>
      </c>
      <c r="F210" s="10"/>
      <c r="G210" s="10"/>
      <c r="H210" s="10" t="str">
        <f aca="false">IF(A210="","",Settings!$B$5)</f>
        <v/>
      </c>
      <c r="I210" s="11" t="str">
        <f aca="false">IF(A210="","",ROUND(K210*(Settings!$B$2+Settings!$B$3)/100+Settings!$B$4,2))</f>
        <v/>
      </c>
      <c r="J210" s="11" t="str">
        <f aca="false">IF(A210="","",ROUND(K210-E210*C210-H210-G210-I210,2))</f>
        <v/>
      </c>
      <c r="K210" s="11" t="str">
        <f aca="false">IF(A210="","",D210*C210+F210)</f>
        <v/>
      </c>
      <c r="L210" s="12" t="str">
        <f aca="false">IF(OR(A210="",K210=0),"",ROUND(J210/K210*100,2))</f>
        <v/>
      </c>
      <c r="M210" s="3" t="str">
        <f aca="false">IF(A210="","",TEXT(A210,"yyyy-mm"))</f>
        <v/>
      </c>
    </row>
    <row r="211" customFormat="false" ht="15" hidden="false" customHeight="false" outlineLevel="0" collapsed="false">
      <c r="A211" s="17"/>
      <c r="B211" s="9"/>
      <c r="C211" s="9"/>
      <c r="D211" s="10" t="str">
        <f aca="false">IF(B211="","",IFERROR(INDEX(Products!$D$5:$D$54,MATCH(B211,Products!$A$5:$A$54,0)),0))</f>
        <v/>
      </c>
      <c r="E211" s="10" t="str">
        <f aca="false">IF(B211="","",IFERROR(INDEX(Products!$C$5:$C$54,MATCH(B211,Products!$A$5:$A$54,0)),0))</f>
        <v/>
      </c>
      <c r="F211" s="10"/>
      <c r="G211" s="10"/>
      <c r="H211" s="10" t="str">
        <f aca="false">IF(A211="","",Settings!$B$5)</f>
        <v/>
      </c>
      <c r="I211" s="11" t="str">
        <f aca="false">IF(A211="","",ROUND(K211*(Settings!$B$2+Settings!$B$3)/100+Settings!$B$4,2))</f>
        <v/>
      </c>
      <c r="J211" s="11" t="str">
        <f aca="false">IF(A211="","",ROUND(K211-E211*C211-H211-G211-I211,2))</f>
        <v/>
      </c>
      <c r="K211" s="11" t="str">
        <f aca="false">IF(A211="","",D211*C211+F211)</f>
        <v/>
      </c>
      <c r="L211" s="12" t="str">
        <f aca="false">IF(OR(A211="",K211=0),"",ROUND(J211/K211*100,2))</f>
        <v/>
      </c>
      <c r="M211" s="3" t="str">
        <f aca="false">IF(A211="","",TEXT(A211,"yyyy-mm"))</f>
        <v/>
      </c>
    </row>
    <row r="212" customFormat="false" ht="15" hidden="false" customHeight="false" outlineLevel="0" collapsed="false">
      <c r="A212" s="17"/>
      <c r="B212" s="9"/>
      <c r="C212" s="9"/>
      <c r="D212" s="10" t="str">
        <f aca="false">IF(B212="","",IFERROR(INDEX(Products!$D$5:$D$54,MATCH(B212,Products!$A$5:$A$54,0)),0))</f>
        <v/>
      </c>
      <c r="E212" s="10" t="str">
        <f aca="false">IF(B212="","",IFERROR(INDEX(Products!$C$5:$C$54,MATCH(B212,Products!$A$5:$A$54,0)),0))</f>
        <v/>
      </c>
      <c r="F212" s="10"/>
      <c r="G212" s="10"/>
      <c r="H212" s="10" t="str">
        <f aca="false">IF(A212="","",Settings!$B$5)</f>
        <v/>
      </c>
      <c r="I212" s="11" t="str">
        <f aca="false">IF(A212="","",ROUND(K212*(Settings!$B$2+Settings!$B$3)/100+Settings!$B$4,2))</f>
        <v/>
      </c>
      <c r="J212" s="11" t="str">
        <f aca="false">IF(A212="","",ROUND(K212-E212*C212-H212-G212-I212,2))</f>
        <v/>
      </c>
      <c r="K212" s="11" t="str">
        <f aca="false">IF(A212="","",D212*C212+F212)</f>
        <v/>
      </c>
      <c r="L212" s="12" t="str">
        <f aca="false">IF(OR(A212="",K212=0),"",ROUND(J212/K212*100,2))</f>
        <v/>
      </c>
      <c r="M212" s="3" t="str">
        <f aca="false">IF(A212="","",TEXT(A212,"yyyy-mm"))</f>
        <v/>
      </c>
    </row>
    <row r="213" customFormat="false" ht="15" hidden="false" customHeight="false" outlineLevel="0" collapsed="false">
      <c r="A213" s="17"/>
      <c r="B213" s="9"/>
      <c r="C213" s="9"/>
      <c r="D213" s="10" t="str">
        <f aca="false">IF(B213="","",IFERROR(INDEX(Products!$D$5:$D$54,MATCH(B213,Products!$A$5:$A$54,0)),0))</f>
        <v/>
      </c>
      <c r="E213" s="10" t="str">
        <f aca="false">IF(B213="","",IFERROR(INDEX(Products!$C$5:$C$54,MATCH(B213,Products!$A$5:$A$54,0)),0))</f>
        <v/>
      </c>
      <c r="F213" s="10"/>
      <c r="G213" s="10"/>
      <c r="H213" s="10" t="str">
        <f aca="false">IF(A213="","",Settings!$B$5)</f>
        <v/>
      </c>
      <c r="I213" s="11" t="str">
        <f aca="false">IF(A213="","",ROUND(K213*(Settings!$B$2+Settings!$B$3)/100+Settings!$B$4,2))</f>
        <v/>
      </c>
      <c r="J213" s="11" t="str">
        <f aca="false">IF(A213="","",ROUND(K213-E213*C213-H213-G213-I213,2))</f>
        <v/>
      </c>
      <c r="K213" s="11" t="str">
        <f aca="false">IF(A213="","",D213*C213+F213)</f>
        <v/>
      </c>
      <c r="L213" s="12" t="str">
        <f aca="false">IF(OR(A213="",K213=0),"",ROUND(J213/K213*100,2))</f>
        <v/>
      </c>
      <c r="M213" s="3" t="str">
        <f aca="false">IF(A213="","",TEXT(A213,"yyyy-mm"))</f>
        <v/>
      </c>
    </row>
    <row r="214" customFormat="false" ht="15" hidden="false" customHeight="false" outlineLevel="0" collapsed="false">
      <c r="A214" s="17"/>
      <c r="B214" s="9"/>
      <c r="C214" s="9"/>
      <c r="D214" s="10" t="str">
        <f aca="false">IF(B214="","",IFERROR(INDEX(Products!$D$5:$D$54,MATCH(B214,Products!$A$5:$A$54,0)),0))</f>
        <v/>
      </c>
      <c r="E214" s="10" t="str">
        <f aca="false">IF(B214="","",IFERROR(INDEX(Products!$C$5:$C$54,MATCH(B214,Products!$A$5:$A$54,0)),0))</f>
        <v/>
      </c>
      <c r="F214" s="10"/>
      <c r="G214" s="10"/>
      <c r="H214" s="10" t="str">
        <f aca="false">IF(A214="","",Settings!$B$5)</f>
        <v/>
      </c>
      <c r="I214" s="11" t="str">
        <f aca="false">IF(A214="","",ROUND(K214*(Settings!$B$2+Settings!$B$3)/100+Settings!$B$4,2))</f>
        <v/>
      </c>
      <c r="J214" s="11" t="str">
        <f aca="false">IF(A214="","",ROUND(K214-E214*C214-H214-G214-I214,2))</f>
        <v/>
      </c>
      <c r="K214" s="11" t="str">
        <f aca="false">IF(A214="","",D214*C214+F214)</f>
        <v/>
      </c>
      <c r="L214" s="12" t="str">
        <f aca="false">IF(OR(A214="",K214=0),"",ROUND(J214/K214*100,2))</f>
        <v/>
      </c>
      <c r="M214" s="3" t="str">
        <f aca="false">IF(A214="","",TEXT(A214,"yyyy-mm"))</f>
        <v/>
      </c>
    </row>
    <row r="215" customFormat="false" ht="15" hidden="false" customHeight="false" outlineLevel="0" collapsed="false">
      <c r="A215" s="17"/>
      <c r="B215" s="9"/>
      <c r="C215" s="9"/>
      <c r="D215" s="10" t="str">
        <f aca="false">IF(B215="","",IFERROR(INDEX(Products!$D$5:$D$54,MATCH(B215,Products!$A$5:$A$54,0)),0))</f>
        <v/>
      </c>
      <c r="E215" s="10" t="str">
        <f aca="false">IF(B215="","",IFERROR(INDEX(Products!$C$5:$C$54,MATCH(B215,Products!$A$5:$A$54,0)),0))</f>
        <v/>
      </c>
      <c r="F215" s="10"/>
      <c r="G215" s="10"/>
      <c r="H215" s="10" t="str">
        <f aca="false">IF(A215="","",Settings!$B$5)</f>
        <v/>
      </c>
      <c r="I215" s="11" t="str">
        <f aca="false">IF(A215="","",ROUND(K215*(Settings!$B$2+Settings!$B$3)/100+Settings!$B$4,2))</f>
        <v/>
      </c>
      <c r="J215" s="11" t="str">
        <f aca="false">IF(A215="","",ROUND(K215-E215*C215-H215-G215-I215,2))</f>
        <v/>
      </c>
      <c r="K215" s="11" t="str">
        <f aca="false">IF(A215="","",D215*C215+F215)</f>
        <v/>
      </c>
      <c r="L215" s="12" t="str">
        <f aca="false">IF(OR(A215="",K215=0),"",ROUND(J215/K215*100,2))</f>
        <v/>
      </c>
      <c r="M215" s="3" t="str">
        <f aca="false">IF(A215="","",TEXT(A215,"yyyy-mm"))</f>
        <v/>
      </c>
    </row>
    <row r="216" customFormat="false" ht="15" hidden="false" customHeight="false" outlineLevel="0" collapsed="false">
      <c r="A216" s="17"/>
      <c r="B216" s="9"/>
      <c r="C216" s="9"/>
      <c r="D216" s="10" t="str">
        <f aca="false">IF(B216="","",IFERROR(INDEX(Products!$D$5:$D$54,MATCH(B216,Products!$A$5:$A$54,0)),0))</f>
        <v/>
      </c>
      <c r="E216" s="10" t="str">
        <f aca="false">IF(B216="","",IFERROR(INDEX(Products!$C$5:$C$54,MATCH(B216,Products!$A$5:$A$54,0)),0))</f>
        <v/>
      </c>
      <c r="F216" s="10"/>
      <c r="G216" s="10"/>
      <c r="H216" s="10" t="str">
        <f aca="false">IF(A216="","",Settings!$B$5)</f>
        <v/>
      </c>
      <c r="I216" s="11" t="str">
        <f aca="false">IF(A216="","",ROUND(K216*(Settings!$B$2+Settings!$B$3)/100+Settings!$B$4,2))</f>
        <v/>
      </c>
      <c r="J216" s="11" t="str">
        <f aca="false">IF(A216="","",ROUND(K216-E216*C216-H216-G216-I216,2))</f>
        <v/>
      </c>
      <c r="K216" s="11" t="str">
        <f aca="false">IF(A216="","",D216*C216+F216)</f>
        <v/>
      </c>
      <c r="L216" s="12" t="str">
        <f aca="false">IF(OR(A216="",K216=0),"",ROUND(J216/K216*100,2))</f>
        <v/>
      </c>
      <c r="M216" s="3" t="str">
        <f aca="false">IF(A216="","",TEXT(A216,"yyyy-mm"))</f>
        <v/>
      </c>
    </row>
    <row r="217" customFormat="false" ht="15" hidden="false" customHeight="false" outlineLevel="0" collapsed="false">
      <c r="A217" s="17"/>
      <c r="B217" s="9"/>
      <c r="C217" s="9"/>
      <c r="D217" s="10" t="str">
        <f aca="false">IF(B217="","",IFERROR(INDEX(Products!$D$5:$D$54,MATCH(B217,Products!$A$5:$A$54,0)),0))</f>
        <v/>
      </c>
      <c r="E217" s="10" t="str">
        <f aca="false">IF(B217="","",IFERROR(INDEX(Products!$C$5:$C$54,MATCH(B217,Products!$A$5:$A$54,0)),0))</f>
        <v/>
      </c>
      <c r="F217" s="10"/>
      <c r="G217" s="10"/>
      <c r="H217" s="10" t="str">
        <f aca="false">IF(A217="","",Settings!$B$5)</f>
        <v/>
      </c>
      <c r="I217" s="11" t="str">
        <f aca="false">IF(A217="","",ROUND(K217*(Settings!$B$2+Settings!$B$3)/100+Settings!$B$4,2))</f>
        <v/>
      </c>
      <c r="J217" s="11" t="str">
        <f aca="false">IF(A217="","",ROUND(K217-E217*C217-H217-G217-I217,2))</f>
        <v/>
      </c>
      <c r="K217" s="11" t="str">
        <f aca="false">IF(A217="","",D217*C217+F217)</f>
        <v/>
      </c>
      <c r="L217" s="12" t="str">
        <f aca="false">IF(OR(A217="",K217=0),"",ROUND(J217/K217*100,2))</f>
        <v/>
      </c>
      <c r="M217" s="3" t="str">
        <f aca="false">IF(A217="","",TEXT(A217,"yyyy-mm"))</f>
        <v/>
      </c>
    </row>
    <row r="218" customFormat="false" ht="15" hidden="false" customHeight="false" outlineLevel="0" collapsed="false">
      <c r="A218" s="17"/>
      <c r="B218" s="9"/>
      <c r="C218" s="9"/>
      <c r="D218" s="10" t="str">
        <f aca="false">IF(B218="","",IFERROR(INDEX(Products!$D$5:$D$54,MATCH(B218,Products!$A$5:$A$54,0)),0))</f>
        <v/>
      </c>
      <c r="E218" s="10" t="str">
        <f aca="false">IF(B218="","",IFERROR(INDEX(Products!$C$5:$C$54,MATCH(B218,Products!$A$5:$A$54,0)),0))</f>
        <v/>
      </c>
      <c r="F218" s="10"/>
      <c r="G218" s="10"/>
      <c r="H218" s="10" t="str">
        <f aca="false">IF(A218="","",Settings!$B$5)</f>
        <v/>
      </c>
      <c r="I218" s="11" t="str">
        <f aca="false">IF(A218="","",ROUND(K218*(Settings!$B$2+Settings!$B$3)/100+Settings!$B$4,2))</f>
        <v/>
      </c>
      <c r="J218" s="11" t="str">
        <f aca="false">IF(A218="","",ROUND(K218-E218*C218-H218-G218-I218,2))</f>
        <v/>
      </c>
      <c r="K218" s="11" t="str">
        <f aca="false">IF(A218="","",D218*C218+F218)</f>
        <v/>
      </c>
      <c r="L218" s="12" t="str">
        <f aca="false">IF(OR(A218="",K218=0),"",ROUND(J218/K218*100,2))</f>
        <v/>
      </c>
      <c r="M218" s="3" t="str">
        <f aca="false">IF(A218="","",TEXT(A218,"yyyy-mm"))</f>
        <v/>
      </c>
    </row>
    <row r="219" customFormat="false" ht="15" hidden="false" customHeight="false" outlineLevel="0" collapsed="false">
      <c r="A219" s="17"/>
      <c r="B219" s="9"/>
      <c r="C219" s="9"/>
      <c r="D219" s="10" t="str">
        <f aca="false">IF(B219="","",IFERROR(INDEX(Products!$D$5:$D$54,MATCH(B219,Products!$A$5:$A$54,0)),0))</f>
        <v/>
      </c>
      <c r="E219" s="10" t="str">
        <f aca="false">IF(B219="","",IFERROR(INDEX(Products!$C$5:$C$54,MATCH(B219,Products!$A$5:$A$54,0)),0))</f>
        <v/>
      </c>
      <c r="F219" s="10"/>
      <c r="G219" s="10"/>
      <c r="H219" s="10" t="str">
        <f aca="false">IF(A219="","",Settings!$B$5)</f>
        <v/>
      </c>
      <c r="I219" s="11" t="str">
        <f aca="false">IF(A219="","",ROUND(K219*(Settings!$B$2+Settings!$B$3)/100+Settings!$B$4,2))</f>
        <v/>
      </c>
      <c r="J219" s="11" t="str">
        <f aca="false">IF(A219="","",ROUND(K219-E219*C219-H219-G219-I219,2))</f>
        <v/>
      </c>
      <c r="K219" s="11" t="str">
        <f aca="false">IF(A219="","",D219*C219+F219)</f>
        <v/>
      </c>
      <c r="L219" s="12" t="str">
        <f aca="false">IF(OR(A219="",K219=0),"",ROUND(J219/K219*100,2))</f>
        <v/>
      </c>
      <c r="M219" s="3" t="str">
        <f aca="false">IF(A219="","",TEXT(A219,"yyyy-mm"))</f>
        <v/>
      </c>
    </row>
    <row r="220" customFormat="false" ht="15" hidden="false" customHeight="false" outlineLevel="0" collapsed="false">
      <c r="A220" s="17"/>
      <c r="B220" s="9"/>
      <c r="C220" s="9"/>
      <c r="D220" s="10" t="str">
        <f aca="false">IF(B220="","",IFERROR(INDEX(Products!$D$5:$D$54,MATCH(B220,Products!$A$5:$A$54,0)),0))</f>
        <v/>
      </c>
      <c r="E220" s="10" t="str">
        <f aca="false">IF(B220="","",IFERROR(INDEX(Products!$C$5:$C$54,MATCH(B220,Products!$A$5:$A$54,0)),0))</f>
        <v/>
      </c>
      <c r="F220" s="10"/>
      <c r="G220" s="10"/>
      <c r="H220" s="10" t="str">
        <f aca="false">IF(A220="","",Settings!$B$5)</f>
        <v/>
      </c>
      <c r="I220" s="11" t="str">
        <f aca="false">IF(A220="","",ROUND(K220*(Settings!$B$2+Settings!$B$3)/100+Settings!$B$4,2))</f>
        <v/>
      </c>
      <c r="J220" s="11" t="str">
        <f aca="false">IF(A220="","",ROUND(K220-E220*C220-H220-G220-I220,2))</f>
        <v/>
      </c>
      <c r="K220" s="11" t="str">
        <f aca="false">IF(A220="","",D220*C220+F220)</f>
        <v/>
      </c>
      <c r="L220" s="12" t="str">
        <f aca="false">IF(OR(A220="",K220=0),"",ROUND(J220/K220*100,2))</f>
        <v/>
      </c>
      <c r="M220" s="3" t="str">
        <f aca="false">IF(A220="","",TEXT(A220,"yyyy-mm"))</f>
        <v/>
      </c>
    </row>
    <row r="221" customFormat="false" ht="15" hidden="false" customHeight="false" outlineLevel="0" collapsed="false">
      <c r="A221" s="17"/>
      <c r="B221" s="9"/>
      <c r="C221" s="9"/>
      <c r="D221" s="10" t="str">
        <f aca="false">IF(B221="","",IFERROR(INDEX(Products!$D$5:$D$54,MATCH(B221,Products!$A$5:$A$54,0)),0))</f>
        <v/>
      </c>
      <c r="E221" s="10" t="str">
        <f aca="false">IF(B221="","",IFERROR(INDEX(Products!$C$5:$C$54,MATCH(B221,Products!$A$5:$A$54,0)),0))</f>
        <v/>
      </c>
      <c r="F221" s="10"/>
      <c r="G221" s="10"/>
      <c r="H221" s="10" t="str">
        <f aca="false">IF(A221="","",Settings!$B$5)</f>
        <v/>
      </c>
      <c r="I221" s="11" t="str">
        <f aca="false">IF(A221="","",ROUND(K221*(Settings!$B$2+Settings!$B$3)/100+Settings!$B$4,2))</f>
        <v/>
      </c>
      <c r="J221" s="11" t="str">
        <f aca="false">IF(A221="","",ROUND(K221-E221*C221-H221-G221-I221,2))</f>
        <v/>
      </c>
      <c r="K221" s="11" t="str">
        <f aca="false">IF(A221="","",D221*C221+F221)</f>
        <v/>
      </c>
      <c r="L221" s="12" t="str">
        <f aca="false">IF(OR(A221="",K221=0),"",ROUND(J221/K221*100,2))</f>
        <v/>
      </c>
      <c r="M221" s="3" t="str">
        <f aca="false">IF(A221="","",TEXT(A221,"yyyy-mm"))</f>
        <v/>
      </c>
    </row>
    <row r="222" customFormat="false" ht="15" hidden="false" customHeight="false" outlineLevel="0" collapsed="false">
      <c r="A222" s="17"/>
      <c r="B222" s="9"/>
      <c r="C222" s="9"/>
      <c r="D222" s="10" t="str">
        <f aca="false">IF(B222="","",IFERROR(INDEX(Products!$D$5:$D$54,MATCH(B222,Products!$A$5:$A$54,0)),0))</f>
        <v/>
      </c>
      <c r="E222" s="10" t="str">
        <f aca="false">IF(B222="","",IFERROR(INDEX(Products!$C$5:$C$54,MATCH(B222,Products!$A$5:$A$54,0)),0))</f>
        <v/>
      </c>
      <c r="F222" s="10"/>
      <c r="G222" s="10"/>
      <c r="H222" s="10" t="str">
        <f aca="false">IF(A222="","",Settings!$B$5)</f>
        <v/>
      </c>
      <c r="I222" s="11" t="str">
        <f aca="false">IF(A222="","",ROUND(K222*(Settings!$B$2+Settings!$B$3)/100+Settings!$B$4,2))</f>
        <v/>
      </c>
      <c r="J222" s="11" t="str">
        <f aca="false">IF(A222="","",ROUND(K222-E222*C222-H222-G222-I222,2))</f>
        <v/>
      </c>
      <c r="K222" s="11" t="str">
        <f aca="false">IF(A222="","",D222*C222+F222)</f>
        <v/>
      </c>
      <c r="L222" s="12" t="str">
        <f aca="false">IF(OR(A222="",K222=0),"",ROUND(J222/K222*100,2))</f>
        <v/>
      </c>
      <c r="M222" s="3" t="str">
        <f aca="false">IF(A222="","",TEXT(A222,"yyyy-mm"))</f>
        <v/>
      </c>
    </row>
    <row r="223" customFormat="false" ht="15" hidden="false" customHeight="false" outlineLevel="0" collapsed="false">
      <c r="A223" s="17"/>
      <c r="B223" s="9"/>
      <c r="C223" s="9"/>
      <c r="D223" s="10" t="str">
        <f aca="false">IF(B223="","",IFERROR(INDEX(Products!$D$5:$D$54,MATCH(B223,Products!$A$5:$A$54,0)),0))</f>
        <v/>
      </c>
      <c r="E223" s="10" t="str">
        <f aca="false">IF(B223="","",IFERROR(INDEX(Products!$C$5:$C$54,MATCH(B223,Products!$A$5:$A$54,0)),0))</f>
        <v/>
      </c>
      <c r="F223" s="10"/>
      <c r="G223" s="10"/>
      <c r="H223" s="10" t="str">
        <f aca="false">IF(A223="","",Settings!$B$5)</f>
        <v/>
      </c>
      <c r="I223" s="11" t="str">
        <f aca="false">IF(A223="","",ROUND(K223*(Settings!$B$2+Settings!$B$3)/100+Settings!$B$4,2))</f>
        <v/>
      </c>
      <c r="J223" s="11" t="str">
        <f aca="false">IF(A223="","",ROUND(K223-E223*C223-H223-G223-I223,2))</f>
        <v/>
      </c>
      <c r="K223" s="11" t="str">
        <f aca="false">IF(A223="","",D223*C223+F223)</f>
        <v/>
      </c>
      <c r="L223" s="12" t="str">
        <f aca="false">IF(OR(A223="",K223=0),"",ROUND(J223/K223*100,2))</f>
        <v/>
      </c>
      <c r="M223" s="3" t="str">
        <f aca="false">IF(A223="","",TEXT(A223,"yyyy-mm"))</f>
        <v/>
      </c>
    </row>
    <row r="224" customFormat="false" ht="15" hidden="false" customHeight="false" outlineLevel="0" collapsed="false">
      <c r="A224" s="17"/>
      <c r="B224" s="9"/>
      <c r="C224" s="9"/>
      <c r="D224" s="10" t="str">
        <f aca="false">IF(B224="","",IFERROR(INDEX(Products!$D$5:$D$54,MATCH(B224,Products!$A$5:$A$54,0)),0))</f>
        <v/>
      </c>
      <c r="E224" s="10" t="str">
        <f aca="false">IF(B224="","",IFERROR(INDEX(Products!$C$5:$C$54,MATCH(B224,Products!$A$5:$A$54,0)),0))</f>
        <v/>
      </c>
      <c r="F224" s="10"/>
      <c r="G224" s="10"/>
      <c r="H224" s="10" t="str">
        <f aca="false">IF(A224="","",Settings!$B$5)</f>
        <v/>
      </c>
      <c r="I224" s="11" t="str">
        <f aca="false">IF(A224="","",ROUND(K224*(Settings!$B$2+Settings!$B$3)/100+Settings!$B$4,2))</f>
        <v/>
      </c>
      <c r="J224" s="11" t="str">
        <f aca="false">IF(A224="","",ROUND(K224-E224*C224-H224-G224-I224,2))</f>
        <v/>
      </c>
      <c r="K224" s="11" t="str">
        <f aca="false">IF(A224="","",D224*C224+F224)</f>
        <v/>
      </c>
      <c r="L224" s="12" t="str">
        <f aca="false">IF(OR(A224="",K224=0),"",ROUND(J224/K224*100,2))</f>
        <v/>
      </c>
      <c r="M224" s="3" t="str">
        <f aca="false">IF(A224="","",TEXT(A224,"yyyy-mm"))</f>
        <v/>
      </c>
    </row>
    <row r="225" customFormat="false" ht="15" hidden="false" customHeight="false" outlineLevel="0" collapsed="false">
      <c r="A225" s="17"/>
      <c r="B225" s="9"/>
      <c r="C225" s="9"/>
      <c r="D225" s="10" t="str">
        <f aca="false">IF(B225="","",IFERROR(INDEX(Products!$D$5:$D$54,MATCH(B225,Products!$A$5:$A$54,0)),0))</f>
        <v/>
      </c>
      <c r="E225" s="10" t="str">
        <f aca="false">IF(B225="","",IFERROR(INDEX(Products!$C$5:$C$54,MATCH(B225,Products!$A$5:$A$54,0)),0))</f>
        <v/>
      </c>
      <c r="F225" s="10"/>
      <c r="G225" s="10"/>
      <c r="H225" s="10" t="str">
        <f aca="false">IF(A225="","",Settings!$B$5)</f>
        <v/>
      </c>
      <c r="I225" s="11" t="str">
        <f aca="false">IF(A225="","",ROUND(K225*(Settings!$B$2+Settings!$B$3)/100+Settings!$B$4,2))</f>
        <v/>
      </c>
      <c r="J225" s="11" t="str">
        <f aca="false">IF(A225="","",ROUND(K225-E225*C225-H225-G225-I225,2))</f>
        <v/>
      </c>
      <c r="K225" s="11" t="str">
        <f aca="false">IF(A225="","",D225*C225+F225)</f>
        <v/>
      </c>
      <c r="L225" s="12" t="str">
        <f aca="false">IF(OR(A225="",K225=0),"",ROUND(J225/K225*100,2))</f>
        <v/>
      </c>
      <c r="M225" s="3" t="str">
        <f aca="false">IF(A225="","",TEXT(A225,"yyyy-mm"))</f>
        <v/>
      </c>
    </row>
    <row r="226" customFormat="false" ht="15" hidden="false" customHeight="false" outlineLevel="0" collapsed="false">
      <c r="A226" s="17"/>
      <c r="B226" s="9"/>
      <c r="C226" s="9"/>
      <c r="D226" s="10" t="str">
        <f aca="false">IF(B226="","",IFERROR(INDEX(Products!$D$5:$D$54,MATCH(B226,Products!$A$5:$A$54,0)),0))</f>
        <v/>
      </c>
      <c r="E226" s="10" t="str">
        <f aca="false">IF(B226="","",IFERROR(INDEX(Products!$C$5:$C$54,MATCH(B226,Products!$A$5:$A$54,0)),0))</f>
        <v/>
      </c>
      <c r="F226" s="10"/>
      <c r="G226" s="10"/>
      <c r="H226" s="10" t="str">
        <f aca="false">IF(A226="","",Settings!$B$5)</f>
        <v/>
      </c>
      <c r="I226" s="11" t="str">
        <f aca="false">IF(A226="","",ROUND(K226*(Settings!$B$2+Settings!$B$3)/100+Settings!$B$4,2))</f>
        <v/>
      </c>
      <c r="J226" s="11" t="str">
        <f aca="false">IF(A226="","",ROUND(K226-E226*C226-H226-G226-I226,2))</f>
        <v/>
      </c>
      <c r="K226" s="11" t="str">
        <f aca="false">IF(A226="","",D226*C226+F226)</f>
        <v/>
      </c>
      <c r="L226" s="12" t="str">
        <f aca="false">IF(OR(A226="",K226=0),"",ROUND(J226/K226*100,2))</f>
        <v/>
      </c>
      <c r="M226" s="3" t="str">
        <f aca="false">IF(A226="","",TEXT(A226,"yyyy-mm"))</f>
        <v/>
      </c>
    </row>
    <row r="227" customFormat="false" ht="15" hidden="false" customHeight="false" outlineLevel="0" collapsed="false">
      <c r="A227" s="17"/>
      <c r="B227" s="9"/>
      <c r="C227" s="9"/>
      <c r="D227" s="10" t="str">
        <f aca="false">IF(B227="","",IFERROR(INDEX(Products!$D$5:$D$54,MATCH(B227,Products!$A$5:$A$54,0)),0))</f>
        <v/>
      </c>
      <c r="E227" s="10" t="str">
        <f aca="false">IF(B227="","",IFERROR(INDEX(Products!$C$5:$C$54,MATCH(B227,Products!$A$5:$A$54,0)),0))</f>
        <v/>
      </c>
      <c r="F227" s="10"/>
      <c r="G227" s="10"/>
      <c r="H227" s="10" t="str">
        <f aca="false">IF(A227="","",Settings!$B$5)</f>
        <v/>
      </c>
      <c r="I227" s="11" t="str">
        <f aca="false">IF(A227="","",ROUND(K227*(Settings!$B$2+Settings!$B$3)/100+Settings!$B$4,2))</f>
        <v/>
      </c>
      <c r="J227" s="11" t="str">
        <f aca="false">IF(A227="","",ROUND(K227-E227*C227-H227-G227-I227,2))</f>
        <v/>
      </c>
      <c r="K227" s="11" t="str">
        <f aca="false">IF(A227="","",D227*C227+F227)</f>
        <v/>
      </c>
      <c r="L227" s="12" t="str">
        <f aca="false">IF(OR(A227="",K227=0),"",ROUND(J227/K227*100,2))</f>
        <v/>
      </c>
      <c r="M227" s="3" t="str">
        <f aca="false">IF(A227="","",TEXT(A227,"yyyy-mm"))</f>
        <v/>
      </c>
    </row>
    <row r="228" customFormat="false" ht="15" hidden="false" customHeight="false" outlineLevel="0" collapsed="false">
      <c r="A228" s="17"/>
      <c r="B228" s="9"/>
      <c r="C228" s="9"/>
      <c r="D228" s="10" t="str">
        <f aca="false">IF(B228="","",IFERROR(INDEX(Products!$D$5:$D$54,MATCH(B228,Products!$A$5:$A$54,0)),0))</f>
        <v/>
      </c>
      <c r="E228" s="10" t="str">
        <f aca="false">IF(B228="","",IFERROR(INDEX(Products!$C$5:$C$54,MATCH(B228,Products!$A$5:$A$54,0)),0))</f>
        <v/>
      </c>
      <c r="F228" s="10"/>
      <c r="G228" s="10"/>
      <c r="H228" s="10" t="str">
        <f aca="false">IF(A228="","",Settings!$B$5)</f>
        <v/>
      </c>
      <c r="I228" s="11" t="str">
        <f aca="false">IF(A228="","",ROUND(K228*(Settings!$B$2+Settings!$B$3)/100+Settings!$B$4,2))</f>
        <v/>
      </c>
      <c r="J228" s="11" t="str">
        <f aca="false">IF(A228="","",ROUND(K228-E228*C228-H228-G228-I228,2))</f>
        <v/>
      </c>
      <c r="K228" s="11" t="str">
        <f aca="false">IF(A228="","",D228*C228+F228)</f>
        <v/>
      </c>
      <c r="L228" s="12" t="str">
        <f aca="false">IF(OR(A228="",K228=0),"",ROUND(J228/K228*100,2))</f>
        <v/>
      </c>
      <c r="M228" s="3" t="str">
        <f aca="false">IF(A228="","",TEXT(A228,"yyyy-mm"))</f>
        <v/>
      </c>
    </row>
    <row r="229" customFormat="false" ht="15" hidden="false" customHeight="false" outlineLevel="0" collapsed="false">
      <c r="A229" s="17"/>
      <c r="B229" s="9"/>
      <c r="C229" s="9"/>
      <c r="D229" s="10" t="str">
        <f aca="false">IF(B229="","",IFERROR(INDEX(Products!$D$5:$D$54,MATCH(B229,Products!$A$5:$A$54,0)),0))</f>
        <v/>
      </c>
      <c r="E229" s="10" t="str">
        <f aca="false">IF(B229="","",IFERROR(INDEX(Products!$C$5:$C$54,MATCH(B229,Products!$A$5:$A$54,0)),0))</f>
        <v/>
      </c>
      <c r="F229" s="10"/>
      <c r="G229" s="10"/>
      <c r="H229" s="10" t="str">
        <f aca="false">IF(A229="","",Settings!$B$5)</f>
        <v/>
      </c>
      <c r="I229" s="11" t="str">
        <f aca="false">IF(A229="","",ROUND(K229*(Settings!$B$2+Settings!$B$3)/100+Settings!$B$4,2))</f>
        <v/>
      </c>
      <c r="J229" s="11" t="str">
        <f aca="false">IF(A229="","",ROUND(K229-E229*C229-H229-G229-I229,2))</f>
        <v/>
      </c>
      <c r="K229" s="11" t="str">
        <f aca="false">IF(A229="","",D229*C229+F229)</f>
        <v/>
      </c>
      <c r="L229" s="12" t="str">
        <f aca="false">IF(OR(A229="",K229=0),"",ROUND(J229/K229*100,2))</f>
        <v/>
      </c>
      <c r="M229" s="3" t="str">
        <f aca="false">IF(A229="","",TEXT(A229,"yyyy-mm"))</f>
        <v/>
      </c>
    </row>
    <row r="230" customFormat="false" ht="15" hidden="false" customHeight="false" outlineLevel="0" collapsed="false">
      <c r="A230" s="17"/>
      <c r="B230" s="9"/>
      <c r="C230" s="9"/>
      <c r="D230" s="10" t="str">
        <f aca="false">IF(B230="","",IFERROR(INDEX(Products!$D$5:$D$54,MATCH(B230,Products!$A$5:$A$54,0)),0))</f>
        <v/>
      </c>
      <c r="E230" s="10" t="str">
        <f aca="false">IF(B230="","",IFERROR(INDEX(Products!$C$5:$C$54,MATCH(B230,Products!$A$5:$A$54,0)),0))</f>
        <v/>
      </c>
      <c r="F230" s="10"/>
      <c r="G230" s="10"/>
      <c r="H230" s="10" t="str">
        <f aca="false">IF(A230="","",Settings!$B$5)</f>
        <v/>
      </c>
      <c r="I230" s="11" t="str">
        <f aca="false">IF(A230="","",ROUND(K230*(Settings!$B$2+Settings!$B$3)/100+Settings!$B$4,2))</f>
        <v/>
      </c>
      <c r="J230" s="11" t="str">
        <f aca="false">IF(A230="","",ROUND(K230-E230*C230-H230-G230-I230,2))</f>
        <v/>
      </c>
      <c r="K230" s="11" t="str">
        <f aca="false">IF(A230="","",D230*C230+F230)</f>
        <v/>
      </c>
      <c r="L230" s="12" t="str">
        <f aca="false">IF(OR(A230="",K230=0),"",ROUND(J230/K230*100,2))</f>
        <v/>
      </c>
      <c r="M230" s="3" t="str">
        <f aca="false">IF(A230="","",TEXT(A230,"yyyy-mm"))</f>
        <v/>
      </c>
    </row>
    <row r="231" customFormat="false" ht="15" hidden="false" customHeight="false" outlineLevel="0" collapsed="false">
      <c r="A231" s="17"/>
      <c r="B231" s="9"/>
      <c r="C231" s="9"/>
      <c r="D231" s="10" t="str">
        <f aca="false">IF(B231="","",IFERROR(INDEX(Products!$D$5:$D$54,MATCH(B231,Products!$A$5:$A$54,0)),0))</f>
        <v/>
      </c>
      <c r="E231" s="10" t="str">
        <f aca="false">IF(B231="","",IFERROR(INDEX(Products!$C$5:$C$54,MATCH(B231,Products!$A$5:$A$54,0)),0))</f>
        <v/>
      </c>
      <c r="F231" s="10"/>
      <c r="G231" s="10"/>
      <c r="H231" s="10" t="str">
        <f aca="false">IF(A231="","",Settings!$B$5)</f>
        <v/>
      </c>
      <c r="I231" s="11" t="str">
        <f aca="false">IF(A231="","",ROUND(K231*(Settings!$B$2+Settings!$B$3)/100+Settings!$B$4,2))</f>
        <v/>
      </c>
      <c r="J231" s="11" t="str">
        <f aca="false">IF(A231="","",ROUND(K231-E231*C231-H231-G231-I231,2))</f>
        <v/>
      </c>
      <c r="K231" s="11" t="str">
        <f aca="false">IF(A231="","",D231*C231+F231)</f>
        <v/>
      </c>
      <c r="L231" s="12" t="str">
        <f aca="false">IF(OR(A231="",K231=0),"",ROUND(J231/K231*100,2))</f>
        <v/>
      </c>
      <c r="M231" s="3" t="str">
        <f aca="false">IF(A231="","",TEXT(A231,"yyyy-mm"))</f>
        <v/>
      </c>
    </row>
    <row r="232" customFormat="false" ht="15" hidden="false" customHeight="false" outlineLevel="0" collapsed="false">
      <c r="A232" s="17"/>
      <c r="B232" s="9"/>
      <c r="C232" s="9"/>
      <c r="D232" s="10" t="str">
        <f aca="false">IF(B232="","",IFERROR(INDEX(Products!$D$5:$D$54,MATCH(B232,Products!$A$5:$A$54,0)),0))</f>
        <v/>
      </c>
      <c r="E232" s="10" t="str">
        <f aca="false">IF(B232="","",IFERROR(INDEX(Products!$C$5:$C$54,MATCH(B232,Products!$A$5:$A$54,0)),0))</f>
        <v/>
      </c>
      <c r="F232" s="10"/>
      <c r="G232" s="10"/>
      <c r="H232" s="10" t="str">
        <f aca="false">IF(A232="","",Settings!$B$5)</f>
        <v/>
      </c>
      <c r="I232" s="11" t="str">
        <f aca="false">IF(A232="","",ROUND(K232*(Settings!$B$2+Settings!$B$3)/100+Settings!$B$4,2))</f>
        <v/>
      </c>
      <c r="J232" s="11" t="str">
        <f aca="false">IF(A232="","",ROUND(K232-E232*C232-H232-G232-I232,2))</f>
        <v/>
      </c>
      <c r="K232" s="11" t="str">
        <f aca="false">IF(A232="","",D232*C232+F232)</f>
        <v/>
      </c>
      <c r="L232" s="12" t="str">
        <f aca="false">IF(OR(A232="",K232=0),"",ROUND(J232/K232*100,2))</f>
        <v/>
      </c>
      <c r="M232" s="3" t="str">
        <f aca="false">IF(A232="","",TEXT(A232,"yyyy-mm"))</f>
        <v/>
      </c>
    </row>
    <row r="233" customFormat="false" ht="15" hidden="false" customHeight="false" outlineLevel="0" collapsed="false">
      <c r="A233" s="17"/>
      <c r="B233" s="9"/>
      <c r="C233" s="9"/>
      <c r="D233" s="10" t="str">
        <f aca="false">IF(B233="","",IFERROR(INDEX(Products!$D$5:$D$54,MATCH(B233,Products!$A$5:$A$54,0)),0))</f>
        <v/>
      </c>
      <c r="E233" s="10" t="str">
        <f aca="false">IF(B233="","",IFERROR(INDEX(Products!$C$5:$C$54,MATCH(B233,Products!$A$5:$A$54,0)),0))</f>
        <v/>
      </c>
      <c r="F233" s="10"/>
      <c r="G233" s="10"/>
      <c r="H233" s="10" t="str">
        <f aca="false">IF(A233="","",Settings!$B$5)</f>
        <v/>
      </c>
      <c r="I233" s="11" t="str">
        <f aca="false">IF(A233="","",ROUND(K233*(Settings!$B$2+Settings!$B$3)/100+Settings!$B$4,2))</f>
        <v/>
      </c>
      <c r="J233" s="11" t="str">
        <f aca="false">IF(A233="","",ROUND(K233-E233*C233-H233-G233-I233,2))</f>
        <v/>
      </c>
      <c r="K233" s="11" t="str">
        <f aca="false">IF(A233="","",D233*C233+F233)</f>
        <v/>
      </c>
      <c r="L233" s="12" t="str">
        <f aca="false">IF(OR(A233="",K233=0),"",ROUND(J233/K233*100,2))</f>
        <v/>
      </c>
      <c r="M233" s="3" t="str">
        <f aca="false">IF(A233="","",TEXT(A233,"yyyy-mm"))</f>
        <v/>
      </c>
    </row>
    <row r="234" customFormat="false" ht="15" hidden="false" customHeight="false" outlineLevel="0" collapsed="false">
      <c r="A234" s="17"/>
      <c r="B234" s="9"/>
      <c r="C234" s="9"/>
      <c r="D234" s="10" t="str">
        <f aca="false">IF(B234="","",IFERROR(INDEX(Products!$D$5:$D$54,MATCH(B234,Products!$A$5:$A$54,0)),0))</f>
        <v/>
      </c>
      <c r="E234" s="10" t="str">
        <f aca="false">IF(B234="","",IFERROR(INDEX(Products!$C$5:$C$54,MATCH(B234,Products!$A$5:$A$54,0)),0))</f>
        <v/>
      </c>
      <c r="F234" s="10"/>
      <c r="G234" s="10"/>
      <c r="H234" s="10" t="str">
        <f aca="false">IF(A234="","",Settings!$B$5)</f>
        <v/>
      </c>
      <c r="I234" s="11" t="str">
        <f aca="false">IF(A234="","",ROUND(K234*(Settings!$B$2+Settings!$B$3)/100+Settings!$B$4,2))</f>
        <v/>
      </c>
      <c r="J234" s="11" t="str">
        <f aca="false">IF(A234="","",ROUND(K234-E234*C234-H234-G234-I234,2))</f>
        <v/>
      </c>
      <c r="K234" s="11" t="str">
        <f aca="false">IF(A234="","",D234*C234+F234)</f>
        <v/>
      </c>
      <c r="L234" s="12" t="str">
        <f aca="false">IF(OR(A234="",K234=0),"",ROUND(J234/K234*100,2))</f>
        <v/>
      </c>
      <c r="M234" s="3" t="str">
        <f aca="false">IF(A234="","",TEXT(A234,"yyyy-mm"))</f>
        <v/>
      </c>
    </row>
    <row r="235" customFormat="false" ht="15" hidden="false" customHeight="false" outlineLevel="0" collapsed="false">
      <c r="A235" s="17"/>
      <c r="B235" s="9"/>
      <c r="C235" s="9"/>
      <c r="D235" s="10" t="str">
        <f aca="false">IF(B235="","",IFERROR(INDEX(Products!$D$5:$D$54,MATCH(B235,Products!$A$5:$A$54,0)),0))</f>
        <v/>
      </c>
      <c r="E235" s="10" t="str">
        <f aca="false">IF(B235="","",IFERROR(INDEX(Products!$C$5:$C$54,MATCH(B235,Products!$A$5:$A$54,0)),0))</f>
        <v/>
      </c>
      <c r="F235" s="10"/>
      <c r="G235" s="10"/>
      <c r="H235" s="10" t="str">
        <f aca="false">IF(A235="","",Settings!$B$5)</f>
        <v/>
      </c>
      <c r="I235" s="11" t="str">
        <f aca="false">IF(A235="","",ROUND(K235*(Settings!$B$2+Settings!$B$3)/100+Settings!$B$4,2))</f>
        <v/>
      </c>
      <c r="J235" s="11" t="str">
        <f aca="false">IF(A235="","",ROUND(K235-E235*C235-H235-G235-I235,2))</f>
        <v/>
      </c>
      <c r="K235" s="11" t="str">
        <f aca="false">IF(A235="","",D235*C235+F235)</f>
        <v/>
      </c>
      <c r="L235" s="12" t="str">
        <f aca="false">IF(OR(A235="",K235=0),"",ROUND(J235/K235*100,2))</f>
        <v/>
      </c>
      <c r="M235" s="3" t="str">
        <f aca="false">IF(A235="","",TEXT(A235,"yyyy-mm"))</f>
        <v/>
      </c>
    </row>
    <row r="236" customFormat="false" ht="15" hidden="false" customHeight="false" outlineLevel="0" collapsed="false">
      <c r="A236" s="17"/>
      <c r="B236" s="9"/>
      <c r="C236" s="9"/>
      <c r="D236" s="10" t="str">
        <f aca="false">IF(B236="","",IFERROR(INDEX(Products!$D$5:$D$54,MATCH(B236,Products!$A$5:$A$54,0)),0))</f>
        <v/>
      </c>
      <c r="E236" s="10" t="str">
        <f aca="false">IF(B236="","",IFERROR(INDEX(Products!$C$5:$C$54,MATCH(B236,Products!$A$5:$A$54,0)),0))</f>
        <v/>
      </c>
      <c r="F236" s="10"/>
      <c r="G236" s="10"/>
      <c r="H236" s="10" t="str">
        <f aca="false">IF(A236="","",Settings!$B$5)</f>
        <v/>
      </c>
      <c r="I236" s="11" t="str">
        <f aca="false">IF(A236="","",ROUND(K236*(Settings!$B$2+Settings!$B$3)/100+Settings!$B$4,2))</f>
        <v/>
      </c>
      <c r="J236" s="11" t="str">
        <f aca="false">IF(A236="","",ROUND(K236-E236*C236-H236-G236-I236,2))</f>
        <v/>
      </c>
      <c r="K236" s="11" t="str">
        <f aca="false">IF(A236="","",D236*C236+F236)</f>
        <v/>
      </c>
      <c r="L236" s="12" t="str">
        <f aca="false">IF(OR(A236="",K236=0),"",ROUND(J236/K236*100,2))</f>
        <v/>
      </c>
      <c r="M236" s="3" t="str">
        <f aca="false">IF(A236="","",TEXT(A236,"yyyy-mm"))</f>
        <v/>
      </c>
    </row>
    <row r="237" customFormat="false" ht="15" hidden="false" customHeight="false" outlineLevel="0" collapsed="false">
      <c r="A237" s="17"/>
      <c r="B237" s="9"/>
      <c r="C237" s="9"/>
      <c r="D237" s="10" t="str">
        <f aca="false">IF(B237="","",IFERROR(INDEX(Products!$D$5:$D$54,MATCH(B237,Products!$A$5:$A$54,0)),0))</f>
        <v/>
      </c>
      <c r="E237" s="10" t="str">
        <f aca="false">IF(B237="","",IFERROR(INDEX(Products!$C$5:$C$54,MATCH(B237,Products!$A$5:$A$54,0)),0))</f>
        <v/>
      </c>
      <c r="F237" s="10"/>
      <c r="G237" s="10"/>
      <c r="H237" s="10" t="str">
        <f aca="false">IF(A237="","",Settings!$B$5)</f>
        <v/>
      </c>
      <c r="I237" s="11" t="str">
        <f aca="false">IF(A237="","",ROUND(K237*(Settings!$B$2+Settings!$B$3)/100+Settings!$B$4,2))</f>
        <v/>
      </c>
      <c r="J237" s="11" t="str">
        <f aca="false">IF(A237="","",ROUND(K237-E237*C237-H237-G237-I237,2))</f>
        <v/>
      </c>
      <c r="K237" s="11" t="str">
        <f aca="false">IF(A237="","",D237*C237+F237)</f>
        <v/>
      </c>
      <c r="L237" s="12" t="str">
        <f aca="false">IF(OR(A237="",K237=0),"",ROUND(J237/K237*100,2))</f>
        <v/>
      </c>
      <c r="M237" s="3" t="str">
        <f aca="false">IF(A237="","",TEXT(A237,"yyyy-mm"))</f>
        <v/>
      </c>
    </row>
    <row r="238" customFormat="false" ht="15" hidden="false" customHeight="false" outlineLevel="0" collapsed="false">
      <c r="A238" s="17"/>
      <c r="B238" s="9"/>
      <c r="C238" s="9"/>
      <c r="D238" s="10" t="str">
        <f aca="false">IF(B238="","",IFERROR(INDEX(Products!$D$5:$D$54,MATCH(B238,Products!$A$5:$A$54,0)),0))</f>
        <v/>
      </c>
      <c r="E238" s="10" t="str">
        <f aca="false">IF(B238="","",IFERROR(INDEX(Products!$C$5:$C$54,MATCH(B238,Products!$A$5:$A$54,0)),0))</f>
        <v/>
      </c>
      <c r="F238" s="10"/>
      <c r="G238" s="10"/>
      <c r="H238" s="10" t="str">
        <f aca="false">IF(A238="","",Settings!$B$5)</f>
        <v/>
      </c>
      <c r="I238" s="11" t="str">
        <f aca="false">IF(A238="","",ROUND(K238*(Settings!$B$2+Settings!$B$3)/100+Settings!$B$4,2))</f>
        <v/>
      </c>
      <c r="J238" s="11" t="str">
        <f aca="false">IF(A238="","",ROUND(K238-E238*C238-H238-G238-I238,2))</f>
        <v/>
      </c>
      <c r="K238" s="11" t="str">
        <f aca="false">IF(A238="","",D238*C238+F238)</f>
        <v/>
      </c>
      <c r="L238" s="12" t="str">
        <f aca="false">IF(OR(A238="",K238=0),"",ROUND(J238/K238*100,2))</f>
        <v/>
      </c>
      <c r="M238" s="3" t="str">
        <f aca="false">IF(A238="","",TEXT(A238,"yyyy-mm"))</f>
        <v/>
      </c>
    </row>
    <row r="239" customFormat="false" ht="15" hidden="false" customHeight="false" outlineLevel="0" collapsed="false">
      <c r="A239" s="17"/>
      <c r="B239" s="9"/>
      <c r="C239" s="9"/>
      <c r="D239" s="10" t="str">
        <f aca="false">IF(B239="","",IFERROR(INDEX(Products!$D$5:$D$54,MATCH(B239,Products!$A$5:$A$54,0)),0))</f>
        <v/>
      </c>
      <c r="E239" s="10" t="str">
        <f aca="false">IF(B239="","",IFERROR(INDEX(Products!$C$5:$C$54,MATCH(B239,Products!$A$5:$A$54,0)),0))</f>
        <v/>
      </c>
      <c r="F239" s="10"/>
      <c r="G239" s="10"/>
      <c r="H239" s="10" t="str">
        <f aca="false">IF(A239="","",Settings!$B$5)</f>
        <v/>
      </c>
      <c r="I239" s="11" t="str">
        <f aca="false">IF(A239="","",ROUND(K239*(Settings!$B$2+Settings!$B$3)/100+Settings!$B$4,2))</f>
        <v/>
      </c>
      <c r="J239" s="11" t="str">
        <f aca="false">IF(A239="","",ROUND(K239-E239*C239-H239-G239-I239,2))</f>
        <v/>
      </c>
      <c r="K239" s="11" t="str">
        <f aca="false">IF(A239="","",D239*C239+F239)</f>
        <v/>
      </c>
      <c r="L239" s="12" t="str">
        <f aca="false">IF(OR(A239="",K239=0),"",ROUND(J239/K239*100,2))</f>
        <v/>
      </c>
      <c r="M239" s="3" t="str">
        <f aca="false">IF(A239="","",TEXT(A239,"yyyy-mm"))</f>
        <v/>
      </c>
    </row>
    <row r="240" customFormat="false" ht="15" hidden="false" customHeight="false" outlineLevel="0" collapsed="false">
      <c r="A240" s="17"/>
      <c r="B240" s="9"/>
      <c r="C240" s="9"/>
      <c r="D240" s="10" t="str">
        <f aca="false">IF(B240="","",IFERROR(INDEX(Products!$D$5:$D$54,MATCH(B240,Products!$A$5:$A$54,0)),0))</f>
        <v/>
      </c>
      <c r="E240" s="10" t="str">
        <f aca="false">IF(B240="","",IFERROR(INDEX(Products!$C$5:$C$54,MATCH(B240,Products!$A$5:$A$54,0)),0))</f>
        <v/>
      </c>
      <c r="F240" s="10"/>
      <c r="G240" s="10"/>
      <c r="H240" s="10" t="str">
        <f aca="false">IF(A240="","",Settings!$B$5)</f>
        <v/>
      </c>
      <c r="I240" s="11" t="str">
        <f aca="false">IF(A240="","",ROUND(K240*(Settings!$B$2+Settings!$B$3)/100+Settings!$B$4,2))</f>
        <v/>
      </c>
      <c r="J240" s="11" t="str">
        <f aca="false">IF(A240="","",ROUND(K240-E240*C240-H240-G240-I240,2))</f>
        <v/>
      </c>
      <c r="K240" s="11" t="str">
        <f aca="false">IF(A240="","",D240*C240+F240)</f>
        <v/>
      </c>
      <c r="L240" s="12" t="str">
        <f aca="false">IF(OR(A240="",K240=0),"",ROUND(J240/K240*100,2))</f>
        <v/>
      </c>
      <c r="M240" s="3" t="str">
        <f aca="false">IF(A240="","",TEXT(A240,"yyyy-mm"))</f>
        <v/>
      </c>
    </row>
    <row r="241" customFormat="false" ht="15" hidden="false" customHeight="false" outlineLevel="0" collapsed="false">
      <c r="A241" s="17"/>
      <c r="B241" s="9"/>
      <c r="C241" s="9"/>
      <c r="D241" s="10" t="str">
        <f aca="false">IF(B241="","",IFERROR(INDEX(Products!$D$5:$D$54,MATCH(B241,Products!$A$5:$A$54,0)),0))</f>
        <v/>
      </c>
      <c r="E241" s="10" t="str">
        <f aca="false">IF(B241="","",IFERROR(INDEX(Products!$C$5:$C$54,MATCH(B241,Products!$A$5:$A$54,0)),0))</f>
        <v/>
      </c>
      <c r="F241" s="10"/>
      <c r="G241" s="10"/>
      <c r="H241" s="10" t="str">
        <f aca="false">IF(A241="","",Settings!$B$5)</f>
        <v/>
      </c>
      <c r="I241" s="11" t="str">
        <f aca="false">IF(A241="","",ROUND(K241*(Settings!$B$2+Settings!$B$3)/100+Settings!$B$4,2))</f>
        <v/>
      </c>
      <c r="J241" s="11" t="str">
        <f aca="false">IF(A241="","",ROUND(K241-E241*C241-H241-G241-I241,2))</f>
        <v/>
      </c>
      <c r="K241" s="11" t="str">
        <f aca="false">IF(A241="","",D241*C241+F241)</f>
        <v/>
      </c>
      <c r="L241" s="12" t="str">
        <f aca="false">IF(OR(A241="",K241=0),"",ROUND(J241/K241*100,2))</f>
        <v/>
      </c>
      <c r="M241" s="3" t="str">
        <f aca="false">IF(A241="","",TEXT(A241,"yyyy-mm"))</f>
        <v/>
      </c>
    </row>
    <row r="242" customFormat="false" ht="15" hidden="false" customHeight="false" outlineLevel="0" collapsed="false">
      <c r="A242" s="17"/>
      <c r="B242" s="9"/>
      <c r="C242" s="9"/>
      <c r="D242" s="10" t="str">
        <f aca="false">IF(B242="","",IFERROR(INDEX(Products!$D$5:$D$54,MATCH(B242,Products!$A$5:$A$54,0)),0))</f>
        <v/>
      </c>
      <c r="E242" s="10" t="str">
        <f aca="false">IF(B242="","",IFERROR(INDEX(Products!$C$5:$C$54,MATCH(B242,Products!$A$5:$A$54,0)),0))</f>
        <v/>
      </c>
      <c r="F242" s="10"/>
      <c r="G242" s="10"/>
      <c r="H242" s="10" t="str">
        <f aca="false">IF(A242="","",Settings!$B$5)</f>
        <v/>
      </c>
      <c r="I242" s="11" t="str">
        <f aca="false">IF(A242="","",ROUND(K242*(Settings!$B$2+Settings!$B$3)/100+Settings!$B$4,2))</f>
        <v/>
      </c>
      <c r="J242" s="11" t="str">
        <f aca="false">IF(A242="","",ROUND(K242-E242*C242-H242-G242-I242,2))</f>
        <v/>
      </c>
      <c r="K242" s="11" t="str">
        <f aca="false">IF(A242="","",D242*C242+F242)</f>
        <v/>
      </c>
      <c r="L242" s="12" t="str">
        <f aca="false">IF(OR(A242="",K242=0),"",ROUND(J242/K242*100,2))</f>
        <v/>
      </c>
      <c r="M242" s="3" t="str">
        <f aca="false">IF(A242="","",TEXT(A242,"yyyy-mm"))</f>
        <v/>
      </c>
    </row>
    <row r="243" customFormat="false" ht="15" hidden="false" customHeight="false" outlineLevel="0" collapsed="false">
      <c r="A243" s="17"/>
      <c r="B243" s="9"/>
      <c r="C243" s="9"/>
      <c r="D243" s="10" t="str">
        <f aca="false">IF(B243="","",IFERROR(INDEX(Products!$D$5:$D$54,MATCH(B243,Products!$A$5:$A$54,0)),0))</f>
        <v/>
      </c>
      <c r="E243" s="10" t="str">
        <f aca="false">IF(B243="","",IFERROR(INDEX(Products!$C$5:$C$54,MATCH(B243,Products!$A$5:$A$54,0)),0))</f>
        <v/>
      </c>
      <c r="F243" s="10"/>
      <c r="G243" s="10"/>
      <c r="H243" s="10" t="str">
        <f aca="false">IF(A243="","",Settings!$B$5)</f>
        <v/>
      </c>
      <c r="I243" s="11" t="str">
        <f aca="false">IF(A243="","",ROUND(K243*(Settings!$B$2+Settings!$B$3)/100+Settings!$B$4,2))</f>
        <v/>
      </c>
      <c r="J243" s="11" t="str">
        <f aca="false">IF(A243="","",ROUND(K243-E243*C243-H243-G243-I243,2))</f>
        <v/>
      </c>
      <c r="K243" s="11" t="str">
        <f aca="false">IF(A243="","",D243*C243+F243)</f>
        <v/>
      </c>
      <c r="L243" s="12" t="str">
        <f aca="false">IF(OR(A243="",K243=0),"",ROUND(J243/K243*100,2))</f>
        <v/>
      </c>
      <c r="M243" s="3" t="str">
        <f aca="false">IF(A243="","",TEXT(A243,"yyyy-mm"))</f>
        <v/>
      </c>
    </row>
    <row r="244" customFormat="false" ht="15" hidden="false" customHeight="false" outlineLevel="0" collapsed="false">
      <c r="A244" s="17"/>
      <c r="B244" s="9"/>
      <c r="C244" s="9"/>
      <c r="D244" s="10" t="str">
        <f aca="false">IF(B244="","",IFERROR(INDEX(Products!$D$5:$D$54,MATCH(B244,Products!$A$5:$A$54,0)),0))</f>
        <v/>
      </c>
      <c r="E244" s="10" t="str">
        <f aca="false">IF(B244="","",IFERROR(INDEX(Products!$C$5:$C$54,MATCH(B244,Products!$A$5:$A$54,0)),0))</f>
        <v/>
      </c>
      <c r="F244" s="10"/>
      <c r="G244" s="10"/>
      <c r="H244" s="10" t="str">
        <f aca="false">IF(A244="","",Settings!$B$5)</f>
        <v/>
      </c>
      <c r="I244" s="11" t="str">
        <f aca="false">IF(A244="","",ROUND(K244*(Settings!$B$2+Settings!$B$3)/100+Settings!$B$4,2))</f>
        <v/>
      </c>
      <c r="J244" s="11" t="str">
        <f aca="false">IF(A244="","",ROUND(K244-E244*C244-H244-G244-I244,2))</f>
        <v/>
      </c>
      <c r="K244" s="11" t="str">
        <f aca="false">IF(A244="","",D244*C244+F244)</f>
        <v/>
      </c>
      <c r="L244" s="12" t="str">
        <f aca="false">IF(OR(A244="",K244=0),"",ROUND(J244/K244*100,2))</f>
        <v/>
      </c>
      <c r="M244" s="3" t="str">
        <f aca="false">IF(A244="","",TEXT(A244,"yyyy-mm"))</f>
        <v/>
      </c>
    </row>
    <row r="245" customFormat="false" ht="15" hidden="false" customHeight="false" outlineLevel="0" collapsed="false">
      <c r="A245" s="17"/>
      <c r="B245" s="9"/>
      <c r="C245" s="9"/>
      <c r="D245" s="10" t="str">
        <f aca="false">IF(B245="","",IFERROR(INDEX(Products!$D$5:$D$54,MATCH(B245,Products!$A$5:$A$54,0)),0))</f>
        <v/>
      </c>
      <c r="E245" s="10" t="str">
        <f aca="false">IF(B245="","",IFERROR(INDEX(Products!$C$5:$C$54,MATCH(B245,Products!$A$5:$A$54,0)),0))</f>
        <v/>
      </c>
      <c r="F245" s="10"/>
      <c r="G245" s="10"/>
      <c r="H245" s="10" t="str">
        <f aca="false">IF(A245="","",Settings!$B$5)</f>
        <v/>
      </c>
      <c r="I245" s="11" t="str">
        <f aca="false">IF(A245="","",ROUND(K245*(Settings!$B$2+Settings!$B$3)/100+Settings!$B$4,2))</f>
        <v/>
      </c>
      <c r="J245" s="11" t="str">
        <f aca="false">IF(A245="","",ROUND(K245-E245*C245-H245-G245-I245,2))</f>
        <v/>
      </c>
      <c r="K245" s="11" t="str">
        <f aca="false">IF(A245="","",D245*C245+F245)</f>
        <v/>
      </c>
      <c r="L245" s="12" t="str">
        <f aca="false">IF(OR(A245="",K245=0),"",ROUND(J245/K245*100,2))</f>
        <v/>
      </c>
      <c r="M245" s="3" t="str">
        <f aca="false">IF(A245="","",TEXT(A245,"yyyy-mm"))</f>
        <v/>
      </c>
    </row>
    <row r="246" customFormat="false" ht="15" hidden="false" customHeight="false" outlineLevel="0" collapsed="false">
      <c r="A246" s="17"/>
      <c r="B246" s="9"/>
      <c r="C246" s="9"/>
      <c r="D246" s="10" t="str">
        <f aca="false">IF(B246="","",IFERROR(INDEX(Products!$D$5:$D$54,MATCH(B246,Products!$A$5:$A$54,0)),0))</f>
        <v/>
      </c>
      <c r="E246" s="10" t="str">
        <f aca="false">IF(B246="","",IFERROR(INDEX(Products!$C$5:$C$54,MATCH(B246,Products!$A$5:$A$54,0)),0))</f>
        <v/>
      </c>
      <c r="F246" s="10"/>
      <c r="G246" s="10"/>
      <c r="H246" s="10" t="str">
        <f aca="false">IF(A246="","",Settings!$B$5)</f>
        <v/>
      </c>
      <c r="I246" s="11" t="str">
        <f aca="false">IF(A246="","",ROUND(K246*(Settings!$B$2+Settings!$B$3)/100+Settings!$B$4,2))</f>
        <v/>
      </c>
      <c r="J246" s="11" t="str">
        <f aca="false">IF(A246="","",ROUND(K246-E246*C246-H246-G246-I246,2))</f>
        <v/>
      </c>
      <c r="K246" s="11" t="str">
        <f aca="false">IF(A246="","",D246*C246+F246)</f>
        <v/>
      </c>
      <c r="L246" s="12" t="str">
        <f aca="false">IF(OR(A246="",K246=0),"",ROUND(J246/K246*100,2))</f>
        <v/>
      </c>
      <c r="M246" s="3" t="str">
        <f aca="false">IF(A246="","",TEXT(A246,"yyyy-mm"))</f>
        <v/>
      </c>
    </row>
    <row r="247" customFormat="false" ht="15" hidden="false" customHeight="false" outlineLevel="0" collapsed="false">
      <c r="A247" s="17"/>
      <c r="B247" s="9"/>
      <c r="C247" s="9"/>
      <c r="D247" s="10" t="str">
        <f aca="false">IF(B247="","",IFERROR(INDEX(Products!$D$5:$D$54,MATCH(B247,Products!$A$5:$A$54,0)),0))</f>
        <v/>
      </c>
      <c r="E247" s="10" t="str">
        <f aca="false">IF(B247="","",IFERROR(INDEX(Products!$C$5:$C$54,MATCH(B247,Products!$A$5:$A$54,0)),0))</f>
        <v/>
      </c>
      <c r="F247" s="10"/>
      <c r="G247" s="10"/>
      <c r="H247" s="10" t="str">
        <f aca="false">IF(A247="","",Settings!$B$5)</f>
        <v/>
      </c>
      <c r="I247" s="11" t="str">
        <f aca="false">IF(A247="","",ROUND(K247*(Settings!$B$2+Settings!$B$3)/100+Settings!$B$4,2))</f>
        <v/>
      </c>
      <c r="J247" s="11" t="str">
        <f aca="false">IF(A247="","",ROUND(K247-E247*C247-H247-G247-I247,2))</f>
        <v/>
      </c>
      <c r="K247" s="11" t="str">
        <f aca="false">IF(A247="","",D247*C247+F247)</f>
        <v/>
      </c>
      <c r="L247" s="12" t="str">
        <f aca="false">IF(OR(A247="",K247=0),"",ROUND(J247/K247*100,2))</f>
        <v/>
      </c>
      <c r="M247" s="3" t="str">
        <f aca="false">IF(A247="","",TEXT(A247,"yyyy-mm"))</f>
        <v/>
      </c>
    </row>
    <row r="248" customFormat="false" ht="15" hidden="false" customHeight="false" outlineLevel="0" collapsed="false">
      <c r="A248" s="17"/>
      <c r="B248" s="9"/>
      <c r="C248" s="9"/>
      <c r="D248" s="10" t="str">
        <f aca="false">IF(B248="","",IFERROR(INDEX(Products!$D$5:$D$54,MATCH(B248,Products!$A$5:$A$54,0)),0))</f>
        <v/>
      </c>
      <c r="E248" s="10" t="str">
        <f aca="false">IF(B248="","",IFERROR(INDEX(Products!$C$5:$C$54,MATCH(B248,Products!$A$5:$A$54,0)),0))</f>
        <v/>
      </c>
      <c r="F248" s="10"/>
      <c r="G248" s="10"/>
      <c r="H248" s="10" t="str">
        <f aca="false">IF(A248="","",Settings!$B$5)</f>
        <v/>
      </c>
      <c r="I248" s="11" t="str">
        <f aca="false">IF(A248="","",ROUND(K248*(Settings!$B$2+Settings!$B$3)/100+Settings!$B$4,2))</f>
        <v/>
      </c>
      <c r="J248" s="11" t="str">
        <f aca="false">IF(A248="","",ROUND(K248-E248*C248-H248-G248-I248,2))</f>
        <v/>
      </c>
      <c r="K248" s="11" t="str">
        <f aca="false">IF(A248="","",D248*C248+F248)</f>
        <v/>
      </c>
      <c r="L248" s="12" t="str">
        <f aca="false">IF(OR(A248="",K248=0),"",ROUND(J248/K248*100,2))</f>
        <v/>
      </c>
      <c r="M248" s="3" t="str">
        <f aca="false">IF(A248="","",TEXT(A248,"yyyy-mm"))</f>
        <v/>
      </c>
    </row>
    <row r="249" customFormat="false" ht="15" hidden="false" customHeight="false" outlineLevel="0" collapsed="false">
      <c r="A249" s="17"/>
      <c r="B249" s="9"/>
      <c r="C249" s="9"/>
      <c r="D249" s="10" t="str">
        <f aca="false">IF(B249="","",IFERROR(INDEX(Products!$D$5:$D$54,MATCH(B249,Products!$A$5:$A$54,0)),0))</f>
        <v/>
      </c>
      <c r="E249" s="10" t="str">
        <f aca="false">IF(B249="","",IFERROR(INDEX(Products!$C$5:$C$54,MATCH(B249,Products!$A$5:$A$54,0)),0))</f>
        <v/>
      </c>
      <c r="F249" s="10"/>
      <c r="G249" s="10"/>
      <c r="H249" s="10" t="str">
        <f aca="false">IF(A249="","",Settings!$B$5)</f>
        <v/>
      </c>
      <c r="I249" s="11" t="str">
        <f aca="false">IF(A249="","",ROUND(K249*(Settings!$B$2+Settings!$B$3)/100+Settings!$B$4,2))</f>
        <v/>
      </c>
      <c r="J249" s="11" t="str">
        <f aca="false">IF(A249="","",ROUND(K249-E249*C249-H249-G249-I249,2))</f>
        <v/>
      </c>
      <c r="K249" s="11" t="str">
        <f aca="false">IF(A249="","",D249*C249+F249)</f>
        <v/>
      </c>
      <c r="L249" s="12" t="str">
        <f aca="false">IF(OR(A249="",K249=0),"",ROUND(J249/K249*100,2))</f>
        <v/>
      </c>
      <c r="M249" s="3" t="str">
        <f aca="false">IF(A249="","",TEXT(A249,"yyyy-mm"))</f>
        <v/>
      </c>
    </row>
    <row r="250" customFormat="false" ht="15" hidden="false" customHeight="false" outlineLevel="0" collapsed="false">
      <c r="A250" s="17"/>
      <c r="B250" s="9"/>
      <c r="C250" s="9"/>
      <c r="D250" s="10" t="str">
        <f aca="false">IF(B250="","",IFERROR(INDEX(Products!$D$5:$D$54,MATCH(B250,Products!$A$5:$A$54,0)),0))</f>
        <v/>
      </c>
      <c r="E250" s="10" t="str">
        <f aca="false">IF(B250="","",IFERROR(INDEX(Products!$C$5:$C$54,MATCH(B250,Products!$A$5:$A$54,0)),0))</f>
        <v/>
      </c>
      <c r="F250" s="10"/>
      <c r="G250" s="10"/>
      <c r="H250" s="10" t="str">
        <f aca="false">IF(A250="","",Settings!$B$5)</f>
        <v/>
      </c>
      <c r="I250" s="11" t="str">
        <f aca="false">IF(A250="","",ROUND(K250*(Settings!$B$2+Settings!$B$3)/100+Settings!$B$4,2))</f>
        <v/>
      </c>
      <c r="J250" s="11" t="str">
        <f aca="false">IF(A250="","",ROUND(K250-E250*C250-H250-G250-I250,2))</f>
        <v/>
      </c>
      <c r="K250" s="11" t="str">
        <f aca="false">IF(A250="","",D250*C250+F250)</f>
        <v/>
      </c>
      <c r="L250" s="12" t="str">
        <f aca="false">IF(OR(A250="",K250=0),"",ROUND(J250/K250*100,2))</f>
        <v/>
      </c>
      <c r="M250" s="3" t="str">
        <f aca="false">IF(A250="","",TEXT(A250,"yyyy-mm"))</f>
        <v/>
      </c>
    </row>
    <row r="251" customFormat="false" ht="15" hidden="false" customHeight="false" outlineLevel="0" collapsed="false">
      <c r="A251" s="17"/>
      <c r="B251" s="9"/>
      <c r="C251" s="9"/>
      <c r="D251" s="10" t="str">
        <f aca="false">IF(B251="","",IFERROR(INDEX(Products!$D$5:$D$54,MATCH(B251,Products!$A$5:$A$54,0)),0))</f>
        <v/>
      </c>
      <c r="E251" s="10" t="str">
        <f aca="false">IF(B251="","",IFERROR(INDEX(Products!$C$5:$C$54,MATCH(B251,Products!$A$5:$A$54,0)),0))</f>
        <v/>
      </c>
      <c r="F251" s="10"/>
      <c r="G251" s="10"/>
      <c r="H251" s="10" t="str">
        <f aca="false">IF(A251="","",Settings!$B$5)</f>
        <v/>
      </c>
      <c r="I251" s="11" t="str">
        <f aca="false">IF(A251="","",ROUND(K251*(Settings!$B$2+Settings!$B$3)/100+Settings!$B$4,2))</f>
        <v/>
      </c>
      <c r="J251" s="11" t="str">
        <f aca="false">IF(A251="","",ROUND(K251-E251*C251-H251-G251-I251,2))</f>
        <v/>
      </c>
      <c r="K251" s="11" t="str">
        <f aca="false">IF(A251="","",D251*C251+F251)</f>
        <v/>
      </c>
      <c r="L251" s="12" t="str">
        <f aca="false">IF(OR(A251="",K251=0),"",ROUND(J251/K251*100,2))</f>
        <v/>
      </c>
      <c r="M251" s="3" t="str">
        <f aca="false">IF(A251="","",TEXT(A251,"yyyy-mm"))</f>
        <v/>
      </c>
    </row>
    <row r="252" customFormat="false" ht="15" hidden="false" customHeight="false" outlineLevel="0" collapsed="false">
      <c r="A252" s="17"/>
      <c r="B252" s="9"/>
      <c r="C252" s="9"/>
      <c r="D252" s="10" t="str">
        <f aca="false">IF(B252="","",IFERROR(INDEX(Products!$D$5:$D$54,MATCH(B252,Products!$A$5:$A$54,0)),0))</f>
        <v/>
      </c>
      <c r="E252" s="10" t="str">
        <f aca="false">IF(B252="","",IFERROR(INDEX(Products!$C$5:$C$54,MATCH(B252,Products!$A$5:$A$54,0)),0))</f>
        <v/>
      </c>
      <c r="F252" s="10"/>
      <c r="G252" s="10"/>
      <c r="H252" s="10" t="str">
        <f aca="false">IF(A252="","",Settings!$B$5)</f>
        <v/>
      </c>
      <c r="I252" s="11" t="str">
        <f aca="false">IF(A252="","",ROUND(K252*(Settings!$B$2+Settings!$B$3)/100+Settings!$B$4,2))</f>
        <v/>
      </c>
      <c r="J252" s="11" t="str">
        <f aca="false">IF(A252="","",ROUND(K252-E252*C252-H252-G252-I252,2))</f>
        <v/>
      </c>
      <c r="K252" s="11" t="str">
        <f aca="false">IF(A252="","",D252*C252+F252)</f>
        <v/>
      </c>
      <c r="L252" s="12" t="str">
        <f aca="false">IF(OR(A252="",K252=0),"",ROUND(J252/K252*100,2))</f>
        <v/>
      </c>
      <c r="M252" s="3" t="str">
        <f aca="false">IF(A252="","",TEXT(A252,"yyyy-mm"))</f>
        <v/>
      </c>
    </row>
    <row r="253" customFormat="false" ht="15" hidden="false" customHeight="false" outlineLevel="0" collapsed="false">
      <c r="A253" s="17"/>
      <c r="B253" s="9"/>
      <c r="C253" s="9"/>
      <c r="D253" s="10" t="str">
        <f aca="false">IF(B253="","",IFERROR(INDEX(Products!$D$5:$D$54,MATCH(B253,Products!$A$5:$A$54,0)),0))</f>
        <v/>
      </c>
      <c r="E253" s="10" t="str">
        <f aca="false">IF(B253="","",IFERROR(INDEX(Products!$C$5:$C$54,MATCH(B253,Products!$A$5:$A$54,0)),0))</f>
        <v/>
      </c>
      <c r="F253" s="10"/>
      <c r="G253" s="10"/>
      <c r="H253" s="10" t="str">
        <f aca="false">IF(A253="","",Settings!$B$5)</f>
        <v/>
      </c>
      <c r="I253" s="11" t="str">
        <f aca="false">IF(A253="","",ROUND(K253*(Settings!$B$2+Settings!$B$3)/100+Settings!$B$4,2))</f>
        <v/>
      </c>
      <c r="J253" s="11" t="str">
        <f aca="false">IF(A253="","",ROUND(K253-E253*C253-H253-G253-I253,2))</f>
        <v/>
      </c>
      <c r="K253" s="11" t="str">
        <f aca="false">IF(A253="","",D253*C253+F253)</f>
        <v/>
      </c>
      <c r="L253" s="12" t="str">
        <f aca="false">IF(OR(A253="",K253=0),"",ROUND(J253/K253*100,2))</f>
        <v/>
      </c>
      <c r="M253" s="3" t="str">
        <f aca="false">IF(A253="","",TEXT(A253,"yyyy-mm"))</f>
        <v/>
      </c>
    </row>
    <row r="254" customFormat="false" ht="15" hidden="false" customHeight="false" outlineLevel="0" collapsed="false">
      <c r="A254" s="17"/>
      <c r="B254" s="9"/>
      <c r="C254" s="9"/>
      <c r="D254" s="10" t="str">
        <f aca="false">IF(B254="","",IFERROR(INDEX(Products!$D$5:$D$54,MATCH(B254,Products!$A$5:$A$54,0)),0))</f>
        <v/>
      </c>
      <c r="E254" s="10" t="str">
        <f aca="false">IF(B254="","",IFERROR(INDEX(Products!$C$5:$C$54,MATCH(B254,Products!$A$5:$A$54,0)),0))</f>
        <v/>
      </c>
      <c r="F254" s="10"/>
      <c r="G254" s="10"/>
      <c r="H254" s="10" t="str">
        <f aca="false">IF(A254="","",Settings!$B$5)</f>
        <v/>
      </c>
      <c r="I254" s="11" t="str">
        <f aca="false">IF(A254="","",ROUND(K254*(Settings!$B$2+Settings!$B$3)/100+Settings!$B$4,2))</f>
        <v/>
      </c>
      <c r="J254" s="11" t="str">
        <f aca="false">IF(A254="","",ROUND(K254-E254*C254-H254-G254-I254,2))</f>
        <v/>
      </c>
      <c r="K254" s="11" t="str">
        <f aca="false">IF(A254="","",D254*C254+F254)</f>
        <v/>
      </c>
      <c r="L254" s="12" t="str">
        <f aca="false">IF(OR(A254="",K254=0),"",ROUND(J254/K254*100,2))</f>
        <v/>
      </c>
      <c r="M254" s="3" t="str">
        <f aca="false">IF(A254="","",TEXT(A254,"yyyy-mm"))</f>
        <v/>
      </c>
    </row>
    <row r="255" customFormat="false" ht="15" hidden="false" customHeight="false" outlineLevel="0" collapsed="false">
      <c r="A255" s="17"/>
      <c r="B255" s="9"/>
      <c r="C255" s="9"/>
      <c r="D255" s="10" t="str">
        <f aca="false">IF(B255="","",IFERROR(INDEX(Products!$D$5:$D$54,MATCH(B255,Products!$A$5:$A$54,0)),0))</f>
        <v/>
      </c>
      <c r="E255" s="10" t="str">
        <f aca="false">IF(B255="","",IFERROR(INDEX(Products!$C$5:$C$54,MATCH(B255,Products!$A$5:$A$54,0)),0))</f>
        <v/>
      </c>
      <c r="F255" s="10"/>
      <c r="G255" s="10"/>
      <c r="H255" s="10" t="str">
        <f aca="false">IF(A255="","",Settings!$B$5)</f>
        <v/>
      </c>
      <c r="I255" s="11" t="str">
        <f aca="false">IF(A255="","",ROUND(K255*(Settings!$B$2+Settings!$B$3)/100+Settings!$B$4,2))</f>
        <v/>
      </c>
      <c r="J255" s="11" t="str">
        <f aca="false">IF(A255="","",ROUND(K255-E255*C255-H255-G255-I255,2))</f>
        <v/>
      </c>
      <c r="K255" s="11" t="str">
        <f aca="false">IF(A255="","",D255*C255+F255)</f>
        <v/>
      </c>
      <c r="L255" s="12" t="str">
        <f aca="false">IF(OR(A255="",K255=0),"",ROUND(J255/K255*100,2))</f>
        <v/>
      </c>
      <c r="M255" s="3" t="str">
        <f aca="false">IF(A255="","",TEXT(A255,"yyyy-mm"))</f>
        <v/>
      </c>
    </row>
    <row r="256" customFormat="false" ht="15" hidden="false" customHeight="false" outlineLevel="0" collapsed="false">
      <c r="A256" s="17"/>
      <c r="B256" s="9"/>
      <c r="C256" s="9"/>
      <c r="D256" s="10" t="str">
        <f aca="false">IF(B256="","",IFERROR(INDEX(Products!$D$5:$D$54,MATCH(B256,Products!$A$5:$A$54,0)),0))</f>
        <v/>
      </c>
      <c r="E256" s="10" t="str">
        <f aca="false">IF(B256="","",IFERROR(INDEX(Products!$C$5:$C$54,MATCH(B256,Products!$A$5:$A$54,0)),0))</f>
        <v/>
      </c>
      <c r="F256" s="10"/>
      <c r="G256" s="10"/>
      <c r="H256" s="10" t="str">
        <f aca="false">IF(A256="","",Settings!$B$5)</f>
        <v/>
      </c>
      <c r="I256" s="11" t="str">
        <f aca="false">IF(A256="","",ROUND(K256*(Settings!$B$2+Settings!$B$3)/100+Settings!$B$4,2))</f>
        <v/>
      </c>
      <c r="J256" s="11" t="str">
        <f aca="false">IF(A256="","",ROUND(K256-E256*C256-H256-G256-I256,2))</f>
        <v/>
      </c>
      <c r="K256" s="11" t="str">
        <f aca="false">IF(A256="","",D256*C256+F256)</f>
        <v/>
      </c>
      <c r="L256" s="12" t="str">
        <f aca="false">IF(OR(A256="",K256=0),"",ROUND(J256/K256*100,2))</f>
        <v/>
      </c>
      <c r="M256" s="3" t="str">
        <f aca="false">IF(A256="","",TEXT(A256,"yyyy-mm"))</f>
        <v/>
      </c>
    </row>
    <row r="257" customFormat="false" ht="15" hidden="false" customHeight="false" outlineLevel="0" collapsed="false">
      <c r="A257" s="17"/>
      <c r="B257" s="9"/>
      <c r="C257" s="9"/>
      <c r="D257" s="10" t="str">
        <f aca="false">IF(B257="","",IFERROR(INDEX(Products!$D$5:$D$54,MATCH(B257,Products!$A$5:$A$54,0)),0))</f>
        <v/>
      </c>
      <c r="E257" s="10" t="str">
        <f aca="false">IF(B257="","",IFERROR(INDEX(Products!$C$5:$C$54,MATCH(B257,Products!$A$5:$A$54,0)),0))</f>
        <v/>
      </c>
      <c r="F257" s="10"/>
      <c r="G257" s="10"/>
      <c r="H257" s="10" t="str">
        <f aca="false">IF(A257="","",Settings!$B$5)</f>
        <v/>
      </c>
      <c r="I257" s="11" t="str">
        <f aca="false">IF(A257="","",ROUND(K257*(Settings!$B$2+Settings!$B$3)/100+Settings!$B$4,2))</f>
        <v/>
      </c>
      <c r="J257" s="11" t="str">
        <f aca="false">IF(A257="","",ROUND(K257-E257*C257-H257-G257-I257,2))</f>
        <v/>
      </c>
      <c r="K257" s="11" t="str">
        <f aca="false">IF(A257="","",D257*C257+F257)</f>
        <v/>
      </c>
      <c r="L257" s="12" t="str">
        <f aca="false">IF(OR(A257="",K257=0),"",ROUND(J257/K257*100,2))</f>
        <v/>
      </c>
      <c r="M257" s="3" t="str">
        <f aca="false">IF(A257="","",TEXT(A257,"yyyy-mm"))</f>
        <v/>
      </c>
    </row>
    <row r="258" customFormat="false" ht="15" hidden="false" customHeight="false" outlineLevel="0" collapsed="false">
      <c r="A258" s="17"/>
      <c r="B258" s="9"/>
      <c r="C258" s="9"/>
      <c r="D258" s="10" t="str">
        <f aca="false">IF(B258="","",IFERROR(INDEX(Products!$D$5:$D$54,MATCH(B258,Products!$A$5:$A$54,0)),0))</f>
        <v/>
      </c>
      <c r="E258" s="10" t="str">
        <f aca="false">IF(B258="","",IFERROR(INDEX(Products!$C$5:$C$54,MATCH(B258,Products!$A$5:$A$54,0)),0))</f>
        <v/>
      </c>
      <c r="F258" s="10"/>
      <c r="G258" s="10"/>
      <c r="H258" s="10" t="str">
        <f aca="false">IF(A258="","",Settings!$B$5)</f>
        <v/>
      </c>
      <c r="I258" s="11" t="str">
        <f aca="false">IF(A258="","",ROUND(K258*(Settings!$B$2+Settings!$B$3)/100+Settings!$B$4,2))</f>
        <v/>
      </c>
      <c r="J258" s="11" t="str">
        <f aca="false">IF(A258="","",ROUND(K258-E258*C258-H258-G258-I258,2))</f>
        <v/>
      </c>
      <c r="K258" s="11" t="str">
        <f aca="false">IF(A258="","",D258*C258+F258)</f>
        <v/>
      </c>
      <c r="L258" s="12" t="str">
        <f aca="false">IF(OR(A258="",K258=0),"",ROUND(J258/K258*100,2))</f>
        <v/>
      </c>
      <c r="M258" s="3" t="str">
        <f aca="false">IF(A258="","",TEXT(A258,"yyyy-mm"))</f>
        <v/>
      </c>
    </row>
    <row r="259" customFormat="false" ht="15" hidden="false" customHeight="false" outlineLevel="0" collapsed="false">
      <c r="A259" s="17"/>
      <c r="B259" s="9"/>
      <c r="C259" s="9"/>
      <c r="D259" s="10" t="str">
        <f aca="false">IF(B259="","",IFERROR(INDEX(Products!$D$5:$D$54,MATCH(B259,Products!$A$5:$A$54,0)),0))</f>
        <v/>
      </c>
      <c r="E259" s="10" t="str">
        <f aca="false">IF(B259="","",IFERROR(INDEX(Products!$C$5:$C$54,MATCH(B259,Products!$A$5:$A$54,0)),0))</f>
        <v/>
      </c>
      <c r="F259" s="10"/>
      <c r="G259" s="10"/>
      <c r="H259" s="10" t="str">
        <f aca="false">IF(A259="","",Settings!$B$5)</f>
        <v/>
      </c>
      <c r="I259" s="11" t="str">
        <f aca="false">IF(A259="","",ROUND(K259*(Settings!$B$2+Settings!$B$3)/100+Settings!$B$4,2))</f>
        <v/>
      </c>
      <c r="J259" s="11" t="str">
        <f aca="false">IF(A259="","",ROUND(K259-E259*C259-H259-G259-I259,2))</f>
        <v/>
      </c>
      <c r="K259" s="11" t="str">
        <f aca="false">IF(A259="","",D259*C259+F259)</f>
        <v/>
      </c>
      <c r="L259" s="12" t="str">
        <f aca="false">IF(OR(A259="",K259=0),"",ROUND(J259/K259*100,2))</f>
        <v/>
      </c>
      <c r="M259" s="3" t="str">
        <f aca="false">IF(A259="","",TEXT(A259,"yyyy-mm"))</f>
        <v/>
      </c>
    </row>
    <row r="260" customFormat="false" ht="15" hidden="false" customHeight="false" outlineLevel="0" collapsed="false">
      <c r="A260" s="17"/>
      <c r="B260" s="9"/>
      <c r="C260" s="9"/>
      <c r="D260" s="10" t="str">
        <f aca="false">IF(B260="","",IFERROR(INDEX(Products!$D$5:$D$54,MATCH(B260,Products!$A$5:$A$54,0)),0))</f>
        <v/>
      </c>
      <c r="E260" s="10" t="str">
        <f aca="false">IF(B260="","",IFERROR(INDEX(Products!$C$5:$C$54,MATCH(B260,Products!$A$5:$A$54,0)),0))</f>
        <v/>
      </c>
      <c r="F260" s="10"/>
      <c r="G260" s="10"/>
      <c r="H260" s="10" t="str">
        <f aca="false">IF(A260="","",Settings!$B$5)</f>
        <v/>
      </c>
      <c r="I260" s="11" t="str">
        <f aca="false">IF(A260="","",ROUND(K260*(Settings!$B$2+Settings!$B$3)/100+Settings!$B$4,2))</f>
        <v/>
      </c>
      <c r="J260" s="11" t="str">
        <f aca="false">IF(A260="","",ROUND(K260-E260*C260-H260-G260-I260,2))</f>
        <v/>
      </c>
      <c r="K260" s="11" t="str">
        <f aca="false">IF(A260="","",D260*C260+F260)</f>
        <v/>
      </c>
      <c r="L260" s="12" t="str">
        <f aca="false">IF(OR(A260="",K260=0),"",ROUND(J260/K260*100,2))</f>
        <v/>
      </c>
      <c r="M260" s="3" t="str">
        <f aca="false">IF(A260="","",TEXT(A260,"yyyy-mm"))</f>
        <v/>
      </c>
    </row>
    <row r="261" customFormat="false" ht="15" hidden="false" customHeight="false" outlineLevel="0" collapsed="false">
      <c r="A261" s="17"/>
      <c r="B261" s="9"/>
      <c r="C261" s="9"/>
      <c r="D261" s="10" t="str">
        <f aca="false">IF(B261="","",IFERROR(INDEX(Products!$D$5:$D$54,MATCH(B261,Products!$A$5:$A$54,0)),0))</f>
        <v/>
      </c>
      <c r="E261" s="10" t="str">
        <f aca="false">IF(B261="","",IFERROR(INDEX(Products!$C$5:$C$54,MATCH(B261,Products!$A$5:$A$54,0)),0))</f>
        <v/>
      </c>
      <c r="F261" s="10"/>
      <c r="G261" s="10"/>
      <c r="H261" s="10" t="str">
        <f aca="false">IF(A261="","",Settings!$B$5)</f>
        <v/>
      </c>
      <c r="I261" s="11" t="str">
        <f aca="false">IF(A261="","",ROUND(K261*(Settings!$B$2+Settings!$B$3)/100+Settings!$B$4,2))</f>
        <v/>
      </c>
      <c r="J261" s="11" t="str">
        <f aca="false">IF(A261="","",ROUND(K261-E261*C261-H261-G261-I261,2))</f>
        <v/>
      </c>
      <c r="K261" s="11" t="str">
        <f aca="false">IF(A261="","",D261*C261+F261)</f>
        <v/>
      </c>
      <c r="L261" s="12" t="str">
        <f aca="false">IF(OR(A261="",K261=0),"",ROUND(J261/K261*100,2))</f>
        <v/>
      </c>
      <c r="M261" s="3" t="str">
        <f aca="false">IF(A261="","",TEXT(A261,"yyyy-mm"))</f>
        <v/>
      </c>
    </row>
    <row r="262" customFormat="false" ht="15" hidden="false" customHeight="false" outlineLevel="0" collapsed="false">
      <c r="A262" s="17"/>
      <c r="B262" s="9"/>
      <c r="C262" s="9"/>
      <c r="D262" s="10" t="str">
        <f aca="false">IF(B262="","",IFERROR(INDEX(Products!$D$5:$D$54,MATCH(B262,Products!$A$5:$A$54,0)),0))</f>
        <v/>
      </c>
      <c r="E262" s="10" t="str">
        <f aca="false">IF(B262="","",IFERROR(INDEX(Products!$C$5:$C$54,MATCH(B262,Products!$A$5:$A$54,0)),0))</f>
        <v/>
      </c>
      <c r="F262" s="10"/>
      <c r="G262" s="10"/>
      <c r="H262" s="10" t="str">
        <f aca="false">IF(A262="","",Settings!$B$5)</f>
        <v/>
      </c>
      <c r="I262" s="11" t="str">
        <f aca="false">IF(A262="","",ROUND(K262*(Settings!$B$2+Settings!$B$3)/100+Settings!$B$4,2))</f>
        <v/>
      </c>
      <c r="J262" s="11" t="str">
        <f aca="false">IF(A262="","",ROUND(K262-E262*C262-H262-G262-I262,2))</f>
        <v/>
      </c>
      <c r="K262" s="11" t="str">
        <f aca="false">IF(A262="","",D262*C262+F262)</f>
        <v/>
      </c>
      <c r="L262" s="12" t="str">
        <f aca="false">IF(OR(A262="",K262=0),"",ROUND(J262/K262*100,2))</f>
        <v/>
      </c>
      <c r="M262" s="3" t="str">
        <f aca="false">IF(A262="","",TEXT(A262,"yyyy-mm"))</f>
        <v/>
      </c>
    </row>
    <row r="263" customFormat="false" ht="15" hidden="false" customHeight="false" outlineLevel="0" collapsed="false">
      <c r="A263" s="17"/>
      <c r="B263" s="9"/>
      <c r="C263" s="9"/>
      <c r="D263" s="10" t="str">
        <f aca="false">IF(B263="","",IFERROR(INDEX(Products!$D$5:$D$54,MATCH(B263,Products!$A$5:$A$54,0)),0))</f>
        <v/>
      </c>
      <c r="E263" s="10" t="str">
        <f aca="false">IF(B263="","",IFERROR(INDEX(Products!$C$5:$C$54,MATCH(B263,Products!$A$5:$A$54,0)),0))</f>
        <v/>
      </c>
      <c r="F263" s="10"/>
      <c r="G263" s="10"/>
      <c r="H263" s="10" t="str">
        <f aca="false">IF(A263="","",Settings!$B$5)</f>
        <v/>
      </c>
      <c r="I263" s="11" t="str">
        <f aca="false">IF(A263="","",ROUND(K263*(Settings!$B$2+Settings!$B$3)/100+Settings!$B$4,2))</f>
        <v/>
      </c>
      <c r="J263" s="11" t="str">
        <f aca="false">IF(A263="","",ROUND(K263-E263*C263-H263-G263-I263,2))</f>
        <v/>
      </c>
      <c r="K263" s="11" t="str">
        <f aca="false">IF(A263="","",D263*C263+F263)</f>
        <v/>
      </c>
      <c r="L263" s="12" t="str">
        <f aca="false">IF(OR(A263="",K263=0),"",ROUND(J263/K263*100,2))</f>
        <v/>
      </c>
      <c r="M263" s="3" t="str">
        <f aca="false">IF(A263="","",TEXT(A263,"yyyy-mm"))</f>
        <v/>
      </c>
    </row>
    <row r="264" customFormat="false" ht="15" hidden="false" customHeight="false" outlineLevel="0" collapsed="false">
      <c r="A264" s="17"/>
      <c r="B264" s="9"/>
      <c r="C264" s="9"/>
      <c r="D264" s="10" t="str">
        <f aca="false">IF(B264="","",IFERROR(INDEX(Products!$D$5:$D$54,MATCH(B264,Products!$A$5:$A$54,0)),0))</f>
        <v/>
      </c>
      <c r="E264" s="10" t="str">
        <f aca="false">IF(B264="","",IFERROR(INDEX(Products!$C$5:$C$54,MATCH(B264,Products!$A$5:$A$54,0)),0))</f>
        <v/>
      </c>
      <c r="F264" s="10"/>
      <c r="G264" s="10"/>
      <c r="H264" s="10" t="str">
        <f aca="false">IF(A264="","",Settings!$B$5)</f>
        <v/>
      </c>
      <c r="I264" s="11" t="str">
        <f aca="false">IF(A264="","",ROUND(K264*(Settings!$B$2+Settings!$B$3)/100+Settings!$B$4,2))</f>
        <v/>
      </c>
      <c r="J264" s="11" t="str">
        <f aca="false">IF(A264="","",ROUND(K264-E264*C264-H264-G264-I264,2))</f>
        <v/>
      </c>
      <c r="K264" s="11" t="str">
        <f aca="false">IF(A264="","",D264*C264+F264)</f>
        <v/>
      </c>
      <c r="L264" s="12" t="str">
        <f aca="false">IF(OR(A264="",K264=0),"",ROUND(J264/K264*100,2))</f>
        <v/>
      </c>
      <c r="M264" s="3" t="str">
        <f aca="false">IF(A264="","",TEXT(A264,"yyyy-mm"))</f>
        <v/>
      </c>
    </row>
    <row r="265" customFormat="false" ht="15" hidden="false" customHeight="false" outlineLevel="0" collapsed="false">
      <c r="A265" s="17"/>
      <c r="B265" s="9"/>
      <c r="C265" s="9"/>
      <c r="D265" s="10" t="str">
        <f aca="false">IF(B265="","",IFERROR(INDEX(Products!$D$5:$D$54,MATCH(B265,Products!$A$5:$A$54,0)),0))</f>
        <v/>
      </c>
      <c r="E265" s="10" t="str">
        <f aca="false">IF(B265="","",IFERROR(INDEX(Products!$C$5:$C$54,MATCH(B265,Products!$A$5:$A$54,0)),0))</f>
        <v/>
      </c>
      <c r="F265" s="10"/>
      <c r="G265" s="10"/>
      <c r="H265" s="10" t="str">
        <f aca="false">IF(A265="","",Settings!$B$5)</f>
        <v/>
      </c>
      <c r="I265" s="11" t="str">
        <f aca="false">IF(A265="","",ROUND(K265*(Settings!$B$2+Settings!$B$3)/100+Settings!$B$4,2))</f>
        <v/>
      </c>
      <c r="J265" s="11" t="str">
        <f aca="false">IF(A265="","",ROUND(K265-E265*C265-H265-G265-I265,2))</f>
        <v/>
      </c>
      <c r="K265" s="11" t="str">
        <f aca="false">IF(A265="","",D265*C265+F265)</f>
        <v/>
      </c>
      <c r="L265" s="12" t="str">
        <f aca="false">IF(OR(A265="",K265=0),"",ROUND(J265/K265*100,2))</f>
        <v/>
      </c>
      <c r="M265" s="3" t="str">
        <f aca="false">IF(A265="","",TEXT(A265,"yyyy-mm"))</f>
        <v/>
      </c>
    </row>
    <row r="266" customFormat="false" ht="15" hidden="false" customHeight="false" outlineLevel="0" collapsed="false">
      <c r="A266" s="17"/>
      <c r="B266" s="9"/>
      <c r="C266" s="9"/>
      <c r="D266" s="10" t="str">
        <f aca="false">IF(B266="","",IFERROR(INDEX(Products!$D$5:$D$54,MATCH(B266,Products!$A$5:$A$54,0)),0))</f>
        <v/>
      </c>
      <c r="E266" s="10" t="str">
        <f aca="false">IF(B266="","",IFERROR(INDEX(Products!$C$5:$C$54,MATCH(B266,Products!$A$5:$A$54,0)),0))</f>
        <v/>
      </c>
      <c r="F266" s="10"/>
      <c r="G266" s="10"/>
      <c r="H266" s="10" t="str">
        <f aca="false">IF(A266="","",Settings!$B$5)</f>
        <v/>
      </c>
      <c r="I266" s="11" t="str">
        <f aca="false">IF(A266="","",ROUND(K266*(Settings!$B$2+Settings!$B$3)/100+Settings!$B$4,2))</f>
        <v/>
      </c>
      <c r="J266" s="11" t="str">
        <f aca="false">IF(A266="","",ROUND(K266-E266*C266-H266-G266-I266,2))</f>
        <v/>
      </c>
      <c r="K266" s="11" t="str">
        <f aca="false">IF(A266="","",D266*C266+F266)</f>
        <v/>
      </c>
      <c r="L266" s="12" t="str">
        <f aca="false">IF(OR(A266="",K266=0),"",ROUND(J266/K266*100,2))</f>
        <v/>
      </c>
      <c r="M266" s="3" t="str">
        <f aca="false">IF(A266="","",TEXT(A266,"yyyy-mm"))</f>
        <v/>
      </c>
    </row>
    <row r="267" customFormat="false" ht="15" hidden="false" customHeight="false" outlineLevel="0" collapsed="false">
      <c r="A267" s="17"/>
      <c r="B267" s="9"/>
      <c r="C267" s="9"/>
      <c r="D267" s="10" t="str">
        <f aca="false">IF(B267="","",IFERROR(INDEX(Products!$D$5:$D$54,MATCH(B267,Products!$A$5:$A$54,0)),0))</f>
        <v/>
      </c>
      <c r="E267" s="10" t="str">
        <f aca="false">IF(B267="","",IFERROR(INDEX(Products!$C$5:$C$54,MATCH(B267,Products!$A$5:$A$54,0)),0))</f>
        <v/>
      </c>
      <c r="F267" s="10"/>
      <c r="G267" s="10"/>
      <c r="H267" s="10" t="str">
        <f aca="false">IF(A267="","",Settings!$B$5)</f>
        <v/>
      </c>
      <c r="I267" s="11" t="str">
        <f aca="false">IF(A267="","",ROUND(K267*(Settings!$B$2+Settings!$B$3)/100+Settings!$B$4,2))</f>
        <v/>
      </c>
      <c r="J267" s="11" t="str">
        <f aca="false">IF(A267="","",ROUND(K267-E267*C267-H267-G267-I267,2))</f>
        <v/>
      </c>
      <c r="K267" s="11" t="str">
        <f aca="false">IF(A267="","",D267*C267+F267)</f>
        <v/>
      </c>
      <c r="L267" s="12" t="str">
        <f aca="false">IF(OR(A267="",K267=0),"",ROUND(J267/K267*100,2))</f>
        <v/>
      </c>
      <c r="M267" s="3" t="str">
        <f aca="false">IF(A267="","",TEXT(A267,"yyyy-mm"))</f>
        <v/>
      </c>
    </row>
    <row r="268" customFormat="false" ht="15" hidden="false" customHeight="false" outlineLevel="0" collapsed="false">
      <c r="A268" s="17"/>
      <c r="B268" s="9"/>
      <c r="C268" s="9"/>
      <c r="D268" s="10" t="str">
        <f aca="false">IF(B268="","",IFERROR(INDEX(Products!$D$5:$D$54,MATCH(B268,Products!$A$5:$A$54,0)),0))</f>
        <v/>
      </c>
      <c r="E268" s="10" t="str">
        <f aca="false">IF(B268="","",IFERROR(INDEX(Products!$C$5:$C$54,MATCH(B268,Products!$A$5:$A$54,0)),0))</f>
        <v/>
      </c>
      <c r="F268" s="10"/>
      <c r="G268" s="10"/>
      <c r="H268" s="10" t="str">
        <f aca="false">IF(A268="","",Settings!$B$5)</f>
        <v/>
      </c>
      <c r="I268" s="11" t="str">
        <f aca="false">IF(A268="","",ROUND(K268*(Settings!$B$2+Settings!$B$3)/100+Settings!$B$4,2))</f>
        <v/>
      </c>
      <c r="J268" s="11" t="str">
        <f aca="false">IF(A268="","",ROUND(K268-E268*C268-H268-G268-I268,2))</f>
        <v/>
      </c>
      <c r="K268" s="11" t="str">
        <f aca="false">IF(A268="","",D268*C268+F268)</f>
        <v/>
      </c>
      <c r="L268" s="12" t="str">
        <f aca="false">IF(OR(A268="",K268=0),"",ROUND(J268/K268*100,2))</f>
        <v/>
      </c>
      <c r="M268" s="3" t="str">
        <f aca="false">IF(A268="","",TEXT(A268,"yyyy-mm"))</f>
        <v/>
      </c>
    </row>
    <row r="269" customFormat="false" ht="15" hidden="false" customHeight="false" outlineLevel="0" collapsed="false">
      <c r="A269" s="17"/>
      <c r="B269" s="9"/>
      <c r="C269" s="9"/>
      <c r="D269" s="10" t="str">
        <f aca="false">IF(B269="","",IFERROR(INDEX(Products!$D$5:$D$54,MATCH(B269,Products!$A$5:$A$54,0)),0))</f>
        <v/>
      </c>
      <c r="E269" s="10" t="str">
        <f aca="false">IF(B269="","",IFERROR(INDEX(Products!$C$5:$C$54,MATCH(B269,Products!$A$5:$A$54,0)),0))</f>
        <v/>
      </c>
      <c r="F269" s="10"/>
      <c r="G269" s="10"/>
      <c r="H269" s="10" t="str">
        <f aca="false">IF(A269="","",Settings!$B$5)</f>
        <v/>
      </c>
      <c r="I269" s="11" t="str">
        <f aca="false">IF(A269="","",ROUND(K269*(Settings!$B$2+Settings!$B$3)/100+Settings!$B$4,2))</f>
        <v/>
      </c>
      <c r="J269" s="11" t="str">
        <f aca="false">IF(A269="","",ROUND(K269-E269*C269-H269-G269-I269,2))</f>
        <v/>
      </c>
      <c r="K269" s="11" t="str">
        <f aca="false">IF(A269="","",D269*C269+F269)</f>
        <v/>
      </c>
      <c r="L269" s="12" t="str">
        <f aca="false">IF(OR(A269="",K269=0),"",ROUND(J269/K269*100,2))</f>
        <v/>
      </c>
      <c r="M269" s="3" t="str">
        <f aca="false">IF(A269="","",TEXT(A269,"yyyy-mm"))</f>
        <v/>
      </c>
    </row>
    <row r="270" customFormat="false" ht="15" hidden="false" customHeight="false" outlineLevel="0" collapsed="false">
      <c r="A270" s="17"/>
      <c r="B270" s="9"/>
      <c r="C270" s="9"/>
      <c r="D270" s="10" t="str">
        <f aca="false">IF(B270="","",IFERROR(INDEX(Products!$D$5:$D$54,MATCH(B270,Products!$A$5:$A$54,0)),0))</f>
        <v/>
      </c>
      <c r="E270" s="10" t="str">
        <f aca="false">IF(B270="","",IFERROR(INDEX(Products!$C$5:$C$54,MATCH(B270,Products!$A$5:$A$54,0)),0))</f>
        <v/>
      </c>
      <c r="F270" s="10"/>
      <c r="G270" s="10"/>
      <c r="H270" s="10" t="str">
        <f aca="false">IF(A270="","",Settings!$B$5)</f>
        <v/>
      </c>
      <c r="I270" s="11" t="str">
        <f aca="false">IF(A270="","",ROUND(K270*(Settings!$B$2+Settings!$B$3)/100+Settings!$B$4,2))</f>
        <v/>
      </c>
      <c r="J270" s="11" t="str">
        <f aca="false">IF(A270="","",ROUND(K270-E270*C270-H270-G270-I270,2))</f>
        <v/>
      </c>
      <c r="K270" s="11" t="str">
        <f aca="false">IF(A270="","",D270*C270+F270)</f>
        <v/>
      </c>
      <c r="L270" s="12" t="str">
        <f aca="false">IF(OR(A270="",K270=0),"",ROUND(J270/K270*100,2))</f>
        <v/>
      </c>
      <c r="M270" s="3" t="str">
        <f aca="false">IF(A270="","",TEXT(A270,"yyyy-mm"))</f>
        <v/>
      </c>
    </row>
    <row r="271" customFormat="false" ht="15" hidden="false" customHeight="false" outlineLevel="0" collapsed="false">
      <c r="A271" s="17"/>
      <c r="B271" s="9"/>
      <c r="C271" s="9"/>
      <c r="D271" s="10" t="str">
        <f aca="false">IF(B271="","",IFERROR(INDEX(Products!$D$5:$D$54,MATCH(B271,Products!$A$5:$A$54,0)),0))</f>
        <v/>
      </c>
      <c r="E271" s="10" t="str">
        <f aca="false">IF(B271="","",IFERROR(INDEX(Products!$C$5:$C$54,MATCH(B271,Products!$A$5:$A$54,0)),0))</f>
        <v/>
      </c>
      <c r="F271" s="10"/>
      <c r="G271" s="10"/>
      <c r="H271" s="10" t="str">
        <f aca="false">IF(A271="","",Settings!$B$5)</f>
        <v/>
      </c>
      <c r="I271" s="11" t="str">
        <f aca="false">IF(A271="","",ROUND(K271*(Settings!$B$2+Settings!$B$3)/100+Settings!$B$4,2))</f>
        <v/>
      </c>
      <c r="J271" s="11" t="str">
        <f aca="false">IF(A271="","",ROUND(K271-E271*C271-H271-G271-I271,2))</f>
        <v/>
      </c>
      <c r="K271" s="11" t="str">
        <f aca="false">IF(A271="","",D271*C271+F271)</f>
        <v/>
      </c>
      <c r="L271" s="12" t="str">
        <f aca="false">IF(OR(A271="",K271=0),"",ROUND(J271/K271*100,2))</f>
        <v/>
      </c>
      <c r="M271" s="3" t="str">
        <f aca="false">IF(A271="","",TEXT(A271,"yyyy-mm"))</f>
        <v/>
      </c>
    </row>
    <row r="272" customFormat="false" ht="15" hidden="false" customHeight="false" outlineLevel="0" collapsed="false">
      <c r="A272" s="17"/>
      <c r="B272" s="9"/>
      <c r="C272" s="9"/>
      <c r="D272" s="10" t="str">
        <f aca="false">IF(B272="","",IFERROR(INDEX(Products!$D$5:$D$54,MATCH(B272,Products!$A$5:$A$54,0)),0))</f>
        <v/>
      </c>
      <c r="E272" s="10" t="str">
        <f aca="false">IF(B272="","",IFERROR(INDEX(Products!$C$5:$C$54,MATCH(B272,Products!$A$5:$A$54,0)),0))</f>
        <v/>
      </c>
      <c r="F272" s="10"/>
      <c r="G272" s="10"/>
      <c r="H272" s="10" t="str">
        <f aca="false">IF(A272="","",Settings!$B$5)</f>
        <v/>
      </c>
      <c r="I272" s="11" t="str">
        <f aca="false">IF(A272="","",ROUND(K272*(Settings!$B$2+Settings!$B$3)/100+Settings!$B$4,2))</f>
        <v/>
      </c>
      <c r="J272" s="11" t="str">
        <f aca="false">IF(A272="","",ROUND(K272-E272*C272-H272-G272-I272,2))</f>
        <v/>
      </c>
      <c r="K272" s="11" t="str">
        <f aca="false">IF(A272="","",D272*C272+F272)</f>
        <v/>
      </c>
      <c r="L272" s="12" t="str">
        <f aca="false">IF(OR(A272="",K272=0),"",ROUND(J272/K272*100,2))</f>
        <v/>
      </c>
      <c r="M272" s="3" t="str">
        <f aca="false">IF(A272="","",TEXT(A272,"yyyy-mm"))</f>
        <v/>
      </c>
    </row>
    <row r="273" customFormat="false" ht="15" hidden="false" customHeight="false" outlineLevel="0" collapsed="false">
      <c r="A273" s="17"/>
      <c r="B273" s="9"/>
      <c r="C273" s="9"/>
      <c r="D273" s="10" t="str">
        <f aca="false">IF(B273="","",IFERROR(INDEX(Products!$D$5:$D$54,MATCH(B273,Products!$A$5:$A$54,0)),0))</f>
        <v/>
      </c>
      <c r="E273" s="10" t="str">
        <f aca="false">IF(B273="","",IFERROR(INDEX(Products!$C$5:$C$54,MATCH(B273,Products!$A$5:$A$54,0)),0))</f>
        <v/>
      </c>
      <c r="F273" s="10"/>
      <c r="G273" s="10"/>
      <c r="H273" s="10" t="str">
        <f aca="false">IF(A273="","",Settings!$B$5)</f>
        <v/>
      </c>
      <c r="I273" s="11" t="str">
        <f aca="false">IF(A273="","",ROUND(K273*(Settings!$B$2+Settings!$B$3)/100+Settings!$B$4,2))</f>
        <v/>
      </c>
      <c r="J273" s="11" t="str">
        <f aca="false">IF(A273="","",ROUND(K273-E273*C273-H273-G273-I273,2))</f>
        <v/>
      </c>
      <c r="K273" s="11" t="str">
        <f aca="false">IF(A273="","",D273*C273+F273)</f>
        <v/>
      </c>
      <c r="L273" s="12" t="str">
        <f aca="false">IF(OR(A273="",K273=0),"",ROUND(J273/K273*100,2))</f>
        <v/>
      </c>
      <c r="M273" s="3" t="str">
        <f aca="false">IF(A273="","",TEXT(A273,"yyyy-mm"))</f>
        <v/>
      </c>
    </row>
    <row r="274" customFormat="false" ht="15" hidden="false" customHeight="false" outlineLevel="0" collapsed="false">
      <c r="A274" s="17"/>
      <c r="B274" s="9"/>
      <c r="C274" s="9"/>
      <c r="D274" s="10" t="str">
        <f aca="false">IF(B274="","",IFERROR(INDEX(Products!$D$5:$D$54,MATCH(B274,Products!$A$5:$A$54,0)),0))</f>
        <v/>
      </c>
      <c r="E274" s="10" t="str">
        <f aca="false">IF(B274="","",IFERROR(INDEX(Products!$C$5:$C$54,MATCH(B274,Products!$A$5:$A$54,0)),0))</f>
        <v/>
      </c>
      <c r="F274" s="10"/>
      <c r="G274" s="10"/>
      <c r="H274" s="10" t="str">
        <f aca="false">IF(A274="","",Settings!$B$5)</f>
        <v/>
      </c>
      <c r="I274" s="11" t="str">
        <f aca="false">IF(A274="","",ROUND(K274*(Settings!$B$2+Settings!$B$3)/100+Settings!$B$4,2))</f>
        <v/>
      </c>
      <c r="J274" s="11" t="str">
        <f aca="false">IF(A274="","",ROUND(K274-E274*C274-H274-G274-I274,2))</f>
        <v/>
      </c>
      <c r="K274" s="11" t="str">
        <f aca="false">IF(A274="","",D274*C274+F274)</f>
        <v/>
      </c>
      <c r="L274" s="12" t="str">
        <f aca="false">IF(OR(A274="",K274=0),"",ROUND(J274/K274*100,2))</f>
        <v/>
      </c>
      <c r="M274" s="3" t="str">
        <f aca="false">IF(A274="","",TEXT(A274,"yyyy-mm"))</f>
        <v/>
      </c>
    </row>
    <row r="275" customFormat="false" ht="15" hidden="false" customHeight="false" outlineLevel="0" collapsed="false">
      <c r="A275" s="17"/>
      <c r="B275" s="9"/>
      <c r="C275" s="9"/>
      <c r="D275" s="10" t="str">
        <f aca="false">IF(B275="","",IFERROR(INDEX(Products!$D$5:$D$54,MATCH(B275,Products!$A$5:$A$54,0)),0))</f>
        <v/>
      </c>
      <c r="E275" s="10" t="str">
        <f aca="false">IF(B275="","",IFERROR(INDEX(Products!$C$5:$C$54,MATCH(B275,Products!$A$5:$A$54,0)),0))</f>
        <v/>
      </c>
      <c r="F275" s="10"/>
      <c r="G275" s="10"/>
      <c r="H275" s="10" t="str">
        <f aca="false">IF(A275="","",Settings!$B$5)</f>
        <v/>
      </c>
      <c r="I275" s="11" t="str">
        <f aca="false">IF(A275="","",ROUND(K275*(Settings!$B$2+Settings!$B$3)/100+Settings!$B$4,2))</f>
        <v/>
      </c>
      <c r="J275" s="11" t="str">
        <f aca="false">IF(A275="","",ROUND(K275-E275*C275-H275-G275-I275,2))</f>
        <v/>
      </c>
      <c r="K275" s="11" t="str">
        <f aca="false">IF(A275="","",D275*C275+F275)</f>
        <v/>
      </c>
      <c r="L275" s="12" t="str">
        <f aca="false">IF(OR(A275="",K275=0),"",ROUND(J275/K275*100,2))</f>
        <v/>
      </c>
      <c r="M275" s="3" t="str">
        <f aca="false">IF(A275="","",TEXT(A275,"yyyy-mm"))</f>
        <v/>
      </c>
    </row>
    <row r="276" customFormat="false" ht="15" hidden="false" customHeight="false" outlineLevel="0" collapsed="false">
      <c r="A276" s="17"/>
      <c r="B276" s="9"/>
      <c r="C276" s="9"/>
      <c r="D276" s="10" t="str">
        <f aca="false">IF(B276="","",IFERROR(INDEX(Products!$D$5:$D$54,MATCH(B276,Products!$A$5:$A$54,0)),0))</f>
        <v/>
      </c>
      <c r="E276" s="10" t="str">
        <f aca="false">IF(B276="","",IFERROR(INDEX(Products!$C$5:$C$54,MATCH(B276,Products!$A$5:$A$54,0)),0))</f>
        <v/>
      </c>
      <c r="F276" s="10"/>
      <c r="G276" s="10"/>
      <c r="H276" s="10" t="str">
        <f aca="false">IF(A276="","",Settings!$B$5)</f>
        <v/>
      </c>
      <c r="I276" s="11" t="str">
        <f aca="false">IF(A276="","",ROUND(K276*(Settings!$B$2+Settings!$B$3)/100+Settings!$B$4,2))</f>
        <v/>
      </c>
      <c r="J276" s="11" t="str">
        <f aca="false">IF(A276="","",ROUND(K276-E276*C276-H276-G276-I276,2))</f>
        <v/>
      </c>
      <c r="K276" s="11" t="str">
        <f aca="false">IF(A276="","",D276*C276+F276)</f>
        <v/>
      </c>
      <c r="L276" s="12" t="str">
        <f aca="false">IF(OR(A276="",K276=0),"",ROUND(J276/K276*100,2))</f>
        <v/>
      </c>
      <c r="M276" s="3" t="str">
        <f aca="false">IF(A276="","",TEXT(A276,"yyyy-mm"))</f>
        <v/>
      </c>
    </row>
    <row r="277" customFormat="false" ht="15" hidden="false" customHeight="false" outlineLevel="0" collapsed="false">
      <c r="A277" s="17"/>
      <c r="B277" s="9"/>
      <c r="C277" s="9"/>
      <c r="D277" s="10" t="str">
        <f aca="false">IF(B277="","",IFERROR(INDEX(Products!$D$5:$D$54,MATCH(B277,Products!$A$5:$A$54,0)),0))</f>
        <v/>
      </c>
      <c r="E277" s="10" t="str">
        <f aca="false">IF(B277="","",IFERROR(INDEX(Products!$C$5:$C$54,MATCH(B277,Products!$A$5:$A$54,0)),0))</f>
        <v/>
      </c>
      <c r="F277" s="10"/>
      <c r="G277" s="10"/>
      <c r="H277" s="10" t="str">
        <f aca="false">IF(A277="","",Settings!$B$5)</f>
        <v/>
      </c>
      <c r="I277" s="11" t="str">
        <f aca="false">IF(A277="","",ROUND(K277*(Settings!$B$2+Settings!$B$3)/100+Settings!$B$4,2))</f>
        <v/>
      </c>
      <c r="J277" s="11" t="str">
        <f aca="false">IF(A277="","",ROUND(K277-E277*C277-H277-G277-I277,2))</f>
        <v/>
      </c>
      <c r="K277" s="11" t="str">
        <f aca="false">IF(A277="","",D277*C277+F277)</f>
        <v/>
      </c>
      <c r="L277" s="12" t="str">
        <f aca="false">IF(OR(A277="",K277=0),"",ROUND(J277/K277*100,2))</f>
        <v/>
      </c>
      <c r="M277" s="3" t="str">
        <f aca="false">IF(A277="","",TEXT(A277,"yyyy-mm"))</f>
        <v/>
      </c>
    </row>
    <row r="278" customFormat="false" ht="15" hidden="false" customHeight="false" outlineLevel="0" collapsed="false">
      <c r="A278" s="17"/>
      <c r="B278" s="9"/>
      <c r="C278" s="9"/>
      <c r="D278" s="10" t="str">
        <f aca="false">IF(B278="","",IFERROR(INDEX(Products!$D$5:$D$54,MATCH(B278,Products!$A$5:$A$54,0)),0))</f>
        <v/>
      </c>
      <c r="E278" s="10" t="str">
        <f aca="false">IF(B278="","",IFERROR(INDEX(Products!$C$5:$C$54,MATCH(B278,Products!$A$5:$A$54,0)),0))</f>
        <v/>
      </c>
      <c r="F278" s="10"/>
      <c r="G278" s="10"/>
      <c r="H278" s="10" t="str">
        <f aca="false">IF(A278="","",Settings!$B$5)</f>
        <v/>
      </c>
      <c r="I278" s="11" t="str">
        <f aca="false">IF(A278="","",ROUND(K278*(Settings!$B$2+Settings!$B$3)/100+Settings!$B$4,2))</f>
        <v/>
      </c>
      <c r="J278" s="11" t="str">
        <f aca="false">IF(A278="","",ROUND(K278-E278*C278-H278-G278-I278,2))</f>
        <v/>
      </c>
      <c r="K278" s="11" t="str">
        <f aca="false">IF(A278="","",D278*C278+F278)</f>
        <v/>
      </c>
      <c r="L278" s="12" t="str">
        <f aca="false">IF(OR(A278="",K278=0),"",ROUND(J278/K278*100,2))</f>
        <v/>
      </c>
      <c r="M278" s="3" t="str">
        <f aca="false">IF(A278="","",TEXT(A278,"yyyy-mm"))</f>
        <v/>
      </c>
    </row>
    <row r="279" customFormat="false" ht="15" hidden="false" customHeight="false" outlineLevel="0" collapsed="false">
      <c r="A279" s="17"/>
      <c r="B279" s="9"/>
      <c r="C279" s="9"/>
      <c r="D279" s="10" t="str">
        <f aca="false">IF(B279="","",IFERROR(INDEX(Products!$D$5:$D$54,MATCH(B279,Products!$A$5:$A$54,0)),0))</f>
        <v/>
      </c>
      <c r="E279" s="10" t="str">
        <f aca="false">IF(B279="","",IFERROR(INDEX(Products!$C$5:$C$54,MATCH(B279,Products!$A$5:$A$54,0)),0))</f>
        <v/>
      </c>
      <c r="F279" s="10"/>
      <c r="G279" s="10"/>
      <c r="H279" s="10" t="str">
        <f aca="false">IF(A279="","",Settings!$B$5)</f>
        <v/>
      </c>
      <c r="I279" s="11" t="str">
        <f aca="false">IF(A279="","",ROUND(K279*(Settings!$B$2+Settings!$B$3)/100+Settings!$B$4,2))</f>
        <v/>
      </c>
      <c r="J279" s="11" t="str">
        <f aca="false">IF(A279="","",ROUND(K279-E279*C279-H279-G279-I279,2))</f>
        <v/>
      </c>
      <c r="K279" s="11" t="str">
        <f aca="false">IF(A279="","",D279*C279+F279)</f>
        <v/>
      </c>
      <c r="L279" s="12" t="str">
        <f aca="false">IF(OR(A279="",K279=0),"",ROUND(J279/K279*100,2))</f>
        <v/>
      </c>
      <c r="M279" s="3" t="str">
        <f aca="false">IF(A279="","",TEXT(A279,"yyyy-mm"))</f>
        <v/>
      </c>
    </row>
    <row r="280" customFormat="false" ht="15" hidden="false" customHeight="false" outlineLevel="0" collapsed="false">
      <c r="A280" s="17"/>
      <c r="B280" s="9"/>
      <c r="C280" s="9"/>
      <c r="D280" s="10" t="str">
        <f aca="false">IF(B280="","",IFERROR(INDEX(Products!$D$5:$D$54,MATCH(B280,Products!$A$5:$A$54,0)),0))</f>
        <v/>
      </c>
      <c r="E280" s="10" t="str">
        <f aca="false">IF(B280="","",IFERROR(INDEX(Products!$C$5:$C$54,MATCH(B280,Products!$A$5:$A$54,0)),0))</f>
        <v/>
      </c>
      <c r="F280" s="10"/>
      <c r="G280" s="10"/>
      <c r="H280" s="10" t="str">
        <f aca="false">IF(A280="","",Settings!$B$5)</f>
        <v/>
      </c>
      <c r="I280" s="11" t="str">
        <f aca="false">IF(A280="","",ROUND(K280*(Settings!$B$2+Settings!$B$3)/100+Settings!$B$4,2))</f>
        <v/>
      </c>
      <c r="J280" s="11" t="str">
        <f aca="false">IF(A280="","",ROUND(K280-E280*C280-H280-G280-I280,2))</f>
        <v/>
      </c>
      <c r="K280" s="11" t="str">
        <f aca="false">IF(A280="","",D280*C280+F280)</f>
        <v/>
      </c>
      <c r="L280" s="12" t="str">
        <f aca="false">IF(OR(A280="",K280=0),"",ROUND(J280/K280*100,2))</f>
        <v/>
      </c>
      <c r="M280" s="3" t="str">
        <f aca="false">IF(A280="","",TEXT(A280,"yyyy-mm"))</f>
        <v/>
      </c>
    </row>
    <row r="281" customFormat="false" ht="15" hidden="false" customHeight="false" outlineLevel="0" collapsed="false">
      <c r="A281" s="17"/>
      <c r="B281" s="9"/>
      <c r="C281" s="9"/>
      <c r="D281" s="10" t="str">
        <f aca="false">IF(B281="","",IFERROR(INDEX(Products!$D$5:$D$54,MATCH(B281,Products!$A$5:$A$54,0)),0))</f>
        <v/>
      </c>
      <c r="E281" s="10" t="str">
        <f aca="false">IF(B281="","",IFERROR(INDEX(Products!$C$5:$C$54,MATCH(B281,Products!$A$5:$A$54,0)),0))</f>
        <v/>
      </c>
      <c r="F281" s="10"/>
      <c r="G281" s="10"/>
      <c r="H281" s="10" t="str">
        <f aca="false">IF(A281="","",Settings!$B$5)</f>
        <v/>
      </c>
      <c r="I281" s="11" t="str">
        <f aca="false">IF(A281="","",ROUND(K281*(Settings!$B$2+Settings!$B$3)/100+Settings!$B$4,2))</f>
        <v/>
      </c>
      <c r="J281" s="11" t="str">
        <f aca="false">IF(A281="","",ROUND(K281-E281*C281-H281-G281-I281,2))</f>
        <v/>
      </c>
      <c r="K281" s="11" t="str">
        <f aca="false">IF(A281="","",D281*C281+F281)</f>
        <v/>
      </c>
      <c r="L281" s="12" t="str">
        <f aca="false">IF(OR(A281="",K281=0),"",ROUND(J281/K281*100,2))</f>
        <v/>
      </c>
      <c r="M281" s="3" t="str">
        <f aca="false">IF(A281="","",TEXT(A281,"yyyy-mm"))</f>
        <v/>
      </c>
    </row>
    <row r="282" customFormat="false" ht="15" hidden="false" customHeight="false" outlineLevel="0" collapsed="false">
      <c r="A282" s="17"/>
      <c r="B282" s="9"/>
      <c r="C282" s="9"/>
      <c r="D282" s="10" t="str">
        <f aca="false">IF(B282="","",IFERROR(INDEX(Products!$D$5:$D$54,MATCH(B282,Products!$A$5:$A$54,0)),0))</f>
        <v/>
      </c>
      <c r="E282" s="10" t="str">
        <f aca="false">IF(B282="","",IFERROR(INDEX(Products!$C$5:$C$54,MATCH(B282,Products!$A$5:$A$54,0)),0))</f>
        <v/>
      </c>
      <c r="F282" s="10"/>
      <c r="G282" s="10"/>
      <c r="H282" s="10" t="str">
        <f aca="false">IF(A282="","",Settings!$B$5)</f>
        <v/>
      </c>
      <c r="I282" s="11" t="str">
        <f aca="false">IF(A282="","",ROUND(K282*(Settings!$B$2+Settings!$B$3)/100+Settings!$B$4,2))</f>
        <v/>
      </c>
      <c r="J282" s="11" t="str">
        <f aca="false">IF(A282="","",ROUND(K282-E282*C282-H282-G282-I282,2))</f>
        <v/>
      </c>
      <c r="K282" s="11" t="str">
        <f aca="false">IF(A282="","",D282*C282+F282)</f>
        <v/>
      </c>
      <c r="L282" s="12" t="str">
        <f aca="false">IF(OR(A282="",K282=0),"",ROUND(J282/K282*100,2))</f>
        <v/>
      </c>
      <c r="M282" s="3" t="str">
        <f aca="false">IF(A282="","",TEXT(A282,"yyyy-mm"))</f>
        <v/>
      </c>
    </row>
    <row r="283" customFormat="false" ht="15" hidden="false" customHeight="false" outlineLevel="0" collapsed="false">
      <c r="A283" s="17"/>
      <c r="B283" s="9"/>
      <c r="C283" s="9"/>
      <c r="D283" s="10" t="str">
        <f aca="false">IF(B283="","",IFERROR(INDEX(Products!$D$5:$D$54,MATCH(B283,Products!$A$5:$A$54,0)),0))</f>
        <v/>
      </c>
      <c r="E283" s="10" t="str">
        <f aca="false">IF(B283="","",IFERROR(INDEX(Products!$C$5:$C$54,MATCH(B283,Products!$A$5:$A$54,0)),0))</f>
        <v/>
      </c>
      <c r="F283" s="10"/>
      <c r="G283" s="10"/>
      <c r="H283" s="10" t="str">
        <f aca="false">IF(A283="","",Settings!$B$5)</f>
        <v/>
      </c>
      <c r="I283" s="11" t="str">
        <f aca="false">IF(A283="","",ROUND(K283*(Settings!$B$2+Settings!$B$3)/100+Settings!$B$4,2))</f>
        <v/>
      </c>
      <c r="J283" s="11" t="str">
        <f aca="false">IF(A283="","",ROUND(K283-E283*C283-H283-G283-I283,2))</f>
        <v/>
      </c>
      <c r="K283" s="11" t="str">
        <f aca="false">IF(A283="","",D283*C283+F283)</f>
        <v/>
      </c>
      <c r="L283" s="12" t="str">
        <f aca="false">IF(OR(A283="",K283=0),"",ROUND(J283/K283*100,2))</f>
        <v/>
      </c>
      <c r="M283" s="3" t="str">
        <f aca="false">IF(A283="","",TEXT(A283,"yyyy-mm"))</f>
        <v/>
      </c>
    </row>
    <row r="284" customFormat="false" ht="15" hidden="false" customHeight="false" outlineLevel="0" collapsed="false">
      <c r="A284" s="17"/>
      <c r="B284" s="9"/>
      <c r="C284" s="9"/>
      <c r="D284" s="10" t="str">
        <f aca="false">IF(B284="","",IFERROR(INDEX(Products!$D$5:$D$54,MATCH(B284,Products!$A$5:$A$54,0)),0))</f>
        <v/>
      </c>
      <c r="E284" s="10" t="str">
        <f aca="false">IF(B284="","",IFERROR(INDEX(Products!$C$5:$C$54,MATCH(B284,Products!$A$5:$A$54,0)),0))</f>
        <v/>
      </c>
      <c r="F284" s="10"/>
      <c r="G284" s="10"/>
      <c r="H284" s="10" t="str">
        <f aca="false">IF(A284="","",Settings!$B$5)</f>
        <v/>
      </c>
      <c r="I284" s="11" t="str">
        <f aca="false">IF(A284="","",ROUND(K284*(Settings!$B$2+Settings!$B$3)/100+Settings!$B$4,2))</f>
        <v/>
      </c>
      <c r="J284" s="11" t="str">
        <f aca="false">IF(A284="","",ROUND(K284-E284*C284-H284-G284-I284,2))</f>
        <v/>
      </c>
      <c r="K284" s="11" t="str">
        <f aca="false">IF(A284="","",D284*C284+F284)</f>
        <v/>
      </c>
      <c r="L284" s="12" t="str">
        <f aca="false">IF(OR(A284="",K284=0),"",ROUND(J284/K284*100,2))</f>
        <v/>
      </c>
      <c r="M284" s="3" t="str">
        <f aca="false">IF(A284="","",TEXT(A284,"yyyy-mm"))</f>
        <v/>
      </c>
    </row>
    <row r="285" customFormat="false" ht="15" hidden="false" customHeight="false" outlineLevel="0" collapsed="false">
      <c r="A285" s="17"/>
      <c r="B285" s="9"/>
      <c r="C285" s="9"/>
      <c r="D285" s="10" t="str">
        <f aca="false">IF(B285="","",IFERROR(INDEX(Products!$D$5:$D$54,MATCH(B285,Products!$A$5:$A$54,0)),0))</f>
        <v/>
      </c>
      <c r="E285" s="10" t="str">
        <f aca="false">IF(B285="","",IFERROR(INDEX(Products!$C$5:$C$54,MATCH(B285,Products!$A$5:$A$54,0)),0))</f>
        <v/>
      </c>
      <c r="F285" s="10"/>
      <c r="G285" s="10"/>
      <c r="H285" s="10" t="str">
        <f aca="false">IF(A285="","",Settings!$B$5)</f>
        <v/>
      </c>
      <c r="I285" s="11" t="str">
        <f aca="false">IF(A285="","",ROUND(K285*(Settings!$B$2+Settings!$B$3)/100+Settings!$B$4,2))</f>
        <v/>
      </c>
      <c r="J285" s="11" t="str">
        <f aca="false">IF(A285="","",ROUND(K285-E285*C285-H285-G285-I285,2))</f>
        <v/>
      </c>
      <c r="K285" s="11" t="str">
        <f aca="false">IF(A285="","",D285*C285+F285)</f>
        <v/>
      </c>
      <c r="L285" s="12" t="str">
        <f aca="false">IF(OR(A285="",K285=0),"",ROUND(J285/K285*100,2))</f>
        <v/>
      </c>
      <c r="M285" s="3" t="str">
        <f aca="false">IF(A285="","",TEXT(A285,"yyyy-mm"))</f>
        <v/>
      </c>
    </row>
    <row r="286" customFormat="false" ht="15" hidden="false" customHeight="false" outlineLevel="0" collapsed="false">
      <c r="A286" s="17"/>
      <c r="B286" s="9"/>
      <c r="C286" s="9"/>
      <c r="D286" s="10" t="str">
        <f aca="false">IF(B286="","",IFERROR(INDEX(Products!$D$5:$D$54,MATCH(B286,Products!$A$5:$A$54,0)),0))</f>
        <v/>
      </c>
      <c r="E286" s="10" t="str">
        <f aca="false">IF(B286="","",IFERROR(INDEX(Products!$C$5:$C$54,MATCH(B286,Products!$A$5:$A$54,0)),0))</f>
        <v/>
      </c>
      <c r="F286" s="10"/>
      <c r="G286" s="10"/>
      <c r="H286" s="10" t="str">
        <f aca="false">IF(A286="","",Settings!$B$5)</f>
        <v/>
      </c>
      <c r="I286" s="11" t="str">
        <f aca="false">IF(A286="","",ROUND(K286*(Settings!$B$2+Settings!$B$3)/100+Settings!$B$4,2))</f>
        <v/>
      </c>
      <c r="J286" s="11" t="str">
        <f aca="false">IF(A286="","",ROUND(K286-E286*C286-H286-G286-I286,2))</f>
        <v/>
      </c>
      <c r="K286" s="11" t="str">
        <f aca="false">IF(A286="","",D286*C286+F286)</f>
        <v/>
      </c>
      <c r="L286" s="12" t="str">
        <f aca="false">IF(OR(A286="",K286=0),"",ROUND(J286/K286*100,2))</f>
        <v/>
      </c>
      <c r="M286" s="3" t="str">
        <f aca="false">IF(A286="","",TEXT(A286,"yyyy-mm"))</f>
        <v/>
      </c>
    </row>
    <row r="287" customFormat="false" ht="15" hidden="false" customHeight="false" outlineLevel="0" collapsed="false">
      <c r="A287" s="17"/>
      <c r="B287" s="9"/>
      <c r="C287" s="9"/>
      <c r="D287" s="10" t="str">
        <f aca="false">IF(B287="","",IFERROR(INDEX(Products!$D$5:$D$54,MATCH(B287,Products!$A$5:$A$54,0)),0))</f>
        <v/>
      </c>
      <c r="E287" s="10" t="str">
        <f aca="false">IF(B287="","",IFERROR(INDEX(Products!$C$5:$C$54,MATCH(B287,Products!$A$5:$A$54,0)),0))</f>
        <v/>
      </c>
      <c r="F287" s="10"/>
      <c r="G287" s="10"/>
      <c r="H287" s="10" t="str">
        <f aca="false">IF(A287="","",Settings!$B$5)</f>
        <v/>
      </c>
      <c r="I287" s="11" t="str">
        <f aca="false">IF(A287="","",ROUND(K287*(Settings!$B$2+Settings!$B$3)/100+Settings!$B$4,2))</f>
        <v/>
      </c>
      <c r="J287" s="11" t="str">
        <f aca="false">IF(A287="","",ROUND(K287-E287*C287-H287-G287-I287,2))</f>
        <v/>
      </c>
      <c r="K287" s="11" t="str">
        <f aca="false">IF(A287="","",D287*C287+F287)</f>
        <v/>
      </c>
      <c r="L287" s="12" t="str">
        <f aca="false">IF(OR(A287="",K287=0),"",ROUND(J287/K287*100,2))</f>
        <v/>
      </c>
      <c r="M287" s="3" t="str">
        <f aca="false">IF(A287="","",TEXT(A287,"yyyy-mm"))</f>
        <v/>
      </c>
    </row>
    <row r="288" customFormat="false" ht="15" hidden="false" customHeight="false" outlineLevel="0" collapsed="false">
      <c r="A288" s="17"/>
      <c r="B288" s="9"/>
      <c r="C288" s="9"/>
      <c r="D288" s="10" t="str">
        <f aca="false">IF(B288="","",IFERROR(INDEX(Products!$D$5:$D$54,MATCH(B288,Products!$A$5:$A$54,0)),0))</f>
        <v/>
      </c>
      <c r="E288" s="10" t="str">
        <f aca="false">IF(B288="","",IFERROR(INDEX(Products!$C$5:$C$54,MATCH(B288,Products!$A$5:$A$54,0)),0))</f>
        <v/>
      </c>
      <c r="F288" s="10"/>
      <c r="G288" s="10"/>
      <c r="H288" s="10" t="str">
        <f aca="false">IF(A288="","",Settings!$B$5)</f>
        <v/>
      </c>
      <c r="I288" s="11" t="str">
        <f aca="false">IF(A288="","",ROUND(K288*(Settings!$B$2+Settings!$B$3)/100+Settings!$B$4,2))</f>
        <v/>
      </c>
      <c r="J288" s="11" t="str">
        <f aca="false">IF(A288="","",ROUND(K288-E288*C288-H288-G288-I288,2))</f>
        <v/>
      </c>
      <c r="K288" s="11" t="str">
        <f aca="false">IF(A288="","",D288*C288+F288)</f>
        <v/>
      </c>
      <c r="L288" s="12" t="str">
        <f aca="false">IF(OR(A288="",K288=0),"",ROUND(J288/K288*100,2))</f>
        <v/>
      </c>
      <c r="M288" s="3" t="str">
        <f aca="false">IF(A288="","",TEXT(A288,"yyyy-mm"))</f>
        <v/>
      </c>
    </row>
    <row r="289" customFormat="false" ht="15" hidden="false" customHeight="false" outlineLevel="0" collapsed="false">
      <c r="A289" s="17"/>
      <c r="B289" s="9"/>
      <c r="C289" s="9"/>
      <c r="D289" s="10" t="str">
        <f aca="false">IF(B289="","",IFERROR(INDEX(Products!$D$5:$D$54,MATCH(B289,Products!$A$5:$A$54,0)),0))</f>
        <v/>
      </c>
      <c r="E289" s="10" t="str">
        <f aca="false">IF(B289="","",IFERROR(INDEX(Products!$C$5:$C$54,MATCH(B289,Products!$A$5:$A$54,0)),0))</f>
        <v/>
      </c>
      <c r="F289" s="10"/>
      <c r="G289" s="10"/>
      <c r="H289" s="10" t="str">
        <f aca="false">IF(A289="","",Settings!$B$5)</f>
        <v/>
      </c>
      <c r="I289" s="11" t="str">
        <f aca="false">IF(A289="","",ROUND(K289*(Settings!$B$2+Settings!$B$3)/100+Settings!$B$4,2))</f>
        <v/>
      </c>
      <c r="J289" s="11" t="str">
        <f aca="false">IF(A289="","",ROUND(K289-E289*C289-H289-G289-I289,2))</f>
        <v/>
      </c>
      <c r="K289" s="11" t="str">
        <f aca="false">IF(A289="","",D289*C289+F289)</f>
        <v/>
      </c>
      <c r="L289" s="12" t="str">
        <f aca="false">IF(OR(A289="",K289=0),"",ROUND(J289/K289*100,2))</f>
        <v/>
      </c>
      <c r="M289" s="3" t="str">
        <f aca="false">IF(A289="","",TEXT(A289,"yyyy-mm"))</f>
        <v/>
      </c>
    </row>
    <row r="290" customFormat="false" ht="15" hidden="false" customHeight="false" outlineLevel="0" collapsed="false">
      <c r="A290" s="17"/>
      <c r="B290" s="9"/>
      <c r="C290" s="9"/>
      <c r="D290" s="10" t="str">
        <f aca="false">IF(B290="","",IFERROR(INDEX(Products!$D$5:$D$54,MATCH(B290,Products!$A$5:$A$54,0)),0))</f>
        <v/>
      </c>
      <c r="E290" s="10" t="str">
        <f aca="false">IF(B290="","",IFERROR(INDEX(Products!$C$5:$C$54,MATCH(B290,Products!$A$5:$A$54,0)),0))</f>
        <v/>
      </c>
      <c r="F290" s="10"/>
      <c r="G290" s="10"/>
      <c r="H290" s="10" t="str">
        <f aca="false">IF(A290="","",Settings!$B$5)</f>
        <v/>
      </c>
      <c r="I290" s="11" t="str">
        <f aca="false">IF(A290="","",ROUND(K290*(Settings!$B$2+Settings!$B$3)/100+Settings!$B$4,2))</f>
        <v/>
      </c>
      <c r="J290" s="11" t="str">
        <f aca="false">IF(A290="","",ROUND(K290-E290*C290-H290-G290-I290,2))</f>
        <v/>
      </c>
      <c r="K290" s="11" t="str">
        <f aca="false">IF(A290="","",D290*C290+F290)</f>
        <v/>
      </c>
      <c r="L290" s="12" t="str">
        <f aca="false">IF(OR(A290="",K290=0),"",ROUND(J290/K290*100,2))</f>
        <v/>
      </c>
      <c r="M290" s="3" t="str">
        <f aca="false">IF(A290="","",TEXT(A290,"yyyy-mm"))</f>
        <v/>
      </c>
    </row>
    <row r="291" customFormat="false" ht="15" hidden="false" customHeight="false" outlineLevel="0" collapsed="false">
      <c r="A291" s="17"/>
      <c r="B291" s="9"/>
      <c r="C291" s="9"/>
      <c r="D291" s="10" t="str">
        <f aca="false">IF(B291="","",IFERROR(INDEX(Products!$D$5:$D$54,MATCH(B291,Products!$A$5:$A$54,0)),0))</f>
        <v/>
      </c>
      <c r="E291" s="10" t="str">
        <f aca="false">IF(B291="","",IFERROR(INDEX(Products!$C$5:$C$54,MATCH(B291,Products!$A$5:$A$54,0)),0))</f>
        <v/>
      </c>
      <c r="F291" s="10"/>
      <c r="G291" s="10"/>
      <c r="H291" s="10" t="str">
        <f aca="false">IF(A291="","",Settings!$B$5)</f>
        <v/>
      </c>
      <c r="I291" s="11" t="str">
        <f aca="false">IF(A291="","",ROUND(K291*(Settings!$B$2+Settings!$B$3)/100+Settings!$B$4,2))</f>
        <v/>
      </c>
      <c r="J291" s="11" t="str">
        <f aca="false">IF(A291="","",ROUND(K291-E291*C291-H291-G291-I291,2))</f>
        <v/>
      </c>
      <c r="K291" s="11" t="str">
        <f aca="false">IF(A291="","",D291*C291+F291)</f>
        <v/>
      </c>
      <c r="L291" s="12" t="str">
        <f aca="false">IF(OR(A291="",K291=0),"",ROUND(J291/K291*100,2))</f>
        <v/>
      </c>
      <c r="M291" s="3" t="str">
        <f aca="false">IF(A291="","",TEXT(A291,"yyyy-mm"))</f>
        <v/>
      </c>
    </row>
    <row r="292" customFormat="false" ht="15" hidden="false" customHeight="false" outlineLevel="0" collapsed="false">
      <c r="A292" s="17"/>
      <c r="B292" s="9"/>
      <c r="C292" s="9"/>
      <c r="D292" s="10" t="str">
        <f aca="false">IF(B292="","",IFERROR(INDEX(Products!$D$5:$D$54,MATCH(B292,Products!$A$5:$A$54,0)),0))</f>
        <v/>
      </c>
      <c r="E292" s="10" t="str">
        <f aca="false">IF(B292="","",IFERROR(INDEX(Products!$C$5:$C$54,MATCH(B292,Products!$A$5:$A$54,0)),0))</f>
        <v/>
      </c>
      <c r="F292" s="10"/>
      <c r="G292" s="10"/>
      <c r="H292" s="10" t="str">
        <f aca="false">IF(A292="","",Settings!$B$5)</f>
        <v/>
      </c>
      <c r="I292" s="11" t="str">
        <f aca="false">IF(A292="","",ROUND(K292*(Settings!$B$2+Settings!$B$3)/100+Settings!$B$4,2))</f>
        <v/>
      </c>
      <c r="J292" s="11" t="str">
        <f aca="false">IF(A292="","",ROUND(K292-E292*C292-H292-G292-I292,2))</f>
        <v/>
      </c>
      <c r="K292" s="11" t="str">
        <f aca="false">IF(A292="","",D292*C292+F292)</f>
        <v/>
      </c>
      <c r="L292" s="12" t="str">
        <f aca="false">IF(OR(A292="",K292=0),"",ROUND(J292/K292*100,2))</f>
        <v/>
      </c>
      <c r="M292" s="3" t="str">
        <f aca="false">IF(A292="","",TEXT(A292,"yyyy-mm"))</f>
        <v/>
      </c>
    </row>
    <row r="293" customFormat="false" ht="15" hidden="false" customHeight="false" outlineLevel="0" collapsed="false">
      <c r="A293" s="17"/>
      <c r="B293" s="9"/>
      <c r="C293" s="9"/>
      <c r="D293" s="10" t="str">
        <f aca="false">IF(B293="","",IFERROR(INDEX(Products!$D$5:$D$54,MATCH(B293,Products!$A$5:$A$54,0)),0))</f>
        <v/>
      </c>
      <c r="E293" s="10" t="str">
        <f aca="false">IF(B293="","",IFERROR(INDEX(Products!$C$5:$C$54,MATCH(B293,Products!$A$5:$A$54,0)),0))</f>
        <v/>
      </c>
      <c r="F293" s="10"/>
      <c r="G293" s="10"/>
      <c r="H293" s="10" t="str">
        <f aca="false">IF(A293="","",Settings!$B$5)</f>
        <v/>
      </c>
      <c r="I293" s="11" t="str">
        <f aca="false">IF(A293="","",ROUND(K293*(Settings!$B$2+Settings!$B$3)/100+Settings!$B$4,2))</f>
        <v/>
      </c>
      <c r="J293" s="11" t="str">
        <f aca="false">IF(A293="","",ROUND(K293-E293*C293-H293-G293-I293,2))</f>
        <v/>
      </c>
      <c r="K293" s="11" t="str">
        <f aca="false">IF(A293="","",D293*C293+F293)</f>
        <v/>
      </c>
      <c r="L293" s="12" t="str">
        <f aca="false">IF(OR(A293="",K293=0),"",ROUND(J293/K293*100,2))</f>
        <v/>
      </c>
      <c r="M293" s="3" t="str">
        <f aca="false">IF(A293="","",TEXT(A293,"yyyy-mm"))</f>
        <v/>
      </c>
    </row>
    <row r="294" customFormat="false" ht="15" hidden="false" customHeight="false" outlineLevel="0" collapsed="false">
      <c r="A294" s="17"/>
      <c r="B294" s="9"/>
      <c r="C294" s="9"/>
      <c r="D294" s="10" t="str">
        <f aca="false">IF(B294="","",IFERROR(INDEX(Products!$D$5:$D$54,MATCH(B294,Products!$A$5:$A$54,0)),0))</f>
        <v/>
      </c>
      <c r="E294" s="10" t="str">
        <f aca="false">IF(B294="","",IFERROR(INDEX(Products!$C$5:$C$54,MATCH(B294,Products!$A$5:$A$54,0)),0))</f>
        <v/>
      </c>
      <c r="F294" s="10"/>
      <c r="G294" s="10"/>
      <c r="H294" s="10" t="str">
        <f aca="false">IF(A294="","",Settings!$B$5)</f>
        <v/>
      </c>
      <c r="I294" s="11" t="str">
        <f aca="false">IF(A294="","",ROUND(K294*(Settings!$B$2+Settings!$B$3)/100+Settings!$B$4,2))</f>
        <v/>
      </c>
      <c r="J294" s="11" t="str">
        <f aca="false">IF(A294="","",ROUND(K294-E294*C294-H294-G294-I294,2))</f>
        <v/>
      </c>
      <c r="K294" s="11" t="str">
        <f aca="false">IF(A294="","",D294*C294+F294)</f>
        <v/>
      </c>
      <c r="L294" s="12" t="str">
        <f aca="false">IF(OR(A294="",K294=0),"",ROUND(J294/K294*100,2))</f>
        <v/>
      </c>
      <c r="M294" s="3" t="str">
        <f aca="false">IF(A294="","",TEXT(A294,"yyyy-mm"))</f>
        <v/>
      </c>
    </row>
    <row r="295" customFormat="false" ht="15" hidden="false" customHeight="false" outlineLevel="0" collapsed="false">
      <c r="A295" s="17"/>
      <c r="B295" s="9"/>
      <c r="C295" s="9"/>
      <c r="D295" s="10" t="str">
        <f aca="false">IF(B295="","",IFERROR(INDEX(Products!$D$5:$D$54,MATCH(B295,Products!$A$5:$A$54,0)),0))</f>
        <v/>
      </c>
      <c r="E295" s="10" t="str">
        <f aca="false">IF(B295="","",IFERROR(INDEX(Products!$C$5:$C$54,MATCH(B295,Products!$A$5:$A$54,0)),0))</f>
        <v/>
      </c>
      <c r="F295" s="10"/>
      <c r="G295" s="10"/>
      <c r="H295" s="10" t="str">
        <f aca="false">IF(A295="","",Settings!$B$5)</f>
        <v/>
      </c>
      <c r="I295" s="11" t="str">
        <f aca="false">IF(A295="","",ROUND(K295*(Settings!$B$2+Settings!$B$3)/100+Settings!$B$4,2))</f>
        <v/>
      </c>
      <c r="J295" s="11" t="str">
        <f aca="false">IF(A295="","",ROUND(K295-E295*C295-H295-G295-I295,2))</f>
        <v/>
      </c>
      <c r="K295" s="11" t="str">
        <f aca="false">IF(A295="","",D295*C295+F295)</f>
        <v/>
      </c>
      <c r="L295" s="12" t="str">
        <f aca="false">IF(OR(A295="",K295=0),"",ROUND(J295/K295*100,2))</f>
        <v/>
      </c>
      <c r="M295" s="3" t="str">
        <f aca="false">IF(A295="","",TEXT(A295,"yyyy-mm"))</f>
        <v/>
      </c>
    </row>
    <row r="296" customFormat="false" ht="15" hidden="false" customHeight="false" outlineLevel="0" collapsed="false">
      <c r="A296" s="17"/>
      <c r="B296" s="9"/>
      <c r="C296" s="9"/>
      <c r="D296" s="10" t="str">
        <f aca="false">IF(B296="","",IFERROR(INDEX(Products!$D$5:$D$54,MATCH(B296,Products!$A$5:$A$54,0)),0))</f>
        <v/>
      </c>
      <c r="E296" s="10" t="str">
        <f aca="false">IF(B296="","",IFERROR(INDEX(Products!$C$5:$C$54,MATCH(B296,Products!$A$5:$A$54,0)),0))</f>
        <v/>
      </c>
      <c r="F296" s="10"/>
      <c r="G296" s="10"/>
      <c r="H296" s="10" t="str">
        <f aca="false">IF(A296="","",Settings!$B$5)</f>
        <v/>
      </c>
      <c r="I296" s="11" t="str">
        <f aca="false">IF(A296="","",ROUND(K296*(Settings!$B$2+Settings!$B$3)/100+Settings!$B$4,2))</f>
        <v/>
      </c>
      <c r="J296" s="11" t="str">
        <f aca="false">IF(A296="","",ROUND(K296-E296*C296-H296-G296-I296,2))</f>
        <v/>
      </c>
      <c r="K296" s="11" t="str">
        <f aca="false">IF(A296="","",D296*C296+F296)</f>
        <v/>
      </c>
      <c r="L296" s="12" t="str">
        <f aca="false">IF(OR(A296="",K296=0),"",ROUND(J296/K296*100,2))</f>
        <v/>
      </c>
      <c r="M296" s="3" t="str">
        <f aca="false">IF(A296="","",TEXT(A296,"yyyy-mm"))</f>
        <v/>
      </c>
    </row>
    <row r="297" customFormat="false" ht="15" hidden="false" customHeight="false" outlineLevel="0" collapsed="false">
      <c r="A297" s="17"/>
      <c r="B297" s="9"/>
      <c r="C297" s="9"/>
      <c r="D297" s="10" t="str">
        <f aca="false">IF(B297="","",IFERROR(INDEX(Products!$D$5:$D$54,MATCH(B297,Products!$A$5:$A$54,0)),0))</f>
        <v/>
      </c>
      <c r="E297" s="10" t="str">
        <f aca="false">IF(B297="","",IFERROR(INDEX(Products!$C$5:$C$54,MATCH(B297,Products!$A$5:$A$54,0)),0))</f>
        <v/>
      </c>
      <c r="F297" s="10"/>
      <c r="G297" s="10"/>
      <c r="H297" s="10" t="str">
        <f aca="false">IF(A297="","",Settings!$B$5)</f>
        <v/>
      </c>
      <c r="I297" s="11" t="str">
        <f aca="false">IF(A297="","",ROUND(K297*(Settings!$B$2+Settings!$B$3)/100+Settings!$B$4,2))</f>
        <v/>
      </c>
      <c r="J297" s="11" t="str">
        <f aca="false">IF(A297="","",ROUND(K297-E297*C297-H297-G297-I297,2))</f>
        <v/>
      </c>
      <c r="K297" s="11" t="str">
        <f aca="false">IF(A297="","",D297*C297+F297)</f>
        <v/>
      </c>
      <c r="L297" s="12" t="str">
        <f aca="false">IF(OR(A297="",K297=0),"",ROUND(J297/K297*100,2))</f>
        <v/>
      </c>
      <c r="M297" s="3" t="str">
        <f aca="false">IF(A297="","",TEXT(A297,"yyyy-mm"))</f>
        <v/>
      </c>
    </row>
    <row r="298" customFormat="false" ht="15" hidden="false" customHeight="false" outlineLevel="0" collapsed="false">
      <c r="A298" s="17"/>
      <c r="B298" s="9"/>
      <c r="C298" s="9"/>
      <c r="D298" s="10" t="str">
        <f aca="false">IF(B298="","",IFERROR(INDEX(Products!$D$5:$D$54,MATCH(B298,Products!$A$5:$A$54,0)),0))</f>
        <v/>
      </c>
      <c r="E298" s="10" t="str">
        <f aca="false">IF(B298="","",IFERROR(INDEX(Products!$C$5:$C$54,MATCH(B298,Products!$A$5:$A$54,0)),0))</f>
        <v/>
      </c>
      <c r="F298" s="10"/>
      <c r="G298" s="10"/>
      <c r="H298" s="10" t="str">
        <f aca="false">IF(A298="","",Settings!$B$5)</f>
        <v/>
      </c>
      <c r="I298" s="11" t="str">
        <f aca="false">IF(A298="","",ROUND(K298*(Settings!$B$2+Settings!$B$3)/100+Settings!$B$4,2))</f>
        <v/>
      </c>
      <c r="J298" s="11" t="str">
        <f aca="false">IF(A298="","",ROUND(K298-E298*C298-H298-G298-I298,2))</f>
        <v/>
      </c>
      <c r="K298" s="11" t="str">
        <f aca="false">IF(A298="","",D298*C298+F298)</f>
        <v/>
      </c>
      <c r="L298" s="12" t="str">
        <f aca="false">IF(OR(A298="",K298=0),"",ROUND(J298/K298*100,2))</f>
        <v/>
      </c>
      <c r="M298" s="3" t="str">
        <f aca="false">IF(A298="","",TEXT(A298,"yyyy-mm"))</f>
        <v/>
      </c>
    </row>
    <row r="299" customFormat="false" ht="15" hidden="false" customHeight="false" outlineLevel="0" collapsed="false">
      <c r="A299" s="17"/>
      <c r="B299" s="9"/>
      <c r="C299" s="9"/>
      <c r="D299" s="10" t="str">
        <f aca="false">IF(B299="","",IFERROR(INDEX(Products!$D$5:$D$54,MATCH(B299,Products!$A$5:$A$54,0)),0))</f>
        <v/>
      </c>
      <c r="E299" s="10" t="str">
        <f aca="false">IF(B299="","",IFERROR(INDEX(Products!$C$5:$C$54,MATCH(B299,Products!$A$5:$A$54,0)),0))</f>
        <v/>
      </c>
      <c r="F299" s="10"/>
      <c r="G299" s="10"/>
      <c r="H299" s="10" t="str">
        <f aca="false">IF(A299="","",Settings!$B$5)</f>
        <v/>
      </c>
      <c r="I299" s="11" t="str">
        <f aca="false">IF(A299="","",ROUND(K299*(Settings!$B$2+Settings!$B$3)/100+Settings!$B$4,2))</f>
        <v/>
      </c>
      <c r="J299" s="11" t="str">
        <f aca="false">IF(A299="","",ROUND(K299-E299*C299-H299-G299-I299,2))</f>
        <v/>
      </c>
      <c r="K299" s="11" t="str">
        <f aca="false">IF(A299="","",D299*C299+F299)</f>
        <v/>
      </c>
      <c r="L299" s="12" t="str">
        <f aca="false">IF(OR(A299="",K299=0),"",ROUND(J299/K299*100,2))</f>
        <v/>
      </c>
      <c r="M299" s="3" t="str">
        <f aca="false">IF(A299="","",TEXT(A299,"yyyy-mm"))</f>
        <v/>
      </c>
    </row>
    <row r="300" customFormat="false" ht="15" hidden="false" customHeight="false" outlineLevel="0" collapsed="false">
      <c r="A300" s="17"/>
      <c r="B300" s="9"/>
      <c r="C300" s="9"/>
      <c r="D300" s="10" t="str">
        <f aca="false">IF(B300="","",IFERROR(INDEX(Products!$D$5:$D$54,MATCH(B300,Products!$A$5:$A$54,0)),0))</f>
        <v/>
      </c>
      <c r="E300" s="10" t="str">
        <f aca="false">IF(B300="","",IFERROR(INDEX(Products!$C$5:$C$54,MATCH(B300,Products!$A$5:$A$54,0)),0))</f>
        <v/>
      </c>
      <c r="F300" s="10"/>
      <c r="G300" s="10"/>
      <c r="H300" s="10" t="str">
        <f aca="false">IF(A300="","",Settings!$B$5)</f>
        <v/>
      </c>
      <c r="I300" s="11" t="str">
        <f aca="false">IF(A300="","",ROUND(K300*(Settings!$B$2+Settings!$B$3)/100+Settings!$B$4,2))</f>
        <v/>
      </c>
      <c r="J300" s="11" t="str">
        <f aca="false">IF(A300="","",ROUND(K300-E300*C300-H300-G300-I300,2))</f>
        <v/>
      </c>
      <c r="K300" s="11" t="str">
        <f aca="false">IF(A300="","",D300*C300+F300)</f>
        <v/>
      </c>
      <c r="L300" s="12" t="str">
        <f aca="false">IF(OR(A300="",K300=0),"",ROUND(J300/K300*100,2))</f>
        <v/>
      </c>
      <c r="M300" s="3" t="str">
        <f aca="false">IF(A300="","",TEXT(A300,"yyyy-mm"))</f>
        <v/>
      </c>
    </row>
    <row r="301" customFormat="false" ht="15" hidden="false" customHeight="false" outlineLevel="0" collapsed="false">
      <c r="A301" s="17"/>
      <c r="B301" s="9"/>
      <c r="C301" s="9"/>
      <c r="D301" s="10" t="str">
        <f aca="false">IF(B301="","",IFERROR(INDEX(Products!$D$5:$D$54,MATCH(B301,Products!$A$5:$A$54,0)),0))</f>
        <v/>
      </c>
      <c r="E301" s="10" t="str">
        <f aca="false">IF(B301="","",IFERROR(INDEX(Products!$C$5:$C$54,MATCH(B301,Products!$A$5:$A$54,0)),0))</f>
        <v/>
      </c>
      <c r="F301" s="10"/>
      <c r="G301" s="10"/>
      <c r="H301" s="10" t="str">
        <f aca="false">IF(A301="","",Settings!$B$5)</f>
        <v/>
      </c>
      <c r="I301" s="11" t="str">
        <f aca="false">IF(A301="","",ROUND(K301*(Settings!$B$2+Settings!$B$3)/100+Settings!$B$4,2))</f>
        <v/>
      </c>
      <c r="J301" s="11" t="str">
        <f aca="false">IF(A301="","",ROUND(K301-E301*C301-H301-G301-I301,2))</f>
        <v/>
      </c>
      <c r="K301" s="11" t="str">
        <f aca="false">IF(A301="","",D301*C301+F301)</f>
        <v/>
      </c>
      <c r="L301" s="12" t="str">
        <f aca="false">IF(OR(A301="",K301=0),"",ROUND(J301/K301*100,2))</f>
        <v/>
      </c>
      <c r="M301" s="3" t="str">
        <f aca="false">IF(A301="","",TEXT(A301,"yyyy-mm"))</f>
        <v/>
      </c>
    </row>
    <row r="302" customFormat="false" ht="15" hidden="false" customHeight="false" outlineLevel="0" collapsed="false">
      <c r="A302" s="17"/>
      <c r="B302" s="9"/>
      <c r="C302" s="9"/>
      <c r="D302" s="10" t="str">
        <f aca="false">IF(B302="","",IFERROR(INDEX(Products!$D$5:$D$54,MATCH(B302,Products!$A$5:$A$54,0)),0))</f>
        <v/>
      </c>
      <c r="E302" s="10" t="str">
        <f aca="false">IF(B302="","",IFERROR(INDEX(Products!$C$5:$C$54,MATCH(B302,Products!$A$5:$A$54,0)),0))</f>
        <v/>
      </c>
      <c r="F302" s="10"/>
      <c r="G302" s="10"/>
      <c r="H302" s="10" t="str">
        <f aca="false">IF(A302="","",Settings!$B$5)</f>
        <v/>
      </c>
      <c r="I302" s="11" t="str">
        <f aca="false">IF(A302="","",ROUND(K302*(Settings!$B$2+Settings!$B$3)/100+Settings!$B$4,2))</f>
        <v/>
      </c>
      <c r="J302" s="11" t="str">
        <f aca="false">IF(A302="","",ROUND(K302-E302*C302-H302-G302-I302,2))</f>
        <v/>
      </c>
      <c r="K302" s="11" t="str">
        <f aca="false">IF(A302="","",D302*C302+F302)</f>
        <v/>
      </c>
      <c r="L302" s="12" t="str">
        <f aca="false">IF(OR(A302="",K302=0),"",ROUND(J302/K302*100,2))</f>
        <v/>
      </c>
      <c r="M302" s="3" t="str">
        <f aca="false">IF(A302="","",TEXT(A302,"yyyy-mm"))</f>
        <v/>
      </c>
    </row>
    <row r="303" customFormat="false" ht="15" hidden="false" customHeight="false" outlineLevel="0" collapsed="false">
      <c r="A303" s="17"/>
      <c r="B303" s="9"/>
      <c r="C303" s="9"/>
      <c r="D303" s="10" t="str">
        <f aca="false">IF(B303="","",IFERROR(INDEX(Products!$D$5:$D$54,MATCH(B303,Products!$A$5:$A$54,0)),0))</f>
        <v/>
      </c>
      <c r="E303" s="10" t="str">
        <f aca="false">IF(B303="","",IFERROR(INDEX(Products!$C$5:$C$54,MATCH(B303,Products!$A$5:$A$54,0)),0))</f>
        <v/>
      </c>
      <c r="F303" s="10"/>
      <c r="G303" s="10"/>
      <c r="H303" s="10" t="str">
        <f aca="false">IF(A303="","",Settings!$B$5)</f>
        <v/>
      </c>
      <c r="I303" s="11" t="str">
        <f aca="false">IF(A303="","",ROUND(K303*(Settings!$B$2+Settings!$B$3)/100+Settings!$B$4,2))</f>
        <v/>
      </c>
      <c r="J303" s="11" t="str">
        <f aca="false">IF(A303="","",ROUND(K303-E303*C303-H303-G303-I303,2))</f>
        <v/>
      </c>
      <c r="K303" s="11" t="str">
        <f aca="false">IF(A303="","",D303*C303+F303)</f>
        <v/>
      </c>
      <c r="L303" s="12" t="str">
        <f aca="false">IF(OR(A303="",K303=0),"",ROUND(J303/K303*100,2))</f>
        <v/>
      </c>
      <c r="M303" s="3" t="str">
        <f aca="false">IF(A303="","",TEXT(A303,"yyyy-mm"))</f>
        <v/>
      </c>
    </row>
    <row r="304" customFormat="false" ht="15" hidden="false" customHeight="false" outlineLevel="0" collapsed="false">
      <c r="A304" s="17"/>
      <c r="B304" s="9"/>
      <c r="C304" s="9"/>
      <c r="D304" s="10" t="str">
        <f aca="false">IF(B304="","",IFERROR(INDEX(Products!$D$5:$D$54,MATCH(B304,Products!$A$5:$A$54,0)),0))</f>
        <v/>
      </c>
      <c r="E304" s="10" t="str">
        <f aca="false">IF(B304="","",IFERROR(INDEX(Products!$C$5:$C$54,MATCH(B304,Products!$A$5:$A$54,0)),0))</f>
        <v/>
      </c>
      <c r="F304" s="10"/>
      <c r="G304" s="10"/>
      <c r="H304" s="10" t="str">
        <f aca="false">IF(A304="","",Settings!$B$5)</f>
        <v/>
      </c>
      <c r="I304" s="11" t="str">
        <f aca="false">IF(A304="","",ROUND(K304*(Settings!$B$2+Settings!$B$3)/100+Settings!$B$4,2))</f>
        <v/>
      </c>
      <c r="J304" s="11" t="str">
        <f aca="false">IF(A304="","",ROUND(K304-E304*C304-H304-G304-I304,2))</f>
        <v/>
      </c>
      <c r="K304" s="11" t="str">
        <f aca="false">IF(A304="","",D304*C304+F304)</f>
        <v/>
      </c>
      <c r="L304" s="12" t="str">
        <f aca="false">IF(OR(A304="",K304=0),"",ROUND(J304/K304*100,2))</f>
        <v/>
      </c>
      <c r="M304" s="3" t="str">
        <f aca="false">IF(A304="","",TEXT(A304,"yyyy-mm"))</f>
        <v/>
      </c>
    </row>
    <row r="305" customFormat="false" ht="15" hidden="false" customHeight="false" outlineLevel="0" collapsed="false">
      <c r="A305" s="17"/>
      <c r="B305" s="9"/>
      <c r="C305" s="9"/>
      <c r="D305" s="10" t="str">
        <f aca="false">IF(B305="","",IFERROR(INDEX(Products!$D$5:$D$54,MATCH(B305,Products!$A$5:$A$54,0)),0))</f>
        <v/>
      </c>
      <c r="E305" s="10" t="str">
        <f aca="false">IF(B305="","",IFERROR(INDEX(Products!$C$5:$C$54,MATCH(B305,Products!$A$5:$A$54,0)),0))</f>
        <v/>
      </c>
      <c r="F305" s="10"/>
      <c r="G305" s="10"/>
      <c r="H305" s="10" t="str">
        <f aca="false">IF(A305="","",Settings!$B$5)</f>
        <v/>
      </c>
      <c r="I305" s="11" t="str">
        <f aca="false">IF(A305="","",ROUND(K305*(Settings!$B$2+Settings!$B$3)/100+Settings!$B$4,2))</f>
        <v/>
      </c>
      <c r="J305" s="11" t="str">
        <f aca="false">IF(A305="","",ROUND(K305-E305*C305-H305-G305-I305,2))</f>
        <v/>
      </c>
      <c r="K305" s="11" t="str">
        <f aca="false">IF(A305="","",D305*C305+F305)</f>
        <v/>
      </c>
      <c r="L305" s="12" t="str">
        <f aca="false">IF(OR(A305="",K305=0),"",ROUND(J305/K305*100,2))</f>
        <v/>
      </c>
      <c r="M305" s="3" t="str">
        <f aca="false">IF(A305="","",TEXT(A305,"yyyy-mm"))</f>
        <v/>
      </c>
    </row>
    <row r="306" customFormat="false" ht="15" hidden="false" customHeight="false" outlineLevel="0" collapsed="false">
      <c r="A306" s="17"/>
      <c r="B306" s="9"/>
      <c r="C306" s="9"/>
      <c r="D306" s="10" t="str">
        <f aca="false">IF(B306="","",IFERROR(INDEX(Products!$D$5:$D$54,MATCH(B306,Products!$A$5:$A$54,0)),0))</f>
        <v/>
      </c>
      <c r="E306" s="10" t="str">
        <f aca="false">IF(B306="","",IFERROR(INDEX(Products!$C$5:$C$54,MATCH(B306,Products!$A$5:$A$54,0)),0))</f>
        <v/>
      </c>
      <c r="F306" s="10"/>
      <c r="G306" s="10"/>
      <c r="H306" s="10" t="str">
        <f aca="false">IF(A306="","",Settings!$B$5)</f>
        <v/>
      </c>
      <c r="I306" s="11" t="str">
        <f aca="false">IF(A306="","",ROUND(K306*(Settings!$B$2+Settings!$B$3)/100+Settings!$B$4,2))</f>
        <v/>
      </c>
      <c r="J306" s="11" t="str">
        <f aca="false">IF(A306="","",ROUND(K306-E306*C306-H306-G306-I306,2))</f>
        <v/>
      </c>
      <c r="K306" s="11" t="str">
        <f aca="false">IF(A306="","",D306*C306+F306)</f>
        <v/>
      </c>
      <c r="L306" s="12" t="str">
        <f aca="false">IF(OR(A306="",K306=0),"",ROUND(J306/K306*100,2))</f>
        <v/>
      </c>
      <c r="M306" s="3" t="str">
        <f aca="false">IF(A306="","",TEXT(A306,"yyyy-mm"))</f>
        <v/>
      </c>
    </row>
    <row r="307" customFormat="false" ht="15" hidden="false" customHeight="false" outlineLevel="0" collapsed="false">
      <c r="A307" s="17"/>
      <c r="B307" s="9"/>
      <c r="C307" s="9"/>
      <c r="D307" s="10" t="str">
        <f aca="false">IF(B307="","",IFERROR(INDEX(Products!$D$5:$D$54,MATCH(B307,Products!$A$5:$A$54,0)),0))</f>
        <v/>
      </c>
      <c r="E307" s="10" t="str">
        <f aca="false">IF(B307="","",IFERROR(INDEX(Products!$C$5:$C$54,MATCH(B307,Products!$A$5:$A$54,0)),0))</f>
        <v/>
      </c>
      <c r="F307" s="10"/>
      <c r="G307" s="10"/>
      <c r="H307" s="10" t="str">
        <f aca="false">IF(A307="","",Settings!$B$5)</f>
        <v/>
      </c>
      <c r="I307" s="11" t="str">
        <f aca="false">IF(A307="","",ROUND(K307*(Settings!$B$2+Settings!$B$3)/100+Settings!$B$4,2))</f>
        <v/>
      </c>
      <c r="J307" s="11" t="str">
        <f aca="false">IF(A307="","",ROUND(K307-E307*C307-H307-G307-I307,2))</f>
        <v/>
      </c>
      <c r="K307" s="11" t="str">
        <f aca="false">IF(A307="","",D307*C307+F307)</f>
        <v/>
      </c>
      <c r="L307" s="12" t="str">
        <f aca="false">IF(OR(A307="",K307=0),"",ROUND(J307/K307*100,2))</f>
        <v/>
      </c>
      <c r="M307" s="3" t="str">
        <f aca="false">IF(A307="","",TEXT(A307,"yyyy-mm"))</f>
        <v/>
      </c>
    </row>
    <row r="308" customFormat="false" ht="15" hidden="false" customHeight="false" outlineLevel="0" collapsed="false">
      <c r="A308" s="17"/>
      <c r="B308" s="9"/>
      <c r="C308" s="9"/>
      <c r="D308" s="10" t="str">
        <f aca="false">IF(B308="","",IFERROR(INDEX(Products!$D$5:$D$54,MATCH(B308,Products!$A$5:$A$54,0)),0))</f>
        <v/>
      </c>
      <c r="E308" s="10" t="str">
        <f aca="false">IF(B308="","",IFERROR(INDEX(Products!$C$5:$C$54,MATCH(B308,Products!$A$5:$A$54,0)),0))</f>
        <v/>
      </c>
      <c r="F308" s="10"/>
      <c r="G308" s="10"/>
      <c r="H308" s="10" t="str">
        <f aca="false">IF(A308="","",Settings!$B$5)</f>
        <v/>
      </c>
      <c r="I308" s="11" t="str">
        <f aca="false">IF(A308="","",ROUND(K308*(Settings!$B$2+Settings!$B$3)/100+Settings!$B$4,2))</f>
        <v/>
      </c>
      <c r="J308" s="11" t="str">
        <f aca="false">IF(A308="","",ROUND(K308-E308*C308-H308-G308-I308,2))</f>
        <v/>
      </c>
      <c r="K308" s="11" t="str">
        <f aca="false">IF(A308="","",D308*C308+F308)</f>
        <v/>
      </c>
      <c r="L308" s="12" t="str">
        <f aca="false">IF(OR(A308="",K308=0),"",ROUND(J308/K308*100,2))</f>
        <v/>
      </c>
      <c r="M308" s="3" t="str">
        <f aca="false">IF(A308="","",TEXT(A308,"yyyy-mm"))</f>
        <v/>
      </c>
    </row>
    <row r="309" customFormat="false" ht="15" hidden="false" customHeight="false" outlineLevel="0" collapsed="false">
      <c r="A309" s="17"/>
      <c r="B309" s="9"/>
      <c r="C309" s="9"/>
      <c r="D309" s="10" t="str">
        <f aca="false">IF(B309="","",IFERROR(INDEX(Products!$D$5:$D$54,MATCH(B309,Products!$A$5:$A$54,0)),0))</f>
        <v/>
      </c>
      <c r="E309" s="10" t="str">
        <f aca="false">IF(B309="","",IFERROR(INDEX(Products!$C$5:$C$54,MATCH(B309,Products!$A$5:$A$54,0)),0))</f>
        <v/>
      </c>
      <c r="F309" s="10"/>
      <c r="G309" s="10"/>
      <c r="H309" s="10" t="str">
        <f aca="false">IF(A309="","",Settings!$B$5)</f>
        <v/>
      </c>
      <c r="I309" s="11" t="str">
        <f aca="false">IF(A309="","",ROUND(K309*(Settings!$B$2+Settings!$B$3)/100+Settings!$B$4,2))</f>
        <v/>
      </c>
      <c r="J309" s="11" t="str">
        <f aca="false">IF(A309="","",ROUND(K309-E309*C309-H309-G309-I309,2))</f>
        <v/>
      </c>
      <c r="K309" s="11" t="str">
        <f aca="false">IF(A309="","",D309*C309+F309)</f>
        <v/>
      </c>
      <c r="L309" s="12" t="str">
        <f aca="false">IF(OR(A309="",K309=0),"",ROUND(J309/K309*100,2))</f>
        <v/>
      </c>
      <c r="M309" s="3" t="str">
        <f aca="false">IF(A309="","",TEXT(A309,"yyyy-mm"))</f>
        <v/>
      </c>
    </row>
    <row r="310" customFormat="false" ht="15" hidden="false" customHeight="false" outlineLevel="0" collapsed="false">
      <c r="A310" s="17"/>
      <c r="B310" s="9"/>
      <c r="C310" s="9"/>
      <c r="D310" s="10" t="str">
        <f aca="false">IF(B310="","",IFERROR(INDEX(Products!$D$5:$D$54,MATCH(B310,Products!$A$5:$A$54,0)),0))</f>
        <v/>
      </c>
      <c r="E310" s="10" t="str">
        <f aca="false">IF(B310="","",IFERROR(INDEX(Products!$C$5:$C$54,MATCH(B310,Products!$A$5:$A$54,0)),0))</f>
        <v/>
      </c>
      <c r="F310" s="10"/>
      <c r="G310" s="10"/>
      <c r="H310" s="10" t="str">
        <f aca="false">IF(A310="","",Settings!$B$5)</f>
        <v/>
      </c>
      <c r="I310" s="11" t="str">
        <f aca="false">IF(A310="","",ROUND(K310*(Settings!$B$2+Settings!$B$3)/100+Settings!$B$4,2))</f>
        <v/>
      </c>
      <c r="J310" s="11" t="str">
        <f aca="false">IF(A310="","",ROUND(K310-E310*C310-H310-G310-I310,2))</f>
        <v/>
      </c>
      <c r="K310" s="11" t="str">
        <f aca="false">IF(A310="","",D310*C310+F310)</f>
        <v/>
      </c>
      <c r="L310" s="12" t="str">
        <f aca="false">IF(OR(A310="",K310=0),"",ROUND(J310/K310*100,2))</f>
        <v/>
      </c>
      <c r="M310" s="3" t="str">
        <f aca="false">IF(A310="","",TEXT(A310,"yyyy-mm"))</f>
        <v/>
      </c>
    </row>
    <row r="311" customFormat="false" ht="15" hidden="false" customHeight="false" outlineLevel="0" collapsed="false">
      <c r="A311" s="17"/>
      <c r="B311" s="9"/>
      <c r="C311" s="9"/>
      <c r="D311" s="10" t="str">
        <f aca="false">IF(B311="","",IFERROR(INDEX(Products!$D$5:$D$54,MATCH(B311,Products!$A$5:$A$54,0)),0))</f>
        <v/>
      </c>
      <c r="E311" s="10" t="str">
        <f aca="false">IF(B311="","",IFERROR(INDEX(Products!$C$5:$C$54,MATCH(B311,Products!$A$5:$A$54,0)),0))</f>
        <v/>
      </c>
      <c r="F311" s="10"/>
      <c r="G311" s="10"/>
      <c r="H311" s="10" t="str">
        <f aca="false">IF(A311="","",Settings!$B$5)</f>
        <v/>
      </c>
      <c r="I311" s="11" t="str">
        <f aca="false">IF(A311="","",ROUND(K311*(Settings!$B$2+Settings!$B$3)/100+Settings!$B$4,2))</f>
        <v/>
      </c>
      <c r="J311" s="11" t="str">
        <f aca="false">IF(A311="","",ROUND(K311-E311*C311-H311-G311-I311,2))</f>
        <v/>
      </c>
      <c r="K311" s="11" t="str">
        <f aca="false">IF(A311="","",D311*C311+F311)</f>
        <v/>
      </c>
      <c r="L311" s="12" t="str">
        <f aca="false">IF(OR(A311="",K311=0),"",ROUND(J311/K311*100,2))</f>
        <v/>
      </c>
      <c r="M311" s="3" t="str">
        <f aca="false">IF(A311="","",TEXT(A311,"yyyy-mm"))</f>
        <v/>
      </c>
    </row>
    <row r="312" customFormat="false" ht="15" hidden="false" customHeight="false" outlineLevel="0" collapsed="false">
      <c r="A312" s="17"/>
      <c r="B312" s="9"/>
      <c r="C312" s="9"/>
      <c r="D312" s="10" t="str">
        <f aca="false">IF(B312="","",IFERROR(INDEX(Products!$D$5:$D$54,MATCH(B312,Products!$A$5:$A$54,0)),0))</f>
        <v/>
      </c>
      <c r="E312" s="10" t="str">
        <f aca="false">IF(B312="","",IFERROR(INDEX(Products!$C$5:$C$54,MATCH(B312,Products!$A$5:$A$54,0)),0))</f>
        <v/>
      </c>
      <c r="F312" s="10"/>
      <c r="G312" s="10"/>
      <c r="H312" s="10" t="str">
        <f aca="false">IF(A312="","",Settings!$B$5)</f>
        <v/>
      </c>
      <c r="I312" s="11" t="str">
        <f aca="false">IF(A312="","",ROUND(K312*(Settings!$B$2+Settings!$B$3)/100+Settings!$B$4,2))</f>
        <v/>
      </c>
      <c r="J312" s="11" t="str">
        <f aca="false">IF(A312="","",ROUND(K312-E312*C312-H312-G312-I312,2))</f>
        <v/>
      </c>
      <c r="K312" s="11" t="str">
        <f aca="false">IF(A312="","",D312*C312+F312)</f>
        <v/>
      </c>
      <c r="L312" s="12" t="str">
        <f aca="false">IF(OR(A312="",K312=0),"",ROUND(J312/K312*100,2))</f>
        <v/>
      </c>
      <c r="M312" s="3" t="str">
        <f aca="false">IF(A312="","",TEXT(A312,"yyyy-mm"))</f>
        <v/>
      </c>
    </row>
    <row r="313" customFormat="false" ht="15" hidden="false" customHeight="false" outlineLevel="0" collapsed="false">
      <c r="A313" s="17"/>
      <c r="B313" s="9"/>
      <c r="C313" s="9"/>
      <c r="D313" s="10" t="str">
        <f aca="false">IF(B313="","",IFERROR(INDEX(Products!$D$5:$D$54,MATCH(B313,Products!$A$5:$A$54,0)),0))</f>
        <v/>
      </c>
      <c r="E313" s="10" t="str">
        <f aca="false">IF(B313="","",IFERROR(INDEX(Products!$C$5:$C$54,MATCH(B313,Products!$A$5:$A$54,0)),0))</f>
        <v/>
      </c>
      <c r="F313" s="10"/>
      <c r="G313" s="10"/>
      <c r="H313" s="10" t="str">
        <f aca="false">IF(A313="","",Settings!$B$5)</f>
        <v/>
      </c>
      <c r="I313" s="11" t="str">
        <f aca="false">IF(A313="","",ROUND(K313*(Settings!$B$2+Settings!$B$3)/100+Settings!$B$4,2))</f>
        <v/>
      </c>
      <c r="J313" s="11" t="str">
        <f aca="false">IF(A313="","",ROUND(K313-E313*C313-H313-G313-I313,2))</f>
        <v/>
      </c>
      <c r="K313" s="11" t="str">
        <f aca="false">IF(A313="","",D313*C313+F313)</f>
        <v/>
      </c>
      <c r="L313" s="12" t="str">
        <f aca="false">IF(OR(A313="",K313=0),"",ROUND(J313/K313*100,2))</f>
        <v/>
      </c>
      <c r="M313" s="3" t="str">
        <f aca="false">IF(A313="","",TEXT(A313,"yyyy-mm"))</f>
        <v/>
      </c>
    </row>
    <row r="314" customFormat="false" ht="15" hidden="false" customHeight="false" outlineLevel="0" collapsed="false">
      <c r="A314" s="17"/>
      <c r="B314" s="9"/>
      <c r="C314" s="9"/>
      <c r="D314" s="10" t="str">
        <f aca="false">IF(B314="","",IFERROR(INDEX(Products!$D$5:$D$54,MATCH(B314,Products!$A$5:$A$54,0)),0))</f>
        <v/>
      </c>
      <c r="E314" s="10" t="str">
        <f aca="false">IF(B314="","",IFERROR(INDEX(Products!$C$5:$C$54,MATCH(B314,Products!$A$5:$A$54,0)),0))</f>
        <v/>
      </c>
      <c r="F314" s="10"/>
      <c r="G314" s="10"/>
      <c r="H314" s="10" t="str">
        <f aca="false">IF(A314="","",Settings!$B$5)</f>
        <v/>
      </c>
      <c r="I314" s="11" t="str">
        <f aca="false">IF(A314="","",ROUND(K314*(Settings!$B$2+Settings!$B$3)/100+Settings!$B$4,2))</f>
        <v/>
      </c>
      <c r="J314" s="11" t="str">
        <f aca="false">IF(A314="","",ROUND(K314-E314*C314-H314-G314-I314,2))</f>
        <v/>
      </c>
      <c r="K314" s="11" t="str">
        <f aca="false">IF(A314="","",D314*C314+F314)</f>
        <v/>
      </c>
      <c r="L314" s="12" t="str">
        <f aca="false">IF(OR(A314="",K314=0),"",ROUND(J314/K314*100,2))</f>
        <v/>
      </c>
      <c r="M314" s="3" t="str">
        <f aca="false">IF(A314="","",TEXT(A314,"yyyy-mm"))</f>
        <v/>
      </c>
    </row>
    <row r="315" customFormat="false" ht="15" hidden="false" customHeight="false" outlineLevel="0" collapsed="false">
      <c r="A315" s="17"/>
      <c r="B315" s="9"/>
      <c r="C315" s="9"/>
      <c r="D315" s="10" t="str">
        <f aca="false">IF(B315="","",IFERROR(INDEX(Products!$D$5:$D$54,MATCH(B315,Products!$A$5:$A$54,0)),0))</f>
        <v/>
      </c>
      <c r="E315" s="10" t="str">
        <f aca="false">IF(B315="","",IFERROR(INDEX(Products!$C$5:$C$54,MATCH(B315,Products!$A$5:$A$54,0)),0))</f>
        <v/>
      </c>
      <c r="F315" s="10"/>
      <c r="G315" s="10"/>
      <c r="H315" s="10" t="str">
        <f aca="false">IF(A315="","",Settings!$B$5)</f>
        <v/>
      </c>
      <c r="I315" s="11" t="str">
        <f aca="false">IF(A315="","",ROUND(K315*(Settings!$B$2+Settings!$B$3)/100+Settings!$B$4,2))</f>
        <v/>
      </c>
      <c r="J315" s="11" t="str">
        <f aca="false">IF(A315="","",ROUND(K315-E315*C315-H315-G315-I315,2))</f>
        <v/>
      </c>
      <c r="K315" s="11" t="str">
        <f aca="false">IF(A315="","",D315*C315+F315)</f>
        <v/>
      </c>
      <c r="L315" s="12" t="str">
        <f aca="false">IF(OR(A315="",K315=0),"",ROUND(J315/K315*100,2))</f>
        <v/>
      </c>
      <c r="M315" s="3" t="str">
        <f aca="false">IF(A315="","",TEXT(A315,"yyyy-mm"))</f>
        <v/>
      </c>
    </row>
    <row r="316" customFormat="false" ht="15" hidden="false" customHeight="false" outlineLevel="0" collapsed="false">
      <c r="A316" s="17"/>
      <c r="B316" s="9"/>
      <c r="C316" s="9"/>
      <c r="D316" s="10" t="str">
        <f aca="false">IF(B316="","",IFERROR(INDEX(Products!$D$5:$D$54,MATCH(B316,Products!$A$5:$A$54,0)),0))</f>
        <v/>
      </c>
      <c r="E316" s="10" t="str">
        <f aca="false">IF(B316="","",IFERROR(INDEX(Products!$C$5:$C$54,MATCH(B316,Products!$A$5:$A$54,0)),0))</f>
        <v/>
      </c>
      <c r="F316" s="10"/>
      <c r="G316" s="10"/>
      <c r="H316" s="10" t="str">
        <f aca="false">IF(A316="","",Settings!$B$5)</f>
        <v/>
      </c>
      <c r="I316" s="11" t="str">
        <f aca="false">IF(A316="","",ROUND(K316*(Settings!$B$2+Settings!$B$3)/100+Settings!$B$4,2))</f>
        <v/>
      </c>
      <c r="J316" s="11" t="str">
        <f aca="false">IF(A316="","",ROUND(K316-E316*C316-H316-G316-I316,2))</f>
        <v/>
      </c>
      <c r="K316" s="11" t="str">
        <f aca="false">IF(A316="","",D316*C316+F316)</f>
        <v/>
      </c>
      <c r="L316" s="12" t="str">
        <f aca="false">IF(OR(A316="",K316=0),"",ROUND(J316/K316*100,2))</f>
        <v/>
      </c>
      <c r="M316" s="3" t="str">
        <f aca="false">IF(A316="","",TEXT(A316,"yyyy-mm"))</f>
        <v/>
      </c>
    </row>
    <row r="317" customFormat="false" ht="15" hidden="false" customHeight="false" outlineLevel="0" collapsed="false">
      <c r="A317" s="17"/>
      <c r="B317" s="9"/>
      <c r="C317" s="9"/>
      <c r="D317" s="10" t="str">
        <f aca="false">IF(B317="","",IFERROR(INDEX(Products!$D$5:$D$54,MATCH(B317,Products!$A$5:$A$54,0)),0))</f>
        <v/>
      </c>
      <c r="E317" s="10" t="str">
        <f aca="false">IF(B317="","",IFERROR(INDEX(Products!$C$5:$C$54,MATCH(B317,Products!$A$5:$A$54,0)),0))</f>
        <v/>
      </c>
      <c r="F317" s="10"/>
      <c r="G317" s="10"/>
      <c r="H317" s="10" t="str">
        <f aca="false">IF(A317="","",Settings!$B$5)</f>
        <v/>
      </c>
      <c r="I317" s="11" t="str">
        <f aca="false">IF(A317="","",ROUND(K317*(Settings!$B$2+Settings!$B$3)/100+Settings!$B$4,2))</f>
        <v/>
      </c>
      <c r="J317" s="11" t="str">
        <f aca="false">IF(A317="","",ROUND(K317-E317*C317-H317-G317-I317,2))</f>
        <v/>
      </c>
      <c r="K317" s="11" t="str">
        <f aca="false">IF(A317="","",D317*C317+F317)</f>
        <v/>
      </c>
      <c r="L317" s="12" t="str">
        <f aca="false">IF(OR(A317="",K317=0),"",ROUND(J317/K317*100,2))</f>
        <v/>
      </c>
      <c r="M317" s="3" t="str">
        <f aca="false">IF(A317="","",TEXT(A317,"yyyy-mm"))</f>
        <v/>
      </c>
    </row>
    <row r="318" customFormat="false" ht="15" hidden="false" customHeight="false" outlineLevel="0" collapsed="false">
      <c r="A318" s="17"/>
      <c r="B318" s="9"/>
      <c r="C318" s="9"/>
      <c r="D318" s="10" t="str">
        <f aca="false">IF(B318="","",IFERROR(INDEX(Products!$D$5:$D$54,MATCH(B318,Products!$A$5:$A$54,0)),0))</f>
        <v/>
      </c>
      <c r="E318" s="10" t="str">
        <f aca="false">IF(B318="","",IFERROR(INDEX(Products!$C$5:$C$54,MATCH(B318,Products!$A$5:$A$54,0)),0))</f>
        <v/>
      </c>
      <c r="F318" s="10"/>
      <c r="G318" s="10"/>
      <c r="H318" s="10" t="str">
        <f aca="false">IF(A318="","",Settings!$B$5)</f>
        <v/>
      </c>
      <c r="I318" s="11" t="str">
        <f aca="false">IF(A318="","",ROUND(K318*(Settings!$B$2+Settings!$B$3)/100+Settings!$B$4,2))</f>
        <v/>
      </c>
      <c r="J318" s="11" t="str">
        <f aca="false">IF(A318="","",ROUND(K318-E318*C318-H318-G318-I318,2))</f>
        <v/>
      </c>
      <c r="K318" s="11" t="str">
        <f aca="false">IF(A318="","",D318*C318+F318)</f>
        <v/>
      </c>
      <c r="L318" s="12" t="str">
        <f aca="false">IF(OR(A318="",K318=0),"",ROUND(J318/K318*100,2))</f>
        <v/>
      </c>
      <c r="M318" s="3" t="str">
        <f aca="false">IF(A318="","",TEXT(A318,"yyyy-mm"))</f>
        <v/>
      </c>
    </row>
    <row r="319" customFormat="false" ht="15" hidden="false" customHeight="false" outlineLevel="0" collapsed="false">
      <c r="A319" s="17"/>
      <c r="B319" s="9"/>
      <c r="C319" s="9"/>
      <c r="D319" s="10" t="str">
        <f aca="false">IF(B319="","",IFERROR(INDEX(Products!$D$5:$D$54,MATCH(B319,Products!$A$5:$A$54,0)),0))</f>
        <v/>
      </c>
      <c r="E319" s="10" t="str">
        <f aca="false">IF(B319="","",IFERROR(INDEX(Products!$C$5:$C$54,MATCH(B319,Products!$A$5:$A$54,0)),0))</f>
        <v/>
      </c>
      <c r="F319" s="10"/>
      <c r="G319" s="10"/>
      <c r="H319" s="10" t="str">
        <f aca="false">IF(A319="","",Settings!$B$5)</f>
        <v/>
      </c>
      <c r="I319" s="11" t="str">
        <f aca="false">IF(A319="","",ROUND(K319*(Settings!$B$2+Settings!$B$3)/100+Settings!$B$4,2))</f>
        <v/>
      </c>
      <c r="J319" s="11" t="str">
        <f aca="false">IF(A319="","",ROUND(K319-E319*C319-H319-G319-I319,2))</f>
        <v/>
      </c>
      <c r="K319" s="11" t="str">
        <f aca="false">IF(A319="","",D319*C319+F319)</f>
        <v/>
      </c>
      <c r="L319" s="12" t="str">
        <f aca="false">IF(OR(A319="",K319=0),"",ROUND(J319/K319*100,2))</f>
        <v/>
      </c>
      <c r="M319" s="3" t="str">
        <f aca="false">IF(A319="","",TEXT(A319,"yyyy-mm"))</f>
        <v/>
      </c>
    </row>
    <row r="320" customFormat="false" ht="15" hidden="false" customHeight="false" outlineLevel="0" collapsed="false">
      <c r="A320" s="17"/>
      <c r="B320" s="9"/>
      <c r="C320" s="9"/>
      <c r="D320" s="10" t="str">
        <f aca="false">IF(B320="","",IFERROR(INDEX(Products!$D$5:$D$54,MATCH(B320,Products!$A$5:$A$54,0)),0))</f>
        <v/>
      </c>
      <c r="E320" s="10" t="str">
        <f aca="false">IF(B320="","",IFERROR(INDEX(Products!$C$5:$C$54,MATCH(B320,Products!$A$5:$A$54,0)),0))</f>
        <v/>
      </c>
      <c r="F320" s="10"/>
      <c r="G320" s="10"/>
      <c r="H320" s="10" t="str">
        <f aca="false">IF(A320="","",Settings!$B$5)</f>
        <v/>
      </c>
      <c r="I320" s="11" t="str">
        <f aca="false">IF(A320="","",ROUND(K320*(Settings!$B$2+Settings!$B$3)/100+Settings!$B$4,2))</f>
        <v/>
      </c>
      <c r="J320" s="11" t="str">
        <f aca="false">IF(A320="","",ROUND(K320-E320*C320-H320-G320-I320,2))</f>
        <v/>
      </c>
      <c r="K320" s="11" t="str">
        <f aca="false">IF(A320="","",D320*C320+F320)</f>
        <v/>
      </c>
      <c r="L320" s="12" t="str">
        <f aca="false">IF(OR(A320="",K320=0),"",ROUND(J320/K320*100,2))</f>
        <v/>
      </c>
      <c r="M320" s="3" t="str">
        <f aca="false">IF(A320="","",TEXT(A320,"yyyy-mm"))</f>
        <v/>
      </c>
    </row>
    <row r="321" customFormat="false" ht="15" hidden="false" customHeight="false" outlineLevel="0" collapsed="false">
      <c r="A321" s="17"/>
      <c r="B321" s="9"/>
      <c r="C321" s="9"/>
      <c r="D321" s="10" t="str">
        <f aca="false">IF(B321="","",IFERROR(INDEX(Products!$D$5:$D$54,MATCH(B321,Products!$A$5:$A$54,0)),0))</f>
        <v/>
      </c>
      <c r="E321" s="10" t="str">
        <f aca="false">IF(B321="","",IFERROR(INDEX(Products!$C$5:$C$54,MATCH(B321,Products!$A$5:$A$54,0)),0))</f>
        <v/>
      </c>
      <c r="F321" s="10"/>
      <c r="G321" s="10"/>
      <c r="H321" s="10" t="str">
        <f aca="false">IF(A321="","",Settings!$B$5)</f>
        <v/>
      </c>
      <c r="I321" s="11" t="str">
        <f aca="false">IF(A321="","",ROUND(K321*(Settings!$B$2+Settings!$B$3)/100+Settings!$B$4,2))</f>
        <v/>
      </c>
      <c r="J321" s="11" t="str">
        <f aca="false">IF(A321="","",ROUND(K321-E321*C321-H321-G321-I321,2))</f>
        <v/>
      </c>
      <c r="K321" s="11" t="str">
        <f aca="false">IF(A321="","",D321*C321+F321)</f>
        <v/>
      </c>
      <c r="L321" s="12" t="str">
        <f aca="false">IF(OR(A321="",K321=0),"",ROUND(J321/K321*100,2))</f>
        <v/>
      </c>
      <c r="M321" s="3" t="str">
        <f aca="false">IF(A321="","",TEXT(A321,"yyyy-mm"))</f>
        <v/>
      </c>
    </row>
    <row r="322" customFormat="false" ht="15" hidden="false" customHeight="false" outlineLevel="0" collapsed="false">
      <c r="A322" s="17"/>
      <c r="B322" s="9"/>
      <c r="C322" s="9"/>
      <c r="D322" s="10" t="str">
        <f aca="false">IF(B322="","",IFERROR(INDEX(Products!$D$5:$D$54,MATCH(B322,Products!$A$5:$A$54,0)),0))</f>
        <v/>
      </c>
      <c r="E322" s="10" t="str">
        <f aca="false">IF(B322="","",IFERROR(INDEX(Products!$C$5:$C$54,MATCH(B322,Products!$A$5:$A$54,0)),0))</f>
        <v/>
      </c>
      <c r="F322" s="10"/>
      <c r="G322" s="10"/>
      <c r="H322" s="10" t="str">
        <f aca="false">IF(A322="","",Settings!$B$5)</f>
        <v/>
      </c>
      <c r="I322" s="11" t="str">
        <f aca="false">IF(A322="","",ROUND(K322*(Settings!$B$2+Settings!$B$3)/100+Settings!$B$4,2))</f>
        <v/>
      </c>
      <c r="J322" s="11" t="str">
        <f aca="false">IF(A322="","",ROUND(K322-E322*C322-H322-G322-I322,2))</f>
        <v/>
      </c>
      <c r="K322" s="11" t="str">
        <f aca="false">IF(A322="","",D322*C322+F322)</f>
        <v/>
      </c>
      <c r="L322" s="12" t="str">
        <f aca="false">IF(OR(A322="",K322=0),"",ROUND(J322/K322*100,2))</f>
        <v/>
      </c>
      <c r="M322" s="3" t="str">
        <f aca="false">IF(A322="","",TEXT(A322,"yyyy-mm"))</f>
        <v/>
      </c>
    </row>
    <row r="323" customFormat="false" ht="15" hidden="false" customHeight="false" outlineLevel="0" collapsed="false">
      <c r="A323" s="17"/>
      <c r="B323" s="9"/>
      <c r="C323" s="9"/>
      <c r="D323" s="10" t="str">
        <f aca="false">IF(B323="","",IFERROR(INDEX(Products!$D$5:$D$54,MATCH(B323,Products!$A$5:$A$54,0)),0))</f>
        <v/>
      </c>
      <c r="E323" s="10" t="str">
        <f aca="false">IF(B323="","",IFERROR(INDEX(Products!$C$5:$C$54,MATCH(B323,Products!$A$5:$A$54,0)),0))</f>
        <v/>
      </c>
      <c r="F323" s="10"/>
      <c r="G323" s="10"/>
      <c r="H323" s="10" t="str">
        <f aca="false">IF(A323="","",Settings!$B$5)</f>
        <v/>
      </c>
      <c r="I323" s="11" t="str">
        <f aca="false">IF(A323="","",ROUND(K323*(Settings!$B$2+Settings!$B$3)/100+Settings!$B$4,2))</f>
        <v/>
      </c>
      <c r="J323" s="11" t="str">
        <f aca="false">IF(A323="","",ROUND(K323-E323*C323-H323-G323-I323,2))</f>
        <v/>
      </c>
      <c r="K323" s="11" t="str">
        <f aca="false">IF(A323="","",D323*C323+F323)</f>
        <v/>
      </c>
      <c r="L323" s="12" t="str">
        <f aca="false">IF(OR(A323="",K323=0),"",ROUND(J323/K323*100,2))</f>
        <v/>
      </c>
      <c r="M323" s="3" t="str">
        <f aca="false">IF(A323="","",TEXT(A323,"yyyy-mm"))</f>
        <v/>
      </c>
    </row>
    <row r="324" customFormat="false" ht="15" hidden="false" customHeight="false" outlineLevel="0" collapsed="false">
      <c r="A324" s="17"/>
      <c r="B324" s="9"/>
      <c r="C324" s="9"/>
      <c r="D324" s="10" t="str">
        <f aca="false">IF(B324="","",IFERROR(INDEX(Products!$D$5:$D$54,MATCH(B324,Products!$A$5:$A$54,0)),0))</f>
        <v/>
      </c>
      <c r="E324" s="10" t="str">
        <f aca="false">IF(B324="","",IFERROR(INDEX(Products!$C$5:$C$54,MATCH(B324,Products!$A$5:$A$54,0)),0))</f>
        <v/>
      </c>
      <c r="F324" s="10"/>
      <c r="G324" s="10"/>
      <c r="H324" s="10" t="str">
        <f aca="false">IF(A324="","",Settings!$B$5)</f>
        <v/>
      </c>
      <c r="I324" s="11" t="str">
        <f aca="false">IF(A324="","",ROUND(K324*(Settings!$B$2+Settings!$B$3)/100+Settings!$B$4,2))</f>
        <v/>
      </c>
      <c r="J324" s="11" t="str">
        <f aca="false">IF(A324="","",ROUND(K324-E324*C324-H324-G324-I324,2))</f>
        <v/>
      </c>
      <c r="K324" s="11" t="str">
        <f aca="false">IF(A324="","",D324*C324+F324)</f>
        <v/>
      </c>
      <c r="L324" s="12" t="str">
        <f aca="false">IF(OR(A324="",K324=0),"",ROUND(J324/K324*100,2))</f>
        <v/>
      </c>
      <c r="M324" s="3" t="str">
        <f aca="false">IF(A324="","",TEXT(A324,"yyyy-mm"))</f>
        <v/>
      </c>
    </row>
    <row r="325" customFormat="false" ht="15" hidden="false" customHeight="false" outlineLevel="0" collapsed="false">
      <c r="A325" s="17"/>
      <c r="B325" s="9"/>
      <c r="C325" s="9"/>
      <c r="D325" s="10" t="str">
        <f aca="false">IF(B325="","",IFERROR(INDEX(Products!$D$5:$D$54,MATCH(B325,Products!$A$5:$A$54,0)),0))</f>
        <v/>
      </c>
      <c r="E325" s="10" t="str">
        <f aca="false">IF(B325="","",IFERROR(INDEX(Products!$C$5:$C$54,MATCH(B325,Products!$A$5:$A$54,0)),0))</f>
        <v/>
      </c>
      <c r="F325" s="10"/>
      <c r="G325" s="10"/>
      <c r="H325" s="10" t="str">
        <f aca="false">IF(A325="","",Settings!$B$5)</f>
        <v/>
      </c>
      <c r="I325" s="11" t="str">
        <f aca="false">IF(A325="","",ROUND(K325*(Settings!$B$2+Settings!$B$3)/100+Settings!$B$4,2))</f>
        <v/>
      </c>
      <c r="J325" s="11" t="str">
        <f aca="false">IF(A325="","",ROUND(K325-E325*C325-H325-G325-I325,2))</f>
        <v/>
      </c>
      <c r="K325" s="11" t="str">
        <f aca="false">IF(A325="","",D325*C325+F325)</f>
        <v/>
      </c>
      <c r="L325" s="12" t="str">
        <f aca="false">IF(OR(A325="",K325=0),"",ROUND(J325/K325*100,2))</f>
        <v/>
      </c>
      <c r="M325" s="3" t="str">
        <f aca="false">IF(A325="","",TEXT(A325,"yyyy-mm"))</f>
        <v/>
      </c>
    </row>
    <row r="326" customFormat="false" ht="15" hidden="false" customHeight="false" outlineLevel="0" collapsed="false">
      <c r="A326" s="17"/>
      <c r="B326" s="9"/>
      <c r="C326" s="9"/>
      <c r="D326" s="10" t="str">
        <f aca="false">IF(B326="","",IFERROR(INDEX(Products!$D$5:$D$54,MATCH(B326,Products!$A$5:$A$54,0)),0))</f>
        <v/>
      </c>
      <c r="E326" s="10" t="str">
        <f aca="false">IF(B326="","",IFERROR(INDEX(Products!$C$5:$C$54,MATCH(B326,Products!$A$5:$A$54,0)),0))</f>
        <v/>
      </c>
      <c r="F326" s="10"/>
      <c r="G326" s="10"/>
      <c r="H326" s="10" t="str">
        <f aca="false">IF(A326="","",Settings!$B$5)</f>
        <v/>
      </c>
      <c r="I326" s="11" t="str">
        <f aca="false">IF(A326="","",ROUND(K326*(Settings!$B$2+Settings!$B$3)/100+Settings!$B$4,2))</f>
        <v/>
      </c>
      <c r="J326" s="11" t="str">
        <f aca="false">IF(A326="","",ROUND(K326-E326*C326-H326-G326-I326,2))</f>
        <v/>
      </c>
      <c r="K326" s="11" t="str">
        <f aca="false">IF(A326="","",D326*C326+F326)</f>
        <v/>
      </c>
      <c r="L326" s="12" t="str">
        <f aca="false">IF(OR(A326="",K326=0),"",ROUND(J326/K326*100,2))</f>
        <v/>
      </c>
      <c r="M326" s="3" t="str">
        <f aca="false">IF(A326="","",TEXT(A326,"yyyy-mm"))</f>
        <v/>
      </c>
    </row>
    <row r="327" customFormat="false" ht="15" hidden="false" customHeight="false" outlineLevel="0" collapsed="false">
      <c r="A327" s="17"/>
      <c r="B327" s="9"/>
      <c r="C327" s="9"/>
      <c r="D327" s="10" t="str">
        <f aca="false">IF(B327="","",IFERROR(INDEX(Products!$D$5:$D$54,MATCH(B327,Products!$A$5:$A$54,0)),0))</f>
        <v/>
      </c>
      <c r="E327" s="10" t="str">
        <f aca="false">IF(B327="","",IFERROR(INDEX(Products!$C$5:$C$54,MATCH(B327,Products!$A$5:$A$54,0)),0))</f>
        <v/>
      </c>
      <c r="F327" s="10"/>
      <c r="G327" s="10"/>
      <c r="H327" s="10" t="str">
        <f aca="false">IF(A327="","",Settings!$B$5)</f>
        <v/>
      </c>
      <c r="I327" s="11" t="str">
        <f aca="false">IF(A327="","",ROUND(K327*(Settings!$B$2+Settings!$B$3)/100+Settings!$B$4,2))</f>
        <v/>
      </c>
      <c r="J327" s="11" t="str">
        <f aca="false">IF(A327="","",ROUND(K327-E327*C327-H327-G327-I327,2))</f>
        <v/>
      </c>
      <c r="K327" s="11" t="str">
        <f aca="false">IF(A327="","",D327*C327+F327)</f>
        <v/>
      </c>
      <c r="L327" s="12" t="str">
        <f aca="false">IF(OR(A327="",K327=0),"",ROUND(J327/K327*100,2))</f>
        <v/>
      </c>
      <c r="M327" s="3" t="str">
        <f aca="false">IF(A327="","",TEXT(A327,"yyyy-mm"))</f>
        <v/>
      </c>
    </row>
    <row r="328" customFormat="false" ht="15" hidden="false" customHeight="false" outlineLevel="0" collapsed="false">
      <c r="A328" s="17"/>
      <c r="B328" s="9"/>
      <c r="C328" s="9"/>
      <c r="D328" s="10" t="str">
        <f aca="false">IF(B328="","",IFERROR(INDEX(Products!$D$5:$D$54,MATCH(B328,Products!$A$5:$A$54,0)),0))</f>
        <v/>
      </c>
      <c r="E328" s="10" t="str">
        <f aca="false">IF(B328="","",IFERROR(INDEX(Products!$C$5:$C$54,MATCH(B328,Products!$A$5:$A$54,0)),0))</f>
        <v/>
      </c>
      <c r="F328" s="10"/>
      <c r="G328" s="10"/>
      <c r="H328" s="10" t="str">
        <f aca="false">IF(A328="","",Settings!$B$5)</f>
        <v/>
      </c>
      <c r="I328" s="11" t="str">
        <f aca="false">IF(A328="","",ROUND(K328*(Settings!$B$2+Settings!$B$3)/100+Settings!$B$4,2))</f>
        <v/>
      </c>
      <c r="J328" s="11" t="str">
        <f aca="false">IF(A328="","",ROUND(K328-E328*C328-H328-G328-I328,2))</f>
        <v/>
      </c>
      <c r="K328" s="11" t="str">
        <f aca="false">IF(A328="","",D328*C328+F328)</f>
        <v/>
      </c>
      <c r="L328" s="12" t="str">
        <f aca="false">IF(OR(A328="",K328=0),"",ROUND(J328/K328*100,2))</f>
        <v/>
      </c>
      <c r="M328" s="3" t="str">
        <f aca="false">IF(A328="","",TEXT(A328,"yyyy-mm"))</f>
        <v/>
      </c>
    </row>
    <row r="329" customFormat="false" ht="15" hidden="false" customHeight="false" outlineLevel="0" collapsed="false">
      <c r="A329" s="17"/>
      <c r="B329" s="9"/>
      <c r="C329" s="9"/>
      <c r="D329" s="10" t="str">
        <f aca="false">IF(B329="","",IFERROR(INDEX(Products!$D$5:$D$54,MATCH(B329,Products!$A$5:$A$54,0)),0))</f>
        <v/>
      </c>
      <c r="E329" s="10" t="str">
        <f aca="false">IF(B329="","",IFERROR(INDEX(Products!$C$5:$C$54,MATCH(B329,Products!$A$5:$A$54,0)),0))</f>
        <v/>
      </c>
      <c r="F329" s="10"/>
      <c r="G329" s="10"/>
      <c r="H329" s="10" t="str">
        <f aca="false">IF(A329="","",Settings!$B$5)</f>
        <v/>
      </c>
      <c r="I329" s="11" t="str">
        <f aca="false">IF(A329="","",ROUND(K329*(Settings!$B$2+Settings!$B$3)/100+Settings!$B$4,2))</f>
        <v/>
      </c>
      <c r="J329" s="11" t="str">
        <f aca="false">IF(A329="","",ROUND(K329-E329*C329-H329-G329-I329,2))</f>
        <v/>
      </c>
      <c r="K329" s="11" t="str">
        <f aca="false">IF(A329="","",D329*C329+F329)</f>
        <v/>
      </c>
      <c r="L329" s="12" t="str">
        <f aca="false">IF(OR(A329="",K329=0),"",ROUND(J329/K329*100,2))</f>
        <v/>
      </c>
      <c r="M329" s="3" t="str">
        <f aca="false">IF(A329="","",TEXT(A329,"yyyy-mm"))</f>
        <v/>
      </c>
    </row>
    <row r="330" customFormat="false" ht="15" hidden="false" customHeight="false" outlineLevel="0" collapsed="false">
      <c r="A330" s="17"/>
      <c r="B330" s="9"/>
      <c r="C330" s="9"/>
      <c r="D330" s="10" t="str">
        <f aca="false">IF(B330="","",IFERROR(INDEX(Products!$D$5:$D$54,MATCH(B330,Products!$A$5:$A$54,0)),0))</f>
        <v/>
      </c>
      <c r="E330" s="10" t="str">
        <f aca="false">IF(B330="","",IFERROR(INDEX(Products!$C$5:$C$54,MATCH(B330,Products!$A$5:$A$54,0)),0))</f>
        <v/>
      </c>
      <c r="F330" s="10"/>
      <c r="G330" s="10"/>
      <c r="H330" s="10" t="str">
        <f aca="false">IF(A330="","",Settings!$B$5)</f>
        <v/>
      </c>
      <c r="I330" s="11" t="str">
        <f aca="false">IF(A330="","",ROUND(K330*(Settings!$B$2+Settings!$B$3)/100+Settings!$B$4,2))</f>
        <v/>
      </c>
      <c r="J330" s="11" t="str">
        <f aca="false">IF(A330="","",ROUND(K330-E330*C330-H330-G330-I330,2))</f>
        <v/>
      </c>
      <c r="K330" s="11" t="str">
        <f aca="false">IF(A330="","",D330*C330+F330)</f>
        <v/>
      </c>
      <c r="L330" s="12" t="str">
        <f aca="false">IF(OR(A330="",K330=0),"",ROUND(J330/K330*100,2))</f>
        <v/>
      </c>
      <c r="M330" s="3" t="str">
        <f aca="false">IF(A330="","",TEXT(A330,"yyyy-mm"))</f>
        <v/>
      </c>
    </row>
    <row r="331" customFormat="false" ht="15" hidden="false" customHeight="false" outlineLevel="0" collapsed="false">
      <c r="A331" s="17"/>
      <c r="B331" s="9"/>
      <c r="C331" s="9"/>
      <c r="D331" s="10" t="str">
        <f aca="false">IF(B331="","",IFERROR(INDEX(Products!$D$5:$D$54,MATCH(B331,Products!$A$5:$A$54,0)),0))</f>
        <v/>
      </c>
      <c r="E331" s="10" t="str">
        <f aca="false">IF(B331="","",IFERROR(INDEX(Products!$C$5:$C$54,MATCH(B331,Products!$A$5:$A$54,0)),0))</f>
        <v/>
      </c>
      <c r="F331" s="10"/>
      <c r="G331" s="10"/>
      <c r="H331" s="10" t="str">
        <f aca="false">IF(A331="","",Settings!$B$5)</f>
        <v/>
      </c>
      <c r="I331" s="11" t="str">
        <f aca="false">IF(A331="","",ROUND(K331*(Settings!$B$2+Settings!$B$3)/100+Settings!$B$4,2))</f>
        <v/>
      </c>
      <c r="J331" s="11" t="str">
        <f aca="false">IF(A331="","",ROUND(K331-E331*C331-H331-G331-I331,2))</f>
        <v/>
      </c>
      <c r="K331" s="11" t="str">
        <f aca="false">IF(A331="","",D331*C331+F331)</f>
        <v/>
      </c>
      <c r="L331" s="12" t="str">
        <f aca="false">IF(OR(A331="",K331=0),"",ROUND(J331/K331*100,2))</f>
        <v/>
      </c>
      <c r="M331" s="3" t="str">
        <f aca="false">IF(A331="","",TEXT(A331,"yyyy-mm"))</f>
        <v/>
      </c>
    </row>
    <row r="332" customFormat="false" ht="15" hidden="false" customHeight="false" outlineLevel="0" collapsed="false">
      <c r="A332" s="17"/>
      <c r="B332" s="9"/>
      <c r="C332" s="9"/>
      <c r="D332" s="10" t="str">
        <f aca="false">IF(B332="","",IFERROR(INDEX(Products!$D$5:$D$54,MATCH(B332,Products!$A$5:$A$54,0)),0))</f>
        <v/>
      </c>
      <c r="E332" s="10" t="str">
        <f aca="false">IF(B332="","",IFERROR(INDEX(Products!$C$5:$C$54,MATCH(B332,Products!$A$5:$A$54,0)),0))</f>
        <v/>
      </c>
      <c r="F332" s="10"/>
      <c r="G332" s="10"/>
      <c r="H332" s="10" t="str">
        <f aca="false">IF(A332="","",Settings!$B$5)</f>
        <v/>
      </c>
      <c r="I332" s="11" t="str">
        <f aca="false">IF(A332="","",ROUND(K332*(Settings!$B$2+Settings!$B$3)/100+Settings!$B$4,2))</f>
        <v/>
      </c>
      <c r="J332" s="11" t="str">
        <f aca="false">IF(A332="","",ROUND(K332-E332*C332-H332-G332-I332,2))</f>
        <v/>
      </c>
      <c r="K332" s="11" t="str">
        <f aca="false">IF(A332="","",D332*C332+F332)</f>
        <v/>
      </c>
      <c r="L332" s="12" t="str">
        <f aca="false">IF(OR(A332="",K332=0),"",ROUND(J332/K332*100,2))</f>
        <v/>
      </c>
      <c r="M332" s="3" t="str">
        <f aca="false">IF(A332="","",TEXT(A332,"yyyy-mm"))</f>
        <v/>
      </c>
    </row>
    <row r="333" customFormat="false" ht="15" hidden="false" customHeight="false" outlineLevel="0" collapsed="false">
      <c r="A333" s="17"/>
      <c r="B333" s="9"/>
      <c r="C333" s="9"/>
      <c r="D333" s="10" t="str">
        <f aca="false">IF(B333="","",IFERROR(INDEX(Products!$D$5:$D$54,MATCH(B333,Products!$A$5:$A$54,0)),0))</f>
        <v/>
      </c>
      <c r="E333" s="10" t="str">
        <f aca="false">IF(B333="","",IFERROR(INDEX(Products!$C$5:$C$54,MATCH(B333,Products!$A$5:$A$54,0)),0))</f>
        <v/>
      </c>
      <c r="F333" s="10"/>
      <c r="G333" s="10"/>
      <c r="H333" s="10" t="str">
        <f aca="false">IF(A333="","",Settings!$B$5)</f>
        <v/>
      </c>
      <c r="I333" s="11" t="str">
        <f aca="false">IF(A333="","",ROUND(K333*(Settings!$B$2+Settings!$B$3)/100+Settings!$B$4,2))</f>
        <v/>
      </c>
      <c r="J333" s="11" t="str">
        <f aca="false">IF(A333="","",ROUND(K333-E333*C333-H333-G333-I333,2))</f>
        <v/>
      </c>
      <c r="K333" s="11" t="str">
        <f aca="false">IF(A333="","",D333*C333+F333)</f>
        <v/>
      </c>
      <c r="L333" s="12" t="str">
        <f aca="false">IF(OR(A333="",K333=0),"",ROUND(J333/K333*100,2))</f>
        <v/>
      </c>
      <c r="M333" s="3" t="str">
        <f aca="false">IF(A333="","",TEXT(A333,"yyyy-mm"))</f>
        <v/>
      </c>
    </row>
    <row r="334" customFormat="false" ht="15" hidden="false" customHeight="false" outlineLevel="0" collapsed="false">
      <c r="A334" s="17"/>
      <c r="B334" s="9"/>
      <c r="C334" s="9"/>
      <c r="D334" s="10" t="str">
        <f aca="false">IF(B334="","",IFERROR(INDEX(Products!$D$5:$D$54,MATCH(B334,Products!$A$5:$A$54,0)),0))</f>
        <v/>
      </c>
      <c r="E334" s="10" t="str">
        <f aca="false">IF(B334="","",IFERROR(INDEX(Products!$C$5:$C$54,MATCH(B334,Products!$A$5:$A$54,0)),0))</f>
        <v/>
      </c>
      <c r="F334" s="10"/>
      <c r="G334" s="10"/>
      <c r="H334" s="10" t="str">
        <f aca="false">IF(A334="","",Settings!$B$5)</f>
        <v/>
      </c>
      <c r="I334" s="11" t="str">
        <f aca="false">IF(A334="","",ROUND(K334*(Settings!$B$2+Settings!$B$3)/100+Settings!$B$4,2))</f>
        <v/>
      </c>
      <c r="J334" s="11" t="str">
        <f aca="false">IF(A334="","",ROUND(K334-E334*C334-H334-G334-I334,2))</f>
        <v/>
      </c>
      <c r="K334" s="11" t="str">
        <f aca="false">IF(A334="","",D334*C334+F334)</f>
        <v/>
      </c>
      <c r="L334" s="12" t="str">
        <f aca="false">IF(OR(A334="",K334=0),"",ROUND(J334/K334*100,2))</f>
        <v/>
      </c>
      <c r="M334" s="3" t="str">
        <f aca="false">IF(A334="","",TEXT(A334,"yyyy-mm"))</f>
        <v/>
      </c>
    </row>
    <row r="335" customFormat="false" ht="15" hidden="false" customHeight="false" outlineLevel="0" collapsed="false">
      <c r="A335" s="17"/>
      <c r="B335" s="9"/>
      <c r="C335" s="9"/>
      <c r="D335" s="10" t="str">
        <f aca="false">IF(B335="","",IFERROR(INDEX(Products!$D$5:$D$54,MATCH(B335,Products!$A$5:$A$54,0)),0))</f>
        <v/>
      </c>
      <c r="E335" s="10" t="str">
        <f aca="false">IF(B335="","",IFERROR(INDEX(Products!$C$5:$C$54,MATCH(B335,Products!$A$5:$A$54,0)),0))</f>
        <v/>
      </c>
      <c r="F335" s="10"/>
      <c r="G335" s="10"/>
      <c r="H335" s="10" t="str">
        <f aca="false">IF(A335="","",Settings!$B$5)</f>
        <v/>
      </c>
      <c r="I335" s="11" t="str">
        <f aca="false">IF(A335="","",ROUND(K335*(Settings!$B$2+Settings!$B$3)/100+Settings!$B$4,2))</f>
        <v/>
      </c>
      <c r="J335" s="11" t="str">
        <f aca="false">IF(A335="","",ROUND(K335-E335*C335-H335-G335-I335,2))</f>
        <v/>
      </c>
      <c r="K335" s="11" t="str">
        <f aca="false">IF(A335="","",D335*C335+F335)</f>
        <v/>
      </c>
      <c r="L335" s="12" t="str">
        <f aca="false">IF(OR(A335="",K335=0),"",ROUND(J335/K335*100,2))</f>
        <v/>
      </c>
      <c r="M335" s="3" t="str">
        <f aca="false">IF(A335="","",TEXT(A335,"yyyy-mm"))</f>
        <v/>
      </c>
    </row>
    <row r="336" customFormat="false" ht="15" hidden="false" customHeight="false" outlineLevel="0" collapsed="false">
      <c r="A336" s="17"/>
      <c r="B336" s="9"/>
      <c r="C336" s="9"/>
      <c r="D336" s="10" t="str">
        <f aca="false">IF(B336="","",IFERROR(INDEX(Products!$D$5:$D$54,MATCH(B336,Products!$A$5:$A$54,0)),0))</f>
        <v/>
      </c>
      <c r="E336" s="10" t="str">
        <f aca="false">IF(B336="","",IFERROR(INDEX(Products!$C$5:$C$54,MATCH(B336,Products!$A$5:$A$54,0)),0))</f>
        <v/>
      </c>
      <c r="F336" s="10"/>
      <c r="G336" s="10"/>
      <c r="H336" s="10" t="str">
        <f aca="false">IF(A336="","",Settings!$B$5)</f>
        <v/>
      </c>
      <c r="I336" s="11" t="str">
        <f aca="false">IF(A336="","",ROUND(K336*(Settings!$B$2+Settings!$B$3)/100+Settings!$B$4,2))</f>
        <v/>
      </c>
      <c r="J336" s="11" t="str">
        <f aca="false">IF(A336="","",ROUND(K336-E336*C336-H336-G336-I336,2))</f>
        <v/>
      </c>
      <c r="K336" s="11" t="str">
        <f aca="false">IF(A336="","",D336*C336+F336)</f>
        <v/>
      </c>
      <c r="L336" s="12" t="str">
        <f aca="false">IF(OR(A336="",K336=0),"",ROUND(J336/K336*100,2))</f>
        <v/>
      </c>
      <c r="M336" s="3" t="str">
        <f aca="false">IF(A336="","",TEXT(A336,"yyyy-mm"))</f>
        <v/>
      </c>
    </row>
    <row r="337" customFormat="false" ht="15" hidden="false" customHeight="false" outlineLevel="0" collapsed="false">
      <c r="A337" s="17"/>
      <c r="B337" s="9"/>
      <c r="C337" s="9"/>
      <c r="D337" s="10" t="str">
        <f aca="false">IF(B337="","",IFERROR(INDEX(Products!$D$5:$D$54,MATCH(B337,Products!$A$5:$A$54,0)),0))</f>
        <v/>
      </c>
      <c r="E337" s="10" t="str">
        <f aca="false">IF(B337="","",IFERROR(INDEX(Products!$C$5:$C$54,MATCH(B337,Products!$A$5:$A$54,0)),0))</f>
        <v/>
      </c>
      <c r="F337" s="10"/>
      <c r="G337" s="10"/>
      <c r="H337" s="10" t="str">
        <f aca="false">IF(A337="","",Settings!$B$5)</f>
        <v/>
      </c>
      <c r="I337" s="11" t="str">
        <f aca="false">IF(A337="","",ROUND(K337*(Settings!$B$2+Settings!$B$3)/100+Settings!$B$4,2))</f>
        <v/>
      </c>
      <c r="J337" s="11" t="str">
        <f aca="false">IF(A337="","",ROUND(K337-E337*C337-H337-G337-I337,2))</f>
        <v/>
      </c>
      <c r="K337" s="11" t="str">
        <f aca="false">IF(A337="","",D337*C337+F337)</f>
        <v/>
      </c>
      <c r="L337" s="12" t="str">
        <f aca="false">IF(OR(A337="",K337=0),"",ROUND(J337/K337*100,2))</f>
        <v/>
      </c>
      <c r="M337" s="3" t="str">
        <f aca="false">IF(A337="","",TEXT(A337,"yyyy-mm"))</f>
        <v/>
      </c>
    </row>
    <row r="338" customFormat="false" ht="15" hidden="false" customHeight="false" outlineLevel="0" collapsed="false">
      <c r="A338" s="17"/>
      <c r="B338" s="9"/>
      <c r="C338" s="9"/>
      <c r="D338" s="10" t="str">
        <f aca="false">IF(B338="","",IFERROR(INDEX(Products!$D$5:$D$54,MATCH(B338,Products!$A$5:$A$54,0)),0))</f>
        <v/>
      </c>
      <c r="E338" s="10" t="str">
        <f aca="false">IF(B338="","",IFERROR(INDEX(Products!$C$5:$C$54,MATCH(B338,Products!$A$5:$A$54,0)),0))</f>
        <v/>
      </c>
      <c r="F338" s="10"/>
      <c r="G338" s="10"/>
      <c r="H338" s="10" t="str">
        <f aca="false">IF(A338="","",Settings!$B$5)</f>
        <v/>
      </c>
      <c r="I338" s="11" t="str">
        <f aca="false">IF(A338="","",ROUND(K338*(Settings!$B$2+Settings!$B$3)/100+Settings!$B$4,2))</f>
        <v/>
      </c>
      <c r="J338" s="11" t="str">
        <f aca="false">IF(A338="","",ROUND(K338-E338*C338-H338-G338-I338,2))</f>
        <v/>
      </c>
      <c r="K338" s="11" t="str">
        <f aca="false">IF(A338="","",D338*C338+F338)</f>
        <v/>
      </c>
      <c r="L338" s="12" t="str">
        <f aca="false">IF(OR(A338="",K338=0),"",ROUND(J338/K338*100,2))</f>
        <v/>
      </c>
      <c r="M338" s="3" t="str">
        <f aca="false">IF(A338="","",TEXT(A338,"yyyy-mm"))</f>
        <v/>
      </c>
    </row>
    <row r="339" customFormat="false" ht="15" hidden="false" customHeight="false" outlineLevel="0" collapsed="false">
      <c r="A339" s="17"/>
      <c r="B339" s="9"/>
      <c r="C339" s="9"/>
      <c r="D339" s="10" t="str">
        <f aca="false">IF(B339="","",IFERROR(INDEX(Products!$D$5:$D$54,MATCH(B339,Products!$A$5:$A$54,0)),0))</f>
        <v/>
      </c>
      <c r="E339" s="10" t="str">
        <f aca="false">IF(B339="","",IFERROR(INDEX(Products!$C$5:$C$54,MATCH(B339,Products!$A$5:$A$54,0)),0))</f>
        <v/>
      </c>
      <c r="F339" s="10"/>
      <c r="G339" s="10"/>
      <c r="H339" s="10" t="str">
        <f aca="false">IF(A339="","",Settings!$B$5)</f>
        <v/>
      </c>
      <c r="I339" s="11" t="str">
        <f aca="false">IF(A339="","",ROUND(K339*(Settings!$B$2+Settings!$B$3)/100+Settings!$B$4,2))</f>
        <v/>
      </c>
      <c r="J339" s="11" t="str">
        <f aca="false">IF(A339="","",ROUND(K339-E339*C339-H339-G339-I339,2))</f>
        <v/>
      </c>
      <c r="K339" s="11" t="str">
        <f aca="false">IF(A339="","",D339*C339+F339)</f>
        <v/>
      </c>
      <c r="L339" s="12" t="str">
        <f aca="false">IF(OR(A339="",K339=0),"",ROUND(J339/K339*100,2))</f>
        <v/>
      </c>
      <c r="M339" s="3" t="str">
        <f aca="false">IF(A339="","",TEXT(A339,"yyyy-mm"))</f>
        <v/>
      </c>
    </row>
    <row r="340" customFormat="false" ht="15" hidden="false" customHeight="false" outlineLevel="0" collapsed="false">
      <c r="A340" s="17"/>
      <c r="B340" s="9"/>
      <c r="C340" s="9"/>
      <c r="D340" s="10" t="str">
        <f aca="false">IF(B340="","",IFERROR(INDEX(Products!$D$5:$D$54,MATCH(B340,Products!$A$5:$A$54,0)),0))</f>
        <v/>
      </c>
      <c r="E340" s="10" t="str">
        <f aca="false">IF(B340="","",IFERROR(INDEX(Products!$C$5:$C$54,MATCH(B340,Products!$A$5:$A$54,0)),0))</f>
        <v/>
      </c>
      <c r="F340" s="10"/>
      <c r="G340" s="10"/>
      <c r="H340" s="10" t="str">
        <f aca="false">IF(A340="","",Settings!$B$5)</f>
        <v/>
      </c>
      <c r="I340" s="11" t="str">
        <f aca="false">IF(A340="","",ROUND(K340*(Settings!$B$2+Settings!$B$3)/100+Settings!$B$4,2))</f>
        <v/>
      </c>
      <c r="J340" s="11" t="str">
        <f aca="false">IF(A340="","",ROUND(K340-E340*C340-H340-G340-I340,2))</f>
        <v/>
      </c>
      <c r="K340" s="11" t="str">
        <f aca="false">IF(A340="","",D340*C340+F340)</f>
        <v/>
      </c>
      <c r="L340" s="12" t="str">
        <f aca="false">IF(OR(A340="",K340=0),"",ROUND(J340/K340*100,2))</f>
        <v/>
      </c>
      <c r="M340" s="3" t="str">
        <f aca="false">IF(A340="","",TEXT(A340,"yyyy-mm"))</f>
        <v/>
      </c>
    </row>
    <row r="341" customFormat="false" ht="15" hidden="false" customHeight="false" outlineLevel="0" collapsed="false">
      <c r="A341" s="17"/>
      <c r="B341" s="9"/>
      <c r="C341" s="9"/>
      <c r="D341" s="10" t="str">
        <f aca="false">IF(B341="","",IFERROR(INDEX(Products!$D$5:$D$54,MATCH(B341,Products!$A$5:$A$54,0)),0))</f>
        <v/>
      </c>
      <c r="E341" s="10" t="str">
        <f aca="false">IF(B341="","",IFERROR(INDEX(Products!$C$5:$C$54,MATCH(B341,Products!$A$5:$A$54,0)),0))</f>
        <v/>
      </c>
      <c r="F341" s="10"/>
      <c r="G341" s="10"/>
      <c r="H341" s="10" t="str">
        <f aca="false">IF(A341="","",Settings!$B$5)</f>
        <v/>
      </c>
      <c r="I341" s="11" t="str">
        <f aca="false">IF(A341="","",ROUND(K341*(Settings!$B$2+Settings!$B$3)/100+Settings!$B$4,2))</f>
        <v/>
      </c>
      <c r="J341" s="11" t="str">
        <f aca="false">IF(A341="","",ROUND(K341-E341*C341-H341-G341-I341,2))</f>
        <v/>
      </c>
      <c r="K341" s="11" t="str">
        <f aca="false">IF(A341="","",D341*C341+F341)</f>
        <v/>
      </c>
      <c r="L341" s="12" t="str">
        <f aca="false">IF(OR(A341="",K341=0),"",ROUND(J341/K341*100,2))</f>
        <v/>
      </c>
      <c r="M341" s="3" t="str">
        <f aca="false">IF(A341="","",TEXT(A341,"yyyy-mm"))</f>
        <v/>
      </c>
    </row>
    <row r="342" customFormat="false" ht="15" hidden="false" customHeight="false" outlineLevel="0" collapsed="false">
      <c r="A342" s="17"/>
      <c r="B342" s="9"/>
      <c r="C342" s="9"/>
      <c r="D342" s="10" t="str">
        <f aca="false">IF(B342="","",IFERROR(INDEX(Products!$D$5:$D$54,MATCH(B342,Products!$A$5:$A$54,0)),0))</f>
        <v/>
      </c>
      <c r="E342" s="10" t="str">
        <f aca="false">IF(B342="","",IFERROR(INDEX(Products!$C$5:$C$54,MATCH(B342,Products!$A$5:$A$54,0)),0))</f>
        <v/>
      </c>
      <c r="F342" s="10"/>
      <c r="G342" s="10"/>
      <c r="H342" s="10" t="str">
        <f aca="false">IF(A342="","",Settings!$B$5)</f>
        <v/>
      </c>
      <c r="I342" s="11" t="str">
        <f aca="false">IF(A342="","",ROUND(K342*(Settings!$B$2+Settings!$B$3)/100+Settings!$B$4,2))</f>
        <v/>
      </c>
      <c r="J342" s="11" t="str">
        <f aca="false">IF(A342="","",ROUND(K342-E342*C342-H342-G342-I342,2))</f>
        <v/>
      </c>
      <c r="K342" s="11" t="str">
        <f aca="false">IF(A342="","",D342*C342+F342)</f>
        <v/>
      </c>
      <c r="L342" s="12" t="str">
        <f aca="false">IF(OR(A342="",K342=0),"",ROUND(J342/K342*100,2))</f>
        <v/>
      </c>
      <c r="M342" s="3" t="str">
        <f aca="false">IF(A342="","",TEXT(A342,"yyyy-mm"))</f>
        <v/>
      </c>
    </row>
    <row r="343" customFormat="false" ht="15" hidden="false" customHeight="false" outlineLevel="0" collapsed="false">
      <c r="A343" s="17"/>
      <c r="B343" s="9"/>
      <c r="C343" s="9"/>
      <c r="D343" s="10" t="str">
        <f aca="false">IF(B343="","",IFERROR(INDEX(Products!$D$5:$D$54,MATCH(B343,Products!$A$5:$A$54,0)),0))</f>
        <v/>
      </c>
      <c r="E343" s="10" t="str">
        <f aca="false">IF(B343="","",IFERROR(INDEX(Products!$C$5:$C$54,MATCH(B343,Products!$A$5:$A$54,0)),0))</f>
        <v/>
      </c>
      <c r="F343" s="10"/>
      <c r="G343" s="10"/>
      <c r="H343" s="10" t="str">
        <f aca="false">IF(A343="","",Settings!$B$5)</f>
        <v/>
      </c>
      <c r="I343" s="11" t="str">
        <f aca="false">IF(A343="","",ROUND(K343*(Settings!$B$2+Settings!$B$3)/100+Settings!$B$4,2))</f>
        <v/>
      </c>
      <c r="J343" s="11" t="str">
        <f aca="false">IF(A343="","",ROUND(K343-E343*C343-H343-G343-I343,2))</f>
        <v/>
      </c>
      <c r="K343" s="11" t="str">
        <f aca="false">IF(A343="","",D343*C343+F343)</f>
        <v/>
      </c>
      <c r="L343" s="12" t="str">
        <f aca="false">IF(OR(A343="",K343=0),"",ROUND(J343/K343*100,2))</f>
        <v/>
      </c>
      <c r="M343" s="3" t="str">
        <f aca="false">IF(A343="","",TEXT(A343,"yyyy-mm"))</f>
        <v/>
      </c>
    </row>
    <row r="344" customFormat="false" ht="15" hidden="false" customHeight="false" outlineLevel="0" collapsed="false">
      <c r="A344" s="17"/>
      <c r="B344" s="9"/>
      <c r="C344" s="9"/>
      <c r="D344" s="10" t="str">
        <f aca="false">IF(B344="","",IFERROR(INDEX(Products!$D$5:$D$54,MATCH(B344,Products!$A$5:$A$54,0)),0))</f>
        <v/>
      </c>
      <c r="E344" s="10" t="str">
        <f aca="false">IF(B344="","",IFERROR(INDEX(Products!$C$5:$C$54,MATCH(B344,Products!$A$5:$A$54,0)),0))</f>
        <v/>
      </c>
      <c r="F344" s="10"/>
      <c r="G344" s="10"/>
      <c r="H344" s="10" t="str">
        <f aca="false">IF(A344="","",Settings!$B$5)</f>
        <v/>
      </c>
      <c r="I344" s="11" t="str">
        <f aca="false">IF(A344="","",ROUND(K344*(Settings!$B$2+Settings!$B$3)/100+Settings!$B$4,2))</f>
        <v/>
      </c>
      <c r="J344" s="11" t="str">
        <f aca="false">IF(A344="","",ROUND(K344-E344*C344-H344-G344-I344,2))</f>
        <v/>
      </c>
      <c r="K344" s="11" t="str">
        <f aca="false">IF(A344="","",D344*C344+F344)</f>
        <v/>
      </c>
      <c r="L344" s="12" t="str">
        <f aca="false">IF(OR(A344="",K344=0),"",ROUND(J344/K344*100,2))</f>
        <v/>
      </c>
      <c r="M344" s="3" t="str">
        <f aca="false">IF(A344="","",TEXT(A344,"yyyy-mm"))</f>
        <v/>
      </c>
    </row>
    <row r="345" customFormat="false" ht="15" hidden="false" customHeight="false" outlineLevel="0" collapsed="false">
      <c r="A345" s="17"/>
      <c r="B345" s="9"/>
      <c r="C345" s="9"/>
      <c r="D345" s="10" t="str">
        <f aca="false">IF(B345="","",IFERROR(INDEX(Products!$D$5:$D$54,MATCH(B345,Products!$A$5:$A$54,0)),0))</f>
        <v/>
      </c>
      <c r="E345" s="10" t="str">
        <f aca="false">IF(B345="","",IFERROR(INDEX(Products!$C$5:$C$54,MATCH(B345,Products!$A$5:$A$54,0)),0))</f>
        <v/>
      </c>
      <c r="F345" s="10"/>
      <c r="G345" s="10"/>
      <c r="H345" s="10" t="str">
        <f aca="false">IF(A345="","",Settings!$B$5)</f>
        <v/>
      </c>
      <c r="I345" s="11" t="str">
        <f aca="false">IF(A345="","",ROUND(K345*(Settings!$B$2+Settings!$B$3)/100+Settings!$B$4,2))</f>
        <v/>
      </c>
      <c r="J345" s="11" t="str">
        <f aca="false">IF(A345="","",ROUND(K345-E345*C345-H345-G345-I345,2))</f>
        <v/>
      </c>
      <c r="K345" s="11" t="str">
        <f aca="false">IF(A345="","",D345*C345+F345)</f>
        <v/>
      </c>
      <c r="L345" s="12" t="str">
        <f aca="false">IF(OR(A345="",K345=0),"",ROUND(J345/K345*100,2))</f>
        <v/>
      </c>
      <c r="M345" s="3" t="str">
        <f aca="false">IF(A345="","",TEXT(A345,"yyyy-mm"))</f>
        <v/>
      </c>
    </row>
    <row r="346" customFormat="false" ht="15" hidden="false" customHeight="false" outlineLevel="0" collapsed="false">
      <c r="A346" s="17"/>
      <c r="B346" s="9"/>
      <c r="C346" s="9"/>
      <c r="D346" s="10" t="str">
        <f aca="false">IF(B346="","",IFERROR(INDEX(Products!$D$5:$D$54,MATCH(B346,Products!$A$5:$A$54,0)),0))</f>
        <v/>
      </c>
      <c r="E346" s="10" t="str">
        <f aca="false">IF(B346="","",IFERROR(INDEX(Products!$C$5:$C$54,MATCH(B346,Products!$A$5:$A$54,0)),0))</f>
        <v/>
      </c>
      <c r="F346" s="10"/>
      <c r="G346" s="10"/>
      <c r="H346" s="10" t="str">
        <f aca="false">IF(A346="","",Settings!$B$5)</f>
        <v/>
      </c>
      <c r="I346" s="11" t="str">
        <f aca="false">IF(A346="","",ROUND(K346*(Settings!$B$2+Settings!$B$3)/100+Settings!$B$4,2))</f>
        <v/>
      </c>
      <c r="J346" s="11" t="str">
        <f aca="false">IF(A346="","",ROUND(K346-E346*C346-H346-G346-I346,2))</f>
        <v/>
      </c>
      <c r="K346" s="11" t="str">
        <f aca="false">IF(A346="","",D346*C346+F346)</f>
        <v/>
      </c>
      <c r="L346" s="12" t="str">
        <f aca="false">IF(OR(A346="",K346=0),"",ROUND(J346/K346*100,2))</f>
        <v/>
      </c>
      <c r="M346" s="3" t="str">
        <f aca="false">IF(A346="","",TEXT(A346,"yyyy-mm"))</f>
        <v/>
      </c>
    </row>
    <row r="347" customFormat="false" ht="15" hidden="false" customHeight="false" outlineLevel="0" collapsed="false">
      <c r="A347" s="17"/>
      <c r="B347" s="9"/>
      <c r="C347" s="9"/>
      <c r="D347" s="10" t="str">
        <f aca="false">IF(B347="","",IFERROR(INDEX(Products!$D$5:$D$54,MATCH(B347,Products!$A$5:$A$54,0)),0))</f>
        <v/>
      </c>
      <c r="E347" s="10" t="str">
        <f aca="false">IF(B347="","",IFERROR(INDEX(Products!$C$5:$C$54,MATCH(B347,Products!$A$5:$A$54,0)),0))</f>
        <v/>
      </c>
      <c r="F347" s="10"/>
      <c r="G347" s="10"/>
      <c r="H347" s="10" t="str">
        <f aca="false">IF(A347="","",Settings!$B$5)</f>
        <v/>
      </c>
      <c r="I347" s="11" t="str">
        <f aca="false">IF(A347="","",ROUND(K347*(Settings!$B$2+Settings!$B$3)/100+Settings!$B$4,2))</f>
        <v/>
      </c>
      <c r="J347" s="11" t="str">
        <f aca="false">IF(A347="","",ROUND(K347-E347*C347-H347-G347-I347,2))</f>
        <v/>
      </c>
      <c r="K347" s="11" t="str">
        <f aca="false">IF(A347="","",D347*C347+F347)</f>
        <v/>
      </c>
      <c r="L347" s="12" t="str">
        <f aca="false">IF(OR(A347="",K347=0),"",ROUND(J347/K347*100,2))</f>
        <v/>
      </c>
      <c r="M347" s="3" t="str">
        <f aca="false">IF(A347="","",TEXT(A347,"yyyy-mm"))</f>
        <v/>
      </c>
    </row>
    <row r="348" customFormat="false" ht="15" hidden="false" customHeight="false" outlineLevel="0" collapsed="false">
      <c r="A348" s="17"/>
      <c r="B348" s="9"/>
      <c r="C348" s="9"/>
      <c r="D348" s="10" t="str">
        <f aca="false">IF(B348="","",IFERROR(INDEX(Products!$D$5:$D$54,MATCH(B348,Products!$A$5:$A$54,0)),0))</f>
        <v/>
      </c>
      <c r="E348" s="10" t="str">
        <f aca="false">IF(B348="","",IFERROR(INDEX(Products!$C$5:$C$54,MATCH(B348,Products!$A$5:$A$54,0)),0))</f>
        <v/>
      </c>
      <c r="F348" s="10"/>
      <c r="G348" s="10"/>
      <c r="H348" s="10" t="str">
        <f aca="false">IF(A348="","",Settings!$B$5)</f>
        <v/>
      </c>
      <c r="I348" s="11" t="str">
        <f aca="false">IF(A348="","",ROUND(K348*(Settings!$B$2+Settings!$B$3)/100+Settings!$B$4,2))</f>
        <v/>
      </c>
      <c r="J348" s="11" t="str">
        <f aca="false">IF(A348="","",ROUND(K348-E348*C348-H348-G348-I348,2))</f>
        <v/>
      </c>
      <c r="K348" s="11" t="str">
        <f aca="false">IF(A348="","",D348*C348+F348)</f>
        <v/>
      </c>
      <c r="L348" s="12" t="str">
        <f aca="false">IF(OR(A348="",K348=0),"",ROUND(J348/K348*100,2))</f>
        <v/>
      </c>
      <c r="M348" s="3" t="str">
        <f aca="false">IF(A348="","",TEXT(A348,"yyyy-mm"))</f>
        <v/>
      </c>
    </row>
    <row r="349" customFormat="false" ht="15" hidden="false" customHeight="false" outlineLevel="0" collapsed="false">
      <c r="A349" s="17"/>
      <c r="B349" s="9"/>
      <c r="C349" s="9"/>
      <c r="D349" s="10" t="str">
        <f aca="false">IF(B349="","",IFERROR(INDEX(Products!$D$5:$D$54,MATCH(B349,Products!$A$5:$A$54,0)),0))</f>
        <v/>
      </c>
      <c r="E349" s="10" t="str">
        <f aca="false">IF(B349="","",IFERROR(INDEX(Products!$C$5:$C$54,MATCH(B349,Products!$A$5:$A$54,0)),0))</f>
        <v/>
      </c>
      <c r="F349" s="10"/>
      <c r="G349" s="10"/>
      <c r="H349" s="10" t="str">
        <f aca="false">IF(A349="","",Settings!$B$5)</f>
        <v/>
      </c>
      <c r="I349" s="11" t="str">
        <f aca="false">IF(A349="","",ROUND(K349*(Settings!$B$2+Settings!$B$3)/100+Settings!$B$4,2))</f>
        <v/>
      </c>
      <c r="J349" s="11" t="str">
        <f aca="false">IF(A349="","",ROUND(K349-E349*C349-H349-G349-I349,2))</f>
        <v/>
      </c>
      <c r="K349" s="11" t="str">
        <f aca="false">IF(A349="","",D349*C349+F349)</f>
        <v/>
      </c>
      <c r="L349" s="12" t="str">
        <f aca="false">IF(OR(A349="",K349=0),"",ROUND(J349/K349*100,2))</f>
        <v/>
      </c>
      <c r="M349" s="3" t="str">
        <f aca="false">IF(A349="","",TEXT(A349,"yyyy-mm"))</f>
        <v/>
      </c>
    </row>
    <row r="350" customFormat="false" ht="15" hidden="false" customHeight="false" outlineLevel="0" collapsed="false">
      <c r="A350" s="17"/>
      <c r="B350" s="9"/>
      <c r="C350" s="9"/>
      <c r="D350" s="10" t="str">
        <f aca="false">IF(B350="","",IFERROR(INDEX(Products!$D$5:$D$54,MATCH(B350,Products!$A$5:$A$54,0)),0))</f>
        <v/>
      </c>
      <c r="E350" s="10" t="str">
        <f aca="false">IF(B350="","",IFERROR(INDEX(Products!$C$5:$C$54,MATCH(B350,Products!$A$5:$A$54,0)),0))</f>
        <v/>
      </c>
      <c r="F350" s="10"/>
      <c r="G350" s="10"/>
      <c r="H350" s="10" t="str">
        <f aca="false">IF(A350="","",Settings!$B$5)</f>
        <v/>
      </c>
      <c r="I350" s="11" t="str">
        <f aca="false">IF(A350="","",ROUND(K350*(Settings!$B$2+Settings!$B$3)/100+Settings!$B$4,2))</f>
        <v/>
      </c>
      <c r="J350" s="11" t="str">
        <f aca="false">IF(A350="","",ROUND(K350-E350*C350-H350-G350-I350,2))</f>
        <v/>
      </c>
      <c r="K350" s="11" t="str">
        <f aca="false">IF(A350="","",D350*C350+F350)</f>
        <v/>
      </c>
      <c r="L350" s="12" t="str">
        <f aca="false">IF(OR(A350="",K350=0),"",ROUND(J350/K350*100,2))</f>
        <v/>
      </c>
      <c r="M350" s="3" t="str">
        <f aca="false">IF(A350="","",TEXT(A350,"yyyy-mm"))</f>
        <v/>
      </c>
    </row>
    <row r="351" customFormat="false" ht="15" hidden="false" customHeight="false" outlineLevel="0" collapsed="false">
      <c r="A351" s="17"/>
      <c r="B351" s="9"/>
      <c r="C351" s="9"/>
      <c r="D351" s="10" t="str">
        <f aca="false">IF(B351="","",IFERROR(INDEX(Products!$D$5:$D$54,MATCH(B351,Products!$A$5:$A$54,0)),0))</f>
        <v/>
      </c>
      <c r="E351" s="10" t="str">
        <f aca="false">IF(B351="","",IFERROR(INDEX(Products!$C$5:$C$54,MATCH(B351,Products!$A$5:$A$54,0)),0))</f>
        <v/>
      </c>
      <c r="F351" s="10"/>
      <c r="G351" s="10"/>
      <c r="H351" s="10" t="str">
        <f aca="false">IF(A351="","",Settings!$B$5)</f>
        <v/>
      </c>
      <c r="I351" s="11" t="str">
        <f aca="false">IF(A351="","",ROUND(K351*(Settings!$B$2+Settings!$B$3)/100+Settings!$B$4,2))</f>
        <v/>
      </c>
      <c r="J351" s="11" t="str">
        <f aca="false">IF(A351="","",ROUND(K351-E351*C351-H351-G351-I351,2))</f>
        <v/>
      </c>
      <c r="K351" s="11" t="str">
        <f aca="false">IF(A351="","",D351*C351+F351)</f>
        <v/>
      </c>
      <c r="L351" s="12" t="str">
        <f aca="false">IF(OR(A351="",K351=0),"",ROUND(J351/K351*100,2))</f>
        <v/>
      </c>
      <c r="M351" s="3" t="str">
        <f aca="false">IF(A351="","",TEXT(A351,"yyyy-mm"))</f>
        <v/>
      </c>
    </row>
    <row r="352" customFormat="false" ht="15" hidden="false" customHeight="false" outlineLevel="0" collapsed="false">
      <c r="A352" s="17"/>
      <c r="B352" s="9"/>
      <c r="C352" s="9"/>
      <c r="D352" s="10" t="str">
        <f aca="false">IF(B352="","",IFERROR(INDEX(Products!$D$5:$D$54,MATCH(B352,Products!$A$5:$A$54,0)),0))</f>
        <v/>
      </c>
      <c r="E352" s="10" t="str">
        <f aca="false">IF(B352="","",IFERROR(INDEX(Products!$C$5:$C$54,MATCH(B352,Products!$A$5:$A$54,0)),0))</f>
        <v/>
      </c>
      <c r="F352" s="10"/>
      <c r="G352" s="10"/>
      <c r="H352" s="10" t="str">
        <f aca="false">IF(A352="","",Settings!$B$5)</f>
        <v/>
      </c>
      <c r="I352" s="11" t="str">
        <f aca="false">IF(A352="","",ROUND(K352*(Settings!$B$2+Settings!$B$3)/100+Settings!$B$4,2))</f>
        <v/>
      </c>
      <c r="J352" s="11" t="str">
        <f aca="false">IF(A352="","",ROUND(K352-E352*C352-H352-G352-I352,2))</f>
        <v/>
      </c>
      <c r="K352" s="11" t="str">
        <f aca="false">IF(A352="","",D352*C352+F352)</f>
        <v/>
      </c>
      <c r="L352" s="12" t="str">
        <f aca="false">IF(OR(A352="",K352=0),"",ROUND(J352/K352*100,2))</f>
        <v/>
      </c>
      <c r="M352" s="3" t="str">
        <f aca="false">IF(A352="","",TEXT(A352,"yyyy-mm"))</f>
        <v/>
      </c>
    </row>
    <row r="353" customFormat="false" ht="15" hidden="false" customHeight="false" outlineLevel="0" collapsed="false">
      <c r="A353" s="17"/>
      <c r="B353" s="9"/>
      <c r="C353" s="9"/>
      <c r="D353" s="10" t="str">
        <f aca="false">IF(B353="","",IFERROR(INDEX(Products!$D$5:$D$54,MATCH(B353,Products!$A$5:$A$54,0)),0))</f>
        <v/>
      </c>
      <c r="E353" s="10" t="str">
        <f aca="false">IF(B353="","",IFERROR(INDEX(Products!$C$5:$C$54,MATCH(B353,Products!$A$5:$A$54,0)),0))</f>
        <v/>
      </c>
      <c r="F353" s="10"/>
      <c r="G353" s="10"/>
      <c r="H353" s="10" t="str">
        <f aca="false">IF(A353="","",Settings!$B$5)</f>
        <v/>
      </c>
      <c r="I353" s="11" t="str">
        <f aca="false">IF(A353="","",ROUND(K353*(Settings!$B$2+Settings!$B$3)/100+Settings!$B$4,2))</f>
        <v/>
      </c>
      <c r="J353" s="11" t="str">
        <f aca="false">IF(A353="","",ROUND(K353-E353*C353-H353-G353-I353,2))</f>
        <v/>
      </c>
      <c r="K353" s="11" t="str">
        <f aca="false">IF(A353="","",D353*C353+F353)</f>
        <v/>
      </c>
      <c r="L353" s="12" t="str">
        <f aca="false">IF(OR(A353="",K353=0),"",ROUND(J353/K353*100,2))</f>
        <v/>
      </c>
      <c r="M353" s="3" t="str">
        <f aca="false">IF(A353="","",TEXT(A353,"yyyy-mm"))</f>
        <v/>
      </c>
    </row>
    <row r="354" customFormat="false" ht="15" hidden="false" customHeight="false" outlineLevel="0" collapsed="false">
      <c r="A354" s="17"/>
      <c r="B354" s="9"/>
      <c r="C354" s="9"/>
      <c r="D354" s="10" t="str">
        <f aca="false">IF(B354="","",IFERROR(INDEX(Products!$D$5:$D$54,MATCH(B354,Products!$A$5:$A$54,0)),0))</f>
        <v/>
      </c>
      <c r="E354" s="10" t="str">
        <f aca="false">IF(B354="","",IFERROR(INDEX(Products!$C$5:$C$54,MATCH(B354,Products!$A$5:$A$54,0)),0))</f>
        <v/>
      </c>
      <c r="F354" s="10"/>
      <c r="G354" s="10"/>
      <c r="H354" s="10" t="str">
        <f aca="false">IF(A354="","",Settings!$B$5)</f>
        <v/>
      </c>
      <c r="I354" s="11" t="str">
        <f aca="false">IF(A354="","",ROUND(K354*(Settings!$B$2+Settings!$B$3)/100+Settings!$B$4,2))</f>
        <v/>
      </c>
      <c r="J354" s="11" t="str">
        <f aca="false">IF(A354="","",ROUND(K354-E354*C354-H354-G354-I354,2))</f>
        <v/>
      </c>
      <c r="K354" s="11" t="str">
        <f aca="false">IF(A354="","",D354*C354+F354)</f>
        <v/>
      </c>
      <c r="L354" s="12" t="str">
        <f aca="false">IF(OR(A354="",K354=0),"",ROUND(J354/K354*100,2))</f>
        <v/>
      </c>
      <c r="M354" s="3" t="str">
        <f aca="false">IF(A354="","",TEXT(A354,"yyyy-mm"))</f>
        <v/>
      </c>
    </row>
    <row r="355" customFormat="false" ht="15" hidden="false" customHeight="false" outlineLevel="0" collapsed="false">
      <c r="A355" s="17"/>
      <c r="B355" s="9"/>
      <c r="C355" s="9"/>
      <c r="D355" s="10" t="str">
        <f aca="false">IF(B355="","",IFERROR(INDEX(Products!$D$5:$D$54,MATCH(B355,Products!$A$5:$A$54,0)),0))</f>
        <v/>
      </c>
      <c r="E355" s="10" t="str">
        <f aca="false">IF(B355="","",IFERROR(INDEX(Products!$C$5:$C$54,MATCH(B355,Products!$A$5:$A$54,0)),0))</f>
        <v/>
      </c>
      <c r="F355" s="10"/>
      <c r="G355" s="10"/>
      <c r="H355" s="10" t="str">
        <f aca="false">IF(A355="","",Settings!$B$5)</f>
        <v/>
      </c>
      <c r="I355" s="11" t="str">
        <f aca="false">IF(A355="","",ROUND(K355*(Settings!$B$2+Settings!$B$3)/100+Settings!$B$4,2))</f>
        <v/>
      </c>
      <c r="J355" s="11" t="str">
        <f aca="false">IF(A355="","",ROUND(K355-E355*C355-H355-G355-I355,2))</f>
        <v/>
      </c>
      <c r="K355" s="11" t="str">
        <f aca="false">IF(A355="","",D355*C355+F355)</f>
        <v/>
      </c>
      <c r="L355" s="12" t="str">
        <f aca="false">IF(OR(A355="",K355=0),"",ROUND(J355/K355*100,2))</f>
        <v/>
      </c>
      <c r="M355" s="3" t="str">
        <f aca="false">IF(A355="","",TEXT(A355,"yyyy-mm"))</f>
        <v/>
      </c>
    </row>
    <row r="356" customFormat="false" ht="15" hidden="false" customHeight="false" outlineLevel="0" collapsed="false">
      <c r="A356" s="17"/>
      <c r="B356" s="9"/>
      <c r="C356" s="9"/>
      <c r="D356" s="10" t="str">
        <f aca="false">IF(B356="","",IFERROR(INDEX(Products!$D$5:$D$54,MATCH(B356,Products!$A$5:$A$54,0)),0))</f>
        <v/>
      </c>
      <c r="E356" s="10" t="str">
        <f aca="false">IF(B356="","",IFERROR(INDEX(Products!$C$5:$C$54,MATCH(B356,Products!$A$5:$A$54,0)),0))</f>
        <v/>
      </c>
      <c r="F356" s="10"/>
      <c r="G356" s="10"/>
      <c r="H356" s="10" t="str">
        <f aca="false">IF(A356="","",Settings!$B$5)</f>
        <v/>
      </c>
      <c r="I356" s="11" t="str">
        <f aca="false">IF(A356="","",ROUND(K356*(Settings!$B$2+Settings!$B$3)/100+Settings!$B$4,2))</f>
        <v/>
      </c>
      <c r="J356" s="11" t="str">
        <f aca="false">IF(A356="","",ROUND(K356-E356*C356-H356-G356-I356,2))</f>
        <v/>
      </c>
      <c r="K356" s="11" t="str">
        <f aca="false">IF(A356="","",D356*C356+F356)</f>
        <v/>
      </c>
      <c r="L356" s="12" t="str">
        <f aca="false">IF(OR(A356="",K356=0),"",ROUND(J356/K356*100,2))</f>
        <v/>
      </c>
      <c r="M356" s="3" t="str">
        <f aca="false">IF(A356="","",TEXT(A356,"yyyy-mm"))</f>
        <v/>
      </c>
    </row>
    <row r="357" customFormat="false" ht="15" hidden="false" customHeight="false" outlineLevel="0" collapsed="false">
      <c r="A357" s="17"/>
      <c r="B357" s="9"/>
      <c r="C357" s="9"/>
      <c r="D357" s="10" t="str">
        <f aca="false">IF(B357="","",IFERROR(INDEX(Products!$D$5:$D$54,MATCH(B357,Products!$A$5:$A$54,0)),0))</f>
        <v/>
      </c>
      <c r="E357" s="10" t="str">
        <f aca="false">IF(B357="","",IFERROR(INDEX(Products!$C$5:$C$54,MATCH(B357,Products!$A$5:$A$54,0)),0))</f>
        <v/>
      </c>
      <c r="F357" s="10"/>
      <c r="G357" s="10"/>
      <c r="H357" s="10" t="str">
        <f aca="false">IF(A357="","",Settings!$B$5)</f>
        <v/>
      </c>
      <c r="I357" s="11" t="str">
        <f aca="false">IF(A357="","",ROUND(K357*(Settings!$B$2+Settings!$B$3)/100+Settings!$B$4,2))</f>
        <v/>
      </c>
      <c r="J357" s="11" t="str">
        <f aca="false">IF(A357="","",ROUND(K357-E357*C357-H357-G357-I357,2))</f>
        <v/>
      </c>
      <c r="K357" s="11" t="str">
        <f aca="false">IF(A357="","",D357*C357+F357)</f>
        <v/>
      </c>
      <c r="L357" s="12" t="str">
        <f aca="false">IF(OR(A357="",K357=0),"",ROUND(J357/K357*100,2))</f>
        <v/>
      </c>
      <c r="M357" s="3" t="str">
        <f aca="false">IF(A357="","",TEXT(A357,"yyyy-mm"))</f>
        <v/>
      </c>
    </row>
    <row r="358" customFormat="false" ht="15" hidden="false" customHeight="false" outlineLevel="0" collapsed="false">
      <c r="A358" s="17"/>
      <c r="B358" s="9"/>
      <c r="C358" s="9"/>
      <c r="D358" s="10" t="str">
        <f aca="false">IF(B358="","",IFERROR(INDEX(Products!$D$5:$D$54,MATCH(B358,Products!$A$5:$A$54,0)),0))</f>
        <v/>
      </c>
      <c r="E358" s="10" t="str">
        <f aca="false">IF(B358="","",IFERROR(INDEX(Products!$C$5:$C$54,MATCH(B358,Products!$A$5:$A$54,0)),0))</f>
        <v/>
      </c>
      <c r="F358" s="10"/>
      <c r="G358" s="10"/>
      <c r="H358" s="10" t="str">
        <f aca="false">IF(A358="","",Settings!$B$5)</f>
        <v/>
      </c>
      <c r="I358" s="11" t="str">
        <f aca="false">IF(A358="","",ROUND(K358*(Settings!$B$2+Settings!$B$3)/100+Settings!$B$4,2))</f>
        <v/>
      </c>
      <c r="J358" s="11" t="str">
        <f aca="false">IF(A358="","",ROUND(K358-E358*C358-H358-G358-I358,2))</f>
        <v/>
      </c>
      <c r="K358" s="11" t="str">
        <f aca="false">IF(A358="","",D358*C358+F358)</f>
        <v/>
      </c>
      <c r="L358" s="12" t="str">
        <f aca="false">IF(OR(A358="",K358=0),"",ROUND(J358/K358*100,2))</f>
        <v/>
      </c>
      <c r="M358" s="3" t="str">
        <f aca="false">IF(A358="","",TEXT(A358,"yyyy-mm"))</f>
        <v/>
      </c>
    </row>
    <row r="359" customFormat="false" ht="15" hidden="false" customHeight="false" outlineLevel="0" collapsed="false">
      <c r="A359" s="17"/>
      <c r="B359" s="9"/>
      <c r="C359" s="9"/>
      <c r="D359" s="10" t="str">
        <f aca="false">IF(B359="","",IFERROR(INDEX(Products!$D$5:$D$54,MATCH(B359,Products!$A$5:$A$54,0)),0))</f>
        <v/>
      </c>
      <c r="E359" s="10" t="str">
        <f aca="false">IF(B359="","",IFERROR(INDEX(Products!$C$5:$C$54,MATCH(B359,Products!$A$5:$A$54,0)),0))</f>
        <v/>
      </c>
      <c r="F359" s="10"/>
      <c r="G359" s="10"/>
      <c r="H359" s="10" t="str">
        <f aca="false">IF(A359="","",Settings!$B$5)</f>
        <v/>
      </c>
      <c r="I359" s="11" t="str">
        <f aca="false">IF(A359="","",ROUND(K359*(Settings!$B$2+Settings!$B$3)/100+Settings!$B$4,2))</f>
        <v/>
      </c>
      <c r="J359" s="11" t="str">
        <f aca="false">IF(A359="","",ROUND(K359-E359*C359-H359-G359-I359,2))</f>
        <v/>
      </c>
      <c r="K359" s="11" t="str">
        <f aca="false">IF(A359="","",D359*C359+F359)</f>
        <v/>
      </c>
      <c r="L359" s="12" t="str">
        <f aca="false">IF(OR(A359="",K359=0),"",ROUND(J359/K359*100,2))</f>
        <v/>
      </c>
      <c r="M359" s="3" t="str">
        <f aca="false">IF(A359="","",TEXT(A359,"yyyy-mm"))</f>
        <v/>
      </c>
    </row>
    <row r="360" customFormat="false" ht="15" hidden="false" customHeight="false" outlineLevel="0" collapsed="false">
      <c r="A360" s="17"/>
      <c r="B360" s="9"/>
      <c r="C360" s="9"/>
      <c r="D360" s="10" t="str">
        <f aca="false">IF(B360="","",IFERROR(INDEX(Products!$D$5:$D$54,MATCH(B360,Products!$A$5:$A$54,0)),0))</f>
        <v/>
      </c>
      <c r="E360" s="10" t="str">
        <f aca="false">IF(B360="","",IFERROR(INDEX(Products!$C$5:$C$54,MATCH(B360,Products!$A$5:$A$54,0)),0))</f>
        <v/>
      </c>
      <c r="F360" s="10"/>
      <c r="G360" s="10"/>
      <c r="H360" s="10" t="str">
        <f aca="false">IF(A360="","",Settings!$B$5)</f>
        <v/>
      </c>
      <c r="I360" s="11" t="str">
        <f aca="false">IF(A360="","",ROUND(K360*(Settings!$B$2+Settings!$B$3)/100+Settings!$B$4,2))</f>
        <v/>
      </c>
      <c r="J360" s="11" t="str">
        <f aca="false">IF(A360="","",ROUND(K360-E360*C360-H360-G360-I360,2))</f>
        <v/>
      </c>
      <c r="K360" s="11" t="str">
        <f aca="false">IF(A360="","",D360*C360+F360)</f>
        <v/>
      </c>
      <c r="L360" s="12" t="str">
        <f aca="false">IF(OR(A360="",K360=0),"",ROUND(J360/K360*100,2))</f>
        <v/>
      </c>
      <c r="M360" s="3" t="str">
        <f aca="false">IF(A360="","",TEXT(A360,"yyyy-mm"))</f>
        <v/>
      </c>
    </row>
    <row r="361" customFormat="false" ht="15" hidden="false" customHeight="false" outlineLevel="0" collapsed="false">
      <c r="A361" s="17"/>
      <c r="B361" s="9"/>
      <c r="C361" s="9"/>
      <c r="D361" s="10" t="str">
        <f aca="false">IF(B361="","",IFERROR(INDEX(Products!$D$5:$D$54,MATCH(B361,Products!$A$5:$A$54,0)),0))</f>
        <v/>
      </c>
      <c r="E361" s="10" t="str">
        <f aca="false">IF(B361="","",IFERROR(INDEX(Products!$C$5:$C$54,MATCH(B361,Products!$A$5:$A$54,0)),0))</f>
        <v/>
      </c>
      <c r="F361" s="10"/>
      <c r="G361" s="10"/>
      <c r="H361" s="10" t="str">
        <f aca="false">IF(A361="","",Settings!$B$5)</f>
        <v/>
      </c>
      <c r="I361" s="11" t="str">
        <f aca="false">IF(A361="","",ROUND(K361*(Settings!$B$2+Settings!$B$3)/100+Settings!$B$4,2))</f>
        <v/>
      </c>
      <c r="J361" s="11" t="str">
        <f aca="false">IF(A361="","",ROUND(K361-E361*C361-H361-G361-I361,2))</f>
        <v/>
      </c>
      <c r="K361" s="11" t="str">
        <f aca="false">IF(A361="","",D361*C361+F361)</f>
        <v/>
      </c>
      <c r="L361" s="12" t="str">
        <f aca="false">IF(OR(A361="",K361=0),"",ROUND(J361/K361*100,2))</f>
        <v/>
      </c>
      <c r="M361" s="3" t="str">
        <f aca="false">IF(A361="","",TEXT(A361,"yyyy-mm"))</f>
        <v/>
      </c>
    </row>
    <row r="362" customFormat="false" ht="15" hidden="false" customHeight="false" outlineLevel="0" collapsed="false">
      <c r="A362" s="17"/>
      <c r="B362" s="9"/>
      <c r="C362" s="9"/>
      <c r="D362" s="10" t="str">
        <f aca="false">IF(B362="","",IFERROR(INDEX(Products!$D$5:$D$54,MATCH(B362,Products!$A$5:$A$54,0)),0))</f>
        <v/>
      </c>
      <c r="E362" s="10" t="str">
        <f aca="false">IF(B362="","",IFERROR(INDEX(Products!$C$5:$C$54,MATCH(B362,Products!$A$5:$A$54,0)),0))</f>
        <v/>
      </c>
      <c r="F362" s="10"/>
      <c r="G362" s="10"/>
      <c r="H362" s="10" t="str">
        <f aca="false">IF(A362="","",Settings!$B$5)</f>
        <v/>
      </c>
      <c r="I362" s="11" t="str">
        <f aca="false">IF(A362="","",ROUND(K362*(Settings!$B$2+Settings!$B$3)/100+Settings!$B$4,2))</f>
        <v/>
      </c>
      <c r="J362" s="11" t="str">
        <f aca="false">IF(A362="","",ROUND(K362-E362*C362-H362-G362-I362,2))</f>
        <v/>
      </c>
      <c r="K362" s="11" t="str">
        <f aca="false">IF(A362="","",D362*C362+F362)</f>
        <v/>
      </c>
      <c r="L362" s="12" t="str">
        <f aca="false">IF(OR(A362="",K362=0),"",ROUND(J362/K362*100,2))</f>
        <v/>
      </c>
      <c r="M362" s="3" t="str">
        <f aca="false">IF(A362="","",TEXT(A362,"yyyy-mm"))</f>
        <v/>
      </c>
    </row>
    <row r="363" customFormat="false" ht="15" hidden="false" customHeight="false" outlineLevel="0" collapsed="false">
      <c r="A363" s="17"/>
      <c r="B363" s="9"/>
      <c r="C363" s="9"/>
      <c r="D363" s="10" t="str">
        <f aca="false">IF(B363="","",IFERROR(INDEX(Products!$D$5:$D$54,MATCH(B363,Products!$A$5:$A$54,0)),0))</f>
        <v/>
      </c>
      <c r="E363" s="10" t="str">
        <f aca="false">IF(B363="","",IFERROR(INDEX(Products!$C$5:$C$54,MATCH(B363,Products!$A$5:$A$54,0)),0))</f>
        <v/>
      </c>
      <c r="F363" s="10"/>
      <c r="G363" s="10"/>
      <c r="H363" s="10" t="str">
        <f aca="false">IF(A363="","",Settings!$B$5)</f>
        <v/>
      </c>
      <c r="I363" s="11" t="str">
        <f aca="false">IF(A363="","",ROUND(K363*(Settings!$B$2+Settings!$B$3)/100+Settings!$B$4,2))</f>
        <v/>
      </c>
      <c r="J363" s="11" t="str">
        <f aca="false">IF(A363="","",ROUND(K363-E363*C363-H363-G363-I363,2))</f>
        <v/>
      </c>
      <c r="K363" s="11" t="str">
        <f aca="false">IF(A363="","",D363*C363+F363)</f>
        <v/>
      </c>
      <c r="L363" s="12" t="str">
        <f aca="false">IF(OR(A363="",K363=0),"",ROUND(J363/K363*100,2))</f>
        <v/>
      </c>
      <c r="M363" s="3" t="str">
        <f aca="false">IF(A363="","",TEXT(A363,"yyyy-mm"))</f>
        <v/>
      </c>
    </row>
    <row r="364" customFormat="false" ht="15" hidden="false" customHeight="false" outlineLevel="0" collapsed="false">
      <c r="A364" s="17"/>
      <c r="B364" s="9"/>
      <c r="C364" s="9"/>
      <c r="D364" s="10" t="str">
        <f aca="false">IF(B364="","",IFERROR(INDEX(Products!$D$5:$D$54,MATCH(B364,Products!$A$5:$A$54,0)),0))</f>
        <v/>
      </c>
      <c r="E364" s="10" t="str">
        <f aca="false">IF(B364="","",IFERROR(INDEX(Products!$C$5:$C$54,MATCH(B364,Products!$A$5:$A$54,0)),0))</f>
        <v/>
      </c>
      <c r="F364" s="10"/>
      <c r="G364" s="10"/>
      <c r="H364" s="10" t="str">
        <f aca="false">IF(A364="","",Settings!$B$5)</f>
        <v/>
      </c>
      <c r="I364" s="11" t="str">
        <f aca="false">IF(A364="","",ROUND(K364*(Settings!$B$2+Settings!$B$3)/100+Settings!$B$4,2))</f>
        <v/>
      </c>
      <c r="J364" s="11" t="str">
        <f aca="false">IF(A364="","",ROUND(K364-E364*C364-H364-G364-I364,2))</f>
        <v/>
      </c>
      <c r="K364" s="11" t="str">
        <f aca="false">IF(A364="","",D364*C364+F364)</f>
        <v/>
      </c>
      <c r="L364" s="12" t="str">
        <f aca="false">IF(OR(A364="",K364=0),"",ROUND(J364/K364*100,2))</f>
        <v/>
      </c>
      <c r="M364" s="3" t="str">
        <f aca="false">IF(A364="","",TEXT(A364,"yyyy-mm"))</f>
        <v/>
      </c>
    </row>
    <row r="365" customFormat="false" ht="15" hidden="false" customHeight="false" outlineLevel="0" collapsed="false">
      <c r="A365" s="17"/>
      <c r="B365" s="9"/>
      <c r="C365" s="9"/>
      <c r="D365" s="10" t="str">
        <f aca="false">IF(B365="","",IFERROR(INDEX(Products!$D$5:$D$54,MATCH(B365,Products!$A$5:$A$54,0)),0))</f>
        <v/>
      </c>
      <c r="E365" s="10" t="str">
        <f aca="false">IF(B365="","",IFERROR(INDEX(Products!$C$5:$C$54,MATCH(B365,Products!$A$5:$A$54,0)),0))</f>
        <v/>
      </c>
      <c r="F365" s="10"/>
      <c r="G365" s="10"/>
      <c r="H365" s="10" t="str">
        <f aca="false">IF(A365="","",Settings!$B$5)</f>
        <v/>
      </c>
      <c r="I365" s="11" t="str">
        <f aca="false">IF(A365="","",ROUND(K365*(Settings!$B$2+Settings!$B$3)/100+Settings!$B$4,2))</f>
        <v/>
      </c>
      <c r="J365" s="11" t="str">
        <f aca="false">IF(A365="","",ROUND(K365-E365*C365-H365-G365-I365,2))</f>
        <v/>
      </c>
      <c r="K365" s="11" t="str">
        <f aca="false">IF(A365="","",D365*C365+F365)</f>
        <v/>
      </c>
      <c r="L365" s="12" t="str">
        <f aca="false">IF(OR(A365="",K365=0),"",ROUND(J365/K365*100,2))</f>
        <v/>
      </c>
      <c r="M365" s="3" t="str">
        <f aca="false">IF(A365="","",TEXT(A365,"yyyy-mm"))</f>
        <v/>
      </c>
    </row>
    <row r="366" customFormat="false" ht="15" hidden="false" customHeight="false" outlineLevel="0" collapsed="false">
      <c r="A366" s="17"/>
      <c r="B366" s="9"/>
      <c r="C366" s="9"/>
      <c r="D366" s="10" t="str">
        <f aca="false">IF(B366="","",IFERROR(INDEX(Products!$D$5:$D$54,MATCH(B366,Products!$A$5:$A$54,0)),0))</f>
        <v/>
      </c>
      <c r="E366" s="10" t="str">
        <f aca="false">IF(B366="","",IFERROR(INDEX(Products!$C$5:$C$54,MATCH(B366,Products!$A$5:$A$54,0)),0))</f>
        <v/>
      </c>
      <c r="F366" s="10"/>
      <c r="G366" s="10"/>
      <c r="H366" s="10" t="str">
        <f aca="false">IF(A366="","",Settings!$B$5)</f>
        <v/>
      </c>
      <c r="I366" s="11" t="str">
        <f aca="false">IF(A366="","",ROUND(K366*(Settings!$B$2+Settings!$B$3)/100+Settings!$B$4,2))</f>
        <v/>
      </c>
      <c r="J366" s="11" t="str">
        <f aca="false">IF(A366="","",ROUND(K366-E366*C366-H366-G366-I366,2))</f>
        <v/>
      </c>
      <c r="K366" s="11" t="str">
        <f aca="false">IF(A366="","",D366*C366+F366)</f>
        <v/>
      </c>
      <c r="L366" s="12" t="str">
        <f aca="false">IF(OR(A366="",K366=0),"",ROUND(J366/K366*100,2))</f>
        <v/>
      </c>
      <c r="M366" s="3" t="str">
        <f aca="false">IF(A366="","",TEXT(A366,"yyyy-mm"))</f>
        <v/>
      </c>
    </row>
    <row r="367" customFormat="false" ht="15" hidden="false" customHeight="false" outlineLevel="0" collapsed="false">
      <c r="A367" s="17"/>
      <c r="B367" s="9"/>
      <c r="C367" s="9"/>
      <c r="D367" s="10" t="str">
        <f aca="false">IF(B367="","",IFERROR(INDEX(Products!$D$5:$D$54,MATCH(B367,Products!$A$5:$A$54,0)),0))</f>
        <v/>
      </c>
      <c r="E367" s="10" t="str">
        <f aca="false">IF(B367="","",IFERROR(INDEX(Products!$C$5:$C$54,MATCH(B367,Products!$A$5:$A$54,0)),0))</f>
        <v/>
      </c>
      <c r="F367" s="10"/>
      <c r="G367" s="10"/>
      <c r="H367" s="10" t="str">
        <f aca="false">IF(A367="","",Settings!$B$5)</f>
        <v/>
      </c>
      <c r="I367" s="11" t="str">
        <f aca="false">IF(A367="","",ROUND(K367*(Settings!$B$2+Settings!$B$3)/100+Settings!$B$4,2))</f>
        <v/>
      </c>
      <c r="J367" s="11" t="str">
        <f aca="false">IF(A367="","",ROUND(K367-E367*C367-H367-G367-I367,2))</f>
        <v/>
      </c>
      <c r="K367" s="11" t="str">
        <f aca="false">IF(A367="","",D367*C367+F367)</f>
        <v/>
      </c>
      <c r="L367" s="12" t="str">
        <f aca="false">IF(OR(A367="",K367=0),"",ROUND(J367/K367*100,2))</f>
        <v/>
      </c>
      <c r="M367" s="3" t="str">
        <f aca="false">IF(A367="","",TEXT(A367,"yyyy-mm"))</f>
        <v/>
      </c>
    </row>
    <row r="368" customFormat="false" ht="15" hidden="false" customHeight="false" outlineLevel="0" collapsed="false">
      <c r="A368" s="17"/>
      <c r="B368" s="9"/>
      <c r="C368" s="9"/>
      <c r="D368" s="10" t="str">
        <f aca="false">IF(B368="","",IFERROR(INDEX(Products!$D$5:$D$54,MATCH(B368,Products!$A$5:$A$54,0)),0))</f>
        <v/>
      </c>
      <c r="E368" s="10" t="str">
        <f aca="false">IF(B368="","",IFERROR(INDEX(Products!$C$5:$C$54,MATCH(B368,Products!$A$5:$A$54,0)),0))</f>
        <v/>
      </c>
      <c r="F368" s="10"/>
      <c r="G368" s="10"/>
      <c r="H368" s="10" t="str">
        <f aca="false">IF(A368="","",Settings!$B$5)</f>
        <v/>
      </c>
      <c r="I368" s="11" t="str">
        <f aca="false">IF(A368="","",ROUND(K368*(Settings!$B$2+Settings!$B$3)/100+Settings!$B$4,2))</f>
        <v/>
      </c>
      <c r="J368" s="11" t="str">
        <f aca="false">IF(A368="","",ROUND(K368-E368*C368-H368-G368-I368,2))</f>
        <v/>
      </c>
      <c r="K368" s="11" t="str">
        <f aca="false">IF(A368="","",D368*C368+F368)</f>
        <v/>
      </c>
      <c r="L368" s="12" t="str">
        <f aca="false">IF(OR(A368="",K368=0),"",ROUND(J368/K368*100,2))</f>
        <v/>
      </c>
      <c r="M368" s="3" t="str">
        <f aca="false">IF(A368="","",TEXT(A368,"yyyy-mm"))</f>
        <v/>
      </c>
    </row>
    <row r="369" customFormat="false" ht="15" hidden="false" customHeight="false" outlineLevel="0" collapsed="false">
      <c r="A369" s="17"/>
      <c r="B369" s="9"/>
      <c r="C369" s="9"/>
      <c r="D369" s="10" t="str">
        <f aca="false">IF(B369="","",IFERROR(INDEX(Products!$D$5:$D$54,MATCH(B369,Products!$A$5:$A$54,0)),0))</f>
        <v/>
      </c>
      <c r="E369" s="10" t="str">
        <f aca="false">IF(B369="","",IFERROR(INDEX(Products!$C$5:$C$54,MATCH(B369,Products!$A$5:$A$54,0)),0))</f>
        <v/>
      </c>
      <c r="F369" s="10"/>
      <c r="G369" s="10"/>
      <c r="H369" s="10" t="str">
        <f aca="false">IF(A369="","",Settings!$B$5)</f>
        <v/>
      </c>
      <c r="I369" s="11" t="str">
        <f aca="false">IF(A369="","",ROUND(K369*(Settings!$B$2+Settings!$B$3)/100+Settings!$B$4,2))</f>
        <v/>
      </c>
      <c r="J369" s="11" t="str">
        <f aca="false">IF(A369="","",ROUND(K369-E369*C369-H369-G369-I369,2))</f>
        <v/>
      </c>
      <c r="K369" s="11" t="str">
        <f aca="false">IF(A369="","",D369*C369+F369)</f>
        <v/>
      </c>
      <c r="L369" s="12" t="str">
        <f aca="false">IF(OR(A369="",K369=0),"",ROUND(J369/K369*100,2))</f>
        <v/>
      </c>
      <c r="M369" s="3" t="str">
        <f aca="false">IF(A369="","",TEXT(A369,"yyyy-mm"))</f>
        <v/>
      </c>
    </row>
    <row r="370" customFormat="false" ht="15" hidden="false" customHeight="false" outlineLevel="0" collapsed="false">
      <c r="A370" s="17"/>
      <c r="B370" s="9"/>
      <c r="C370" s="9"/>
      <c r="D370" s="10" t="str">
        <f aca="false">IF(B370="","",IFERROR(INDEX(Products!$D$5:$D$54,MATCH(B370,Products!$A$5:$A$54,0)),0))</f>
        <v/>
      </c>
      <c r="E370" s="10" t="str">
        <f aca="false">IF(B370="","",IFERROR(INDEX(Products!$C$5:$C$54,MATCH(B370,Products!$A$5:$A$54,0)),0))</f>
        <v/>
      </c>
      <c r="F370" s="10"/>
      <c r="G370" s="10"/>
      <c r="H370" s="10" t="str">
        <f aca="false">IF(A370="","",Settings!$B$5)</f>
        <v/>
      </c>
      <c r="I370" s="11" t="str">
        <f aca="false">IF(A370="","",ROUND(K370*(Settings!$B$2+Settings!$B$3)/100+Settings!$B$4,2))</f>
        <v/>
      </c>
      <c r="J370" s="11" t="str">
        <f aca="false">IF(A370="","",ROUND(K370-E370*C370-H370-G370-I370,2))</f>
        <v/>
      </c>
      <c r="K370" s="11" t="str">
        <f aca="false">IF(A370="","",D370*C370+F370)</f>
        <v/>
      </c>
      <c r="L370" s="12" t="str">
        <f aca="false">IF(OR(A370="",K370=0),"",ROUND(J370/K370*100,2))</f>
        <v/>
      </c>
      <c r="M370" s="3" t="str">
        <f aca="false">IF(A370="","",TEXT(A370,"yyyy-mm"))</f>
        <v/>
      </c>
    </row>
    <row r="371" customFormat="false" ht="15" hidden="false" customHeight="false" outlineLevel="0" collapsed="false">
      <c r="A371" s="17"/>
      <c r="B371" s="9"/>
      <c r="C371" s="9"/>
      <c r="D371" s="10" t="str">
        <f aca="false">IF(B371="","",IFERROR(INDEX(Products!$D$5:$D$54,MATCH(B371,Products!$A$5:$A$54,0)),0))</f>
        <v/>
      </c>
      <c r="E371" s="10" t="str">
        <f aca="false">IF(B371="","",IFERROR(INDEX(Products!$C$5:$C$54,MATCH(B371,Products!$A$5:$A$54,0)),0))</f>
        <v/>
      </c>
      <c r="F371" s="10"/>
      <c r="G371" s="10"/>
      <c r="H371" s="10" t="str">
        <f aca="false">IF(A371="","",Settings!$B$5)</f>
        <v/>
      </c>
      <c r="I371" s="11" t="str">
        <f aca="false">IF(A371="","",ROUND(K371*(Settings!$B$2+Settings!$B$3)/100+Settings!$B$4,2))</f>
        <v/>
      </c>
      <c r="J371" s="11" t="str">
        <f aca="false">IF(A371="","",ROUND(K371-E371*C371-H371-G371-I371,2))</f>
        <v/>
      </c>
      <c r="K371" s="11" t="str">
        <f aca="false">IF(A371="","",D371*C371+F371)</f>
        <v/>
      </c>
      <c r="L371" s="12" t="str">
        <f aca="false">IF(OR(A371="",K371=0),"",ROUND(J371/K371*100,2))</f>
        <v/>
      </c>
      <c r="M371" s="3" t="str">
        <f aca="false">IF(A371="","",TEXT(A371,"yyyy-mm"))</f>
        <v/>
      </c>
    </row>
    <row r="372" customFormat="false" ht="15" hidden="false" customHeight="false" outlineLevel="0" collapsed="false">
      <c r="A372" s="17"/>
      <c r="B372" s="9"/>
      <c r="C372" s="9"/>
      <c r="D372" s="10" t="str">
        <f aca="false">IF(B372="","",IFERROR(INDEX(Products!$D$5:$D$54,MATCH(B372,Products!$A$5:$A$54,0)),0))</f>
        <v/>
      </c>
      <c r="E372" s="10" t="str">
        <f aca="false">IF(B372="","",IFERROR(INDEX(Products!$C$5:$C$54,MATCH(B372,Products!$A$5:$A$54,0)),0))</f>
        <v/>
      </c>
      <c r="F372" s="10"/>
      <c r="G372" s="10"/>
      <c r="H372" s="10" t="str">
        <f aca="false">IF(A372="","",Settings!$B$5)</f>
        <v/>
      </c>
      <c r="I372" s="11" t="str">
        <f aca="false">IF(A372="","",ROUND(K372*(Settings!$B$2+Settings!$B$3)/100+Settings!$B$4,2))</f>
        <v/>
      </c>
      <c r="J372" s="11" t="str">
        <f aca="false">IF(A372="","",ROUND(K372-E372*C372-H372-G372-I372,2))</f>
        <v/>
      </c>
      <c r="K372" s="11" t="str">
        <f aca="false">IF(A372="","",D372*C372+F372)</f>
        <v/>
      </c>
      <c r="L372" s="12" t="str">
        <f aca="false">IF(OR(A372="",K372=0),"",ROUND(J372/K372*100,2))</f>
        <v/>
      </c>
      <c r="M372" s="3" t="str">
        <f aca="false">IF(A372="","",TEXT(A372,"yyyy-mm"))</f>
        <v/>
      </c>
    </row>
    <row r="373" customFormat="false" ht="15" hidden="false" customHeight="false" outlineLevel="0" collapsed="false">
      <c r="A373" s="17"/>
      <c r="B373" s="9"/>
      <c r="C373" s="9"/>
      <c r="D373" s="10" t="str">
        <f aca="false">IF(B373="","",IFERROR(INDEX(Products!$D$5:$D$54,MATCH(B373,Products!$A$5:$A$54,0)),0))</f>
        <v/>
      </c>
      <c r="E373" s="10" t="str">
        <f aca="false">IF(B373="","",IFERROR(INDEX(Products!$C$5:$C$54,MATCH(B373,Products!$A$5:$A$54,0)),0))</f>
        <v/>
      </c>
      <c r="F373" s="10"/>
      <c r="G373" s="10"/>
      <c r="H373" s="10" t="str">
        <f aca="false">IF(A373="","",Settings!$B$5)</f>
        <v/>
      </c>
      <c r="I373" s="11" t="str">
        <f aca="false">IF(A373="","",ROUND(K373*(Settings!$B$2+Settings!$B$3)/100+Settings!$B$4,2))</f>
        <v/>
      </c>
      <c r="J373" s="11" t="str">
        <f aca="false">IF(A373="","",ROUND(K373-E373*C373-H373-G373-I373,2))</f>
        <v/>
      </c>
      <c r="K373" s="11" t="str">
        <f aca="false">IF(A373="","",D373*C373+F373)</f>
        <v/>
      </c>
      <c r="L373" s="12" t="str">
        <f aca="false">IF(OR(A373="",K373=0),"",ROUND(J373/K373*100,2))</f>
        <v/>
      </c>
      <c r="M373" s="3" t="str">
        <f aca="false">IF(A373="","",TEXT(A373,"yyyy-mm"))</f>
        <v/>
      </c>
    </row>
    <row r="374" customFormat="false" ht="15" hidden="false" customHeight="false" outlineLevel="0" collapsed="false">
      <c r="A374" s="17"/>
      <c r="B374" s="9"/>
      <c r="C374" s="9"/>
      <c r="D374" s="10" t="str">
        <f aca="false">IF(B374="","",IFERROR(INDEX(Products!$D$5:$D$54,MATCH(B374,Products!$A$5:$A$54,0)),0))</f>
        <v/>
      </c>
      <c r="E374" s="10" t="str">
        <f aca="false">IF(B374="","",IFERROR(INDEX(Products!$C$5:$C$54,MATCH(B374,Products!$A$5:$A$54,0)),0))</f>
        <v/>
      </c>
      <c r="F374" s="10"/>
      <c r="G374" s="10"/>
      <c r="H374" s="10" t="str">
        <f aca="false">IF(A374="","",Settings!$B$5)</f>
        <v/>
      </c>
      <c r="I374" s="11" t="str">
        <f aca="false">IF(A374="","",ROUND(K374*(Settings!$B$2+Settings!$B$3)/100+Settings!$B$4,2))</f>
        <v/>
      </c>
      <c r="J374" s="11" t="str">
        <f aca="false">IF(A374="","",ROUND(K374-E374*C374-H374-G374-I374,2))</f>
        <v/>
      </c>
      <c r="K374" s="11" t="str">
        <f aca="false">IF(A374="","",D374*C374+F374)</f>
        <v/>
      </c>
      <c r="L374" s="12" t="str">
        <f aca="false">IF(OR(A374="",K374=0),"",ROUND(J374/K374*100,2))</f>
        <v/>
      </c>
      <c r="M374" s="3" t="str">
        <f aca="false">IF(A374="","",TEXT(A374,"yyyy-mm"))</f>
        <v/>
      </c>
    </row>
    <row r="375" customFormat="false" ht="15" hidden="false" customHeight="false" outlineLevel="0" collapsed="false">
      <c r="A375" s="17"/>
      <c r="B375" s="9"/>
      <c r="C375" s="9"/>
      <c r="D375" s="10" t="str">
        <f aca="false">IF(B375="","",IFERROR(INDEX(Products!$D$5:$D$54,MATCH(B375,Products!$A$5:$A$54,0)),0))</f>
        <v/>
      </c>
      <c r="E375" s="10" t="str">
        <f aca="false">IF(B375="","",IFERROR(INDEX(Products!$C$5:$C$54,MATCH(B375,Products!$A$5:$A$54,0)),0))</f>
        <v/>
      </c>
      <c r="F375" s="10"/>
      <c r="G375" s="10"/>
      <c r="H375" s="10" t="str">
        <f aca="false">IF(A375="","",Settings!$B$5)</f>
        <v/>
      </c>
      <c r="I375" s="11" t="str">
        <f aca="false">IF(A375="","",ROUND(K375*(Settings!$B$2+Settings!$B$3)/100+Settings!$B$4,2))</f>
        <v/>
      </c>
      <c r="J375" s="11" t="str">
        <f aca="false">IF(A375="","",ROUND(K375-E375*C375-H375-G375-I375,2))</f>
        <v/>
      </c>
      <c r="K375" s="11" t="str">
        <f aca="false">IF(A375="","",D375*C375+F375)</f>
        <v/>
      </c>
      <c r="L375" s="12" t="str">
        <f aca="false">IF(OR(A375="",K375=0),"",ROUND(J375/K375*100,2))</f>
        <v/>
      </c>
      <c r="M375" s="3" t="str">
        <f aca="false">IF(A375="","",TEXT(A375,"yyyy-mm"))</f>
        <v/>
      </c>
    </row>
    <row r="376" customFormat="false" ht="15" hidden="false" customHeight="false" outlineLevel="0" collapsed="false">
      <c r="A376" s="17"/>
      <c r="B376" s="9"/>
      <c r="C376" s="9"/>
      <c r="D376" s="10" t="str">
        <f aca="false">IF(B376="","",IFERROR(INDEX(Products!$D$5:$D$54,MATCH(B376,Products!$A$5:$A$54,0)),0))</f>
        <v/>
      </c>
      <c r="E376" s="10" t="str">
        <f aca="false">IF(B376="","",IFERROR(INDEX(Products!$C$5:$C$54,MATCH(B376,Products!$A$5:$A$54,0)),0))</f>
        <v/>
      </c>
      <c r="F376" s="10"/>
      <c r="G376" s="10"/>
      <c r="H376" s="10" t="str">
        <f aca="false">IF(A376="","",Settings!$B$5)</f>
        <v/>
      </c>
      <c r="I376" s="11" t="str">
        <f aca="false">IF(A376="","",ROUND(K376*(Settings!$B$2+Settings!$B$3)/100+Settings!$B$4,2))</f>
        <v/>
      </c>
      <c r="J376" s="11" t="str">
        <f aca="false">IF(A376="","",ROUND(K376-E376*C376-H376-G376-I376,2))</f>
        <v/>
      </c>
      <c r="K376" s="11" t="str">
        <f aca="false">IF(A376="","",D376*C376+F376)</f>
        <v/>
      </c>
      <c r="L376" s="12" t="str">
        <f aca="false">IF(OR(A376="",K376=0),"",ROUND(J376/K376*100,2))</f>
        <v/>
      </c>
      <c r="M376" s="3" t="str">
        <f aca="false">IF(A376="","",TEXT(A376,"yyyy-mm"))</f>
        <v/>
      </c>
    </row>
    <row r="377" customFormat="false" ht="15" hidden="false" customHeight="false" outlineLevel="0" collapsed="false">
      <c r="A377" s="17"/>
      <c r="B377" s="9"/>
      <c r="C377" s="9"/>
      <c r="D377" s="10" t="str">
        <f aca="false">IF(B377="","",IFERROR(INDEX(Products!$D$5:$D$54,MATCH(B377,Products!$A$5:$A$54,0)),0))</f>
        <v/>
      </c>
      <c r="E377" s="10" t="str">
        <f aca="false">IF(B377="","",IFERROR(INDEX(Products!$C$5:$C$54,MATCH(B377,Products!$A$5:$A$54,0)),0))</f>
        <v/>
      </c>
      <c r="F377" s="10"/>
      <c r="G377" s="10"/>
      <c r="H377" s="10" t="str">
        <f aca="false">IF(A377="","",Settings!$B$5)</f>
        <v/>
      </c>
      <c r="I377" s="11" t="str">
        <f aca="false">IF(A377="","",ROUND(K377*(Settings!$B$2+Settings!$B$3)/100+Settings!$B$4,2))</f>
        <v/>
      </c>
      <c r="J377" s="11" t="str">
        <f aca="false">IF(A377="","",ROUND(K377-E377*C377-H377-G377-I377,2))</f>
        <v/>
      </c>
      <c r="K377" s="11" t="str">
        <f aca="false">IF(A377="","",D377*C377+F377)</f>
        <v/>
      </c>
      <c r="L377" s="12" t="str">
        <f aca="false">IF(OR(A377="",K377=0),"",ROUND(J377/K377*100,2))</f>
        <v/>
      </c>
      <c r="M377" s="3" t="str">
        <f aca="false">IF(A377="","",TEXT(A377,"yyyy-mm"))</f>
        <v/>
      </c>
    </row>
    <row r="378" customFormat="false" ht="15" hidden="false" customHeight="false" outlineLevel="0" collapsed="false">
      <c r="A378" s="17"/>
      <c r="B378" s="9"/>
      <c r="C378" s="9"/>
      <c r="D378" s="10" t="str">
        <f aca="false">IF(B378="","",IFERROR(INDEX(Products!$D$5:$D$54,MATCH(B378,Products!$A$5:$A$54,0)),0))</f>
        <v/>
      </c>
      <c r="E378" s="10" t="str">
        <f aca="false">IF(B378="","",IFERROR(INDEX(Products!$C$5:$C$54,MATCH(B378,Products!$A$5:$A$54,0)),0))</f>
        <v/>
      </c>
      <c r="F378" s="10"/>
      <c r="G378" s="10"/>
      <c r="H378" s="10" t="str">
        <f aca="false">IF(A378="","",Settings!$B$5)</f>
        <v/>
      </c>
      <c r="I378" s="11" t="str">
        <f aca="false">IF(A378="","",ROUND(K378*(Settings!$B$2+Settings!$B$3)/100+Settings!$B$4,2))</f>
        <v/>
      </c>
      <c r="J378" s="11" t="str">
        <f aca="false">IF(A378="","",ROUND(K378-E378*C378-H378-G378-I378,2))</f>
        <v/>
      </c>
      <c r="K378" s="11" t="str">
        <f aca="false">IF(A378="","",D378*C378+F378)</f>
        <v/>
      </c>
      <c r="L378" s="12" t="str">
        <f aca="false">IF(OR(A378="",K378=0),"",ROUND(J378/K378*100,2))</f>
        <v/>
      </c>
      <c r="M378" s="3" t="str">
        <f aca="false">IF(A378="","",TEXT(A378,"yyyy-mm"))</f>
        <v/>
      </c>
    </row>
    <row r="379" customFormat="false" ht="15" hidden="false" customHeight="false" outlineLevel="0" collapsed="false">
      <c r="A379" s="17"/>
      <c r="B379" s="9"/>
      <c r="C379" s="9"/>
      <c r="D379" s="10" t="str">
        <f aca="false">IF(B379="","",IFERROR(INDEX(Products!$D$5:$D$54,MATCH(B379,Products!$A$5:$A$54,0)),0))</f>
        <v/>
      </c>
      <c r="E379" s="10" t="str">
        <f aca="false">IF(B379="","",IFERROR(INDEX(Products!$C$5:$C$54,MATCH(B379,Products!$A$5:$A$54,0)),0))</f>
        <v/>
      </c>
      <c r="F379" s="10"/>
      <c r="G379" s="10"/>
      <c r="H379" s="10" t="str">
        <f aca="false">IF(A379="","",Settings!$B$5)</f>
        <v/>
      </c>
      <c r="I379" s="11" t="str">
        <f aca="false">IF(A379="","",ROUND(K379*(Settings!$B$2+Settings!$B$3)/100+Settings!$B$4,2))</f>
        <v/>
      </c>
      <c r="J379" s="11" t="str">
        <f aca="false">IF(A379="","",ROUND(K379-E379*C379-H379-G379-I379,2))</f>
        <v/>
      </c>
      <c r="K379" s="11" t="str">
        <f aca="false">IF(A379="","",D379*C379+F379)</f>
        <v/>
      </c>
      <c r="L379" s="12" t="str">
        <f aca="false">IF(OR(A379="",K379=0),"",ROUND(J379/K379*100,2))</f>
        <v/>
      </c>
      <c r="M379" s="3" t="str">
        <f aca="false">IF(A379="","",TEXT(A379,"yyyy-mm"))</f>
        <v/>
      </c>
    </row>
    <row r="380" customFormat="false" ht="15" hidden="false" customHeight="false" outlineLevel="0" collapsed="false">
      <c r="A380" s="17"/>
      <c r="B380" s="9"/>
      <c r="C380" s="9"/>
      <c r="D380" s="10" t="str">
        <f aca="false">IF(B380="","",IFERROR(INDEX(Products!$D$5:$D$54,MATCH(B380,Products!$A$5:$A$54,0)),0))</f>
        <v/>
      </c>
      <c r="E380" s="10" t="str">
        <f aca="false">IF(B380="","",IFERROR(INDEX(Products!$C$5:$C$54,MATCH(B380,Products!$A$5:$A$54,0)),0))</f>
        <v/>
      </c>
      <c r="F380" s="10"/>
      <c r="G380" s="10"/>
      <c r="H380" s="10" t="str">
        <f aca="false">IF(A380="","",Settings!$B$5)</f>
        <v/>
      </c>
      <c r="I380" s="11" t="str">
        <f aca="false">IF(A380="","",ROUND(K380*(Settings!$B$2+Settings!$B$3)/100+Settings!$B$4,2))</f>
        <v/>
      </c>
      <c r="J380" s="11" t="str">
        <f aca="false">IF(A380="","",ROUND(K380-E380*C380-H380-G380-I380,2))</f>
        <v/>
      </c>
      <c r="K380" s="11" t="str">
        <f aca="false">IF(A380="","",D380*C380+F380)</f>
        <v/>
      </c>
      <c r="L380" s="12" t="str">
        <f aca="false">IF(OR(A380="",K380=0),"",ROUND(J380/K380*100,2))</f>
        <v/>
      </c>
      <c r="M380" s="3" t="str">
        <f aca="false">IF(A380="","",TEXT(A380,"yyyy-mm"))</f>
        <v/>
      </c>
    </row>
    <row r="381" customFormat="false" ht="15" hidden="false" customHeight="false" outlineLevel="0" collapsed="false">
      <c r="A381" s="17"/>
      <c r="B381" s="9"/>
      <c r="C381" s="9"/>
      <c r="D381" s="10" t="str">
        <f aca="false">IF(B381="","",IFERROR(INDEX(Products!$D$5:$D$54,MATCH(B381,Products!$A$5:$A$54,0)),0))</f>
        <v/>
      </c>
      <c r="E381" s="10" t="str">
        <f aca="false">IF(B381="","",IFERROR(INDEX(Products!$C$5:$C$54,MATCH(B381,Products!$A$5:$A$54,0)),0))</f>
        <v/>
      </c>
      <c r="F381" s="10"/>
      <c r="G381" s="10"/>
      <c r="H381" s="10" t="str">
        <f aca="false">IF(A381="","",Settings!$B$5)</f>
        <v/>
      </c>
      <c r="I381" s="11" t="str">
        <f aca="false">IF(A381="","",ROUND(K381*(Settings!$B$2+Settings!$B$3)/100+Settings!$B$4,2))</f>
        <v/>
      </c>
      <c r="J381" s="11" t="str">
        <f aca="false">IF(A381="","",ROUND(K381-E381*C381-H381-G381-I381,2))</f>
        <v/>
      </c>
      <c r="K381" s="11" t="str">
        <f aca="false">IF(A381="","",D381*C381+F381)</f>
        <v/>
      </c>
      <c r="L381" s="12" t="str">
        <f aca="false">IF(OR(A381="",K381=0),"",ROUND(J381/K381*100,2))</f>
        <v/>
      </c>
      <c r="M381" s="3" t="str">
        <f aca="false">IF(A381="","",TEXT(A381,"yyyy-mm"))</f>
        <v/>
      </c>
    </row>
    <row r="382" customFormat="false" ht="15" hidden="false" customHeight="false" outlineLevel="0" collapsed="false">
      <c r="A382" s="17"/>
      <c r="B382" s="9"/>
      <c r="C382" s="9"/>
      <c r="D382" s="10" t="str">
        <f aca="false">IF(B382="","",IFERROR(INDEX(Products!$D$5:$D$54,MATCH(B382,Products!$A$5:$A$54,0)),0))</f>
        <v/>
      </c>
      <c r="E382" s="10" t="str">
        <f aca="false">IF(B382="","",IFERROR(INDEX(Products!$C$5:$C$54,MATCH(B382,Products!$A$5:$A$54,0)),0))</f>
        <v/>
      </c>
      <c r="F382" s="10"/>
      <c r="G382" s="10"/>
      <c r="H382" s="10" t="str">
        <f aca="false">IF(A382="","",Settings!$B$5)</f>
        <v/>
      </c>
      <c r="I382" s="11" t="str">
        <f aca="false">IF(A382="","",ROUND(K382*(Settings!$B$2+Settings!$B$3)/100+Settings!$B$4,2))</f>
        <v/>
      </c>
      <c r="J382" s="11" t="str">
        <f aca="false">IF(A382="","",ROUND(K382-E382*C382-H382-G382-I382,2))</f>
        <v/>
      </c>
      <c r="K382" s="11" t="str">
        <f aca="false">IF(A382="","",D382*C382+F382)</f>
        <v/>
      </c>
      <c r="L382" s="12" t="str">
        <f aca="false">IF(OR(A382="",K382=0),"",ROUND(J382/K382*100,2))</f>
        <v/>
      </c>
      <c r="M382" s="3" t="str">
        <f aca="false">IF(A382="","",TEXT(A382,"yyyy-mm"))</f>
        <v/>
      </c>
    </row>
    <row r="383" customFormat="false" ht="15" hidden="false" customHeight="false" outlineLevel="0" collapsed="false">
      <c r="A383" s="17"/>
      <c r="B383" s="9"/>
      <c r="C383" s="9"/>
      <c r="D383" s="10" t="str">
        <f aca="false">IF(B383="","",IFERROR(INDEX(Products!$D$5:$D$54,MATCH(B383,Products!$A$5:$A$54,0)),0))</f>
        <v/>
      </c>
      <c r="E383" s="10" t="str">
        <f aca="false">IF(B383="","",IFERROR(INDEX(Products!$C$5:$C$54,MATCH(B383,Products!$A$5:$A$54,0)),0))</f>
        <v/>
      </c>
      <c r="F383" s="10"/>
      <c r="G383" s="10"/>
      <c r="H383" s="10" t="str">
        <f aca="false">IF(A383="","",Settings!$B$5)</f>
        <v/>
      </c>
      <c r="I383" s="11" t="str">
        <f aca="false">IF(A383="","",ROUND(K383*(Settings!$B$2+Settings!$B$3)/100+Settings!$B$4,2))</f>
        <v/>
      </c>
      <c r="J383" s="11" t="str">
        <f aca="false">IF(A383="","",ROUND(K383-E383*C383-H383-G383-I383,2))</f>
        <v/>
      </c>
      <c r="K383" s="11" t="str">
        <f aca="false">IF(A383="","",D383*C383+F383)</f>
        <v/>
      </c>
      <c r="L383" s="12" t="str">
        <f aca="false">IF(OR(A383="",K383=0),"",ROUND(J383/K383*100,2))</f>
        <v/>
      </c>
      <c r="M383" s="3" t="str">
        <f aca="false">IF(A383="","",TEXT(A383,"yyyy-mm"))</f>
        <v/>
      </c>
    </row>
    <row r="384" customFormat="false" ht="15" hidden="false" customHeight="false" outlineLevel="0" collapsed="false">
      <c r="A384" s="17"/>
      <c r="B384" s="9"/>
      <c r="C384" s="9"/>
      <c r="D384" s="10" t="str">
        <f aca="false">IF(B384="","",IFERROR(INDEX(Products!$D$5:$D$54,MATCH(B384,Products!$A$5:$A$54,0)),0))</f>
        <v/>
      </c>
      <c r="E384" s="10" t="str">
        <f aca="false">IF(B384="","",IFERROR(INDEX(Products!$C$5:$C$54,MATCH(B384,Products!$A$5:$A$54,0)),0))</f>
        <v/>
      </c>
      <c r="F384" s="10"/>
      <c r="G384" s="10"/>
      <c r="H384" s="10" t="str">
        <f aca="false">IF(A384="","",Settings!$B$5)</f>
        <v/>
      </c>
      <c r="I384" s="11" t="str">
        <f aca="false">IF(A384="","",ROUND(K384*(Settings!$B$2+Settings!$B$3)/100+Settings!$B$4,2))</f>
        <v/>
      </c>
      <c r="J384" s="11" t="str">
        <f aca="false">IF(A384="","",ROUND(K384-E384*C384-H384-G384-I384,2))</f>
        <v/>
      </c>
      <c r="K384" s="11" t="str">
        <f aca="false">IF(A384="","",D384*C384+F384)</f>
        <v/>
      </c>
      <c r="L384" s="12" t="str">
        <f aca="false">IF(OR(A384="",K384=0),"",ROUND(J384/K384*100,2))</f>
        <v/>
      </c>
      <c r="M384" s="3" t="str">
        <f aca="false">IF(A384="","",TEXT(A384,"yyyy-mm"))</f>
        <v/>
      </c>
    </row>
    <row r="385" customFormat="false" ht="15" hidden="false" customHeight="false" outlineLevel="0" collapsed="false">
      <c r="A385" s="17"/>
      <c r="B385" s="9"/>
      <c r="C385" s="9"/>
      <c r="D385" s="10" t="str">
        <f aca="false">IF(B385="","",IFERROR(INDEX(Products!$D$5:$D$54,MATCH(B385,Products!$A$5:$A$54,0)),0))</f>
        <v/>
      </c>
      <c r="E385" s="10" t="str">
        <f aca="false">IF(B385="","",IFERROR(INDEX(Products!$C$5:$C$54,MATCH(B385,Products!$A$5:$A$54,0)),0))</f>
        <v/>
      </c>
      <c r="F385" s="10"/>
      <c r="G385" s="10"/>
      <c r="H385" s="10" t="str">
        <f aca="false">IF(A385="","",Settings!$B$5)</f>
        <v/>
      </c>
      <c r="I385" s="11" t="str">
        <f aca="false">IF(A385="","",ROUND(K385*(Settings!$B$2+Settings!$B$3)/100+Settings!$B$4,2))</f>
        <v/>
      </c>
      <c r="J385" s="11" t="str">
        <f aca="false">IF(A385="","",ROUND(K385-E385*C385-H385-G385-I385,2))</f>
        <v/>
      </c>
      <c r="K385" s="11" t="str">
        <f aca="false">IF(A385="","",D385*C385+F385)</f>
        <v/>
      </c>
      <c r="L385" s="12" t="str">
        <f aca="false">IF(OR(A385="",K385=0),"",ROUND(J385/K385*100,2))</f>
        <v/>
      </c>
      <c r="M385" s="3" t="str">
        <f aca="false">IF(A385="","",TEXT(A385,"yyyy-mm"))</f>
        <v/>
      </c>
    </row>
    <row r="386" customFormat="false" ht="15" hidden="false" customHeight="false" outlineLevel="0" collapsed="false">
      <c r="A386" s="17"/>
      <c r="B386" s="9"/>
      <c r="C386" s="9"/>
      <c r="D386" s="10" t="str">
        <f aca="false">IF(B386="","",IFERROR(INDEX(Products!$D$5:$D$54,MATCH(B386,Products!$A$5:$A$54,0)),0))</f>
        <v/>
      </c>
      <c r="E386" s="10" t="str">
        <f aca="false">IF(B386="","",IFERROR(INDEX(Products!$C$5:$C$54,MATCH(B386,Products!$A$5:$A$54,0)),0))</f>
        <v/>
      </c>
      <c r="F386" s="10"/>
      <c r="G386" s="10"/>
      <c r="H386" s="10" t="str">
        <f aca="false">IF(A386="","",Settings!$B$5)</f>
        <v/>
      </c>
      <c r="I386" s="11" t="str">
        <f aca="false">IF(A386="","",ROUND(K386*(Settings!$B$2+Settings!$B$3)/100+Settings!$B$4,2))</f>
        <v/>
      </c>
      <c r="J386" s="11" t="str">
        <f aca="false">IF(A386="","",ROUND(K386-E386*C386-H386-G386-I386,2))</f>
        <v/>
      </c>
      <c r="K386" s="11" t="str">
        <f aca="false">IF(A386="","",D386*C386+F386)</f>
        <v/>
      </c>
      <c r="L386" s="12" t="str">
        <f aca="false">IF(OR(A386="",K386=0),"",ROUND(J386/K386*100,2))</f>
        <v/>
      </c>
      <c r="M386" s="3" t="str">
        <f aca="false">IF(A386="","",TEXT(A386,"yyyy-mm"))</f>
        <v/>
      </c>
    </row>
    <row r="387" customFormat="false" ht="15" hidden="false" customHeight="false" outlineLevel="0" collapsed="false">
      <c r="A387" s="17"/>
      <c r="B387" s="9"/>
      <c r="C387" s="9"/>
      <c r="D387" s="10" t="str">
        <f aca="false">IF(B387="","",IFERROR(INDEX(Products!$D$5:$D$54,MATCH(B387,Products!$A$5:$A$54,0)),0))</f>
        <v/>
      </c>
      <c r="E387" s="10" t="str">
        <f aca="false">IF(B387="","",IFERROR(INDEX(Products!$C$5:$C$54,MATCH(B387,Products!$A$5:$A$54,0)),0))</f>
        <v/>
      </c>
      <c r="F387" s="10"/>
      <c r="G387" s="10"/>
      <c r="H387" s="10" t="str">
        <f aca="false">IF(A387="","",Settings!$B$5)</f>
        <v/>
      </c>
      <c r="I387" s="11" t="str">
        <f aca="false">IF(A387="","",ROUND(K387*(Settings!$B$2+Settings!$B$3)/100+Settings!$B$4,2))</f>
        <v/>
      </c>
      <c r="J387" s="11" t="str">
        <f aca="false">IF(A387="","",ROUND(K387-E387*C387-H387-G387-I387,2))</f>
        <v/>
      </c>
      <c r="K387" s="11" t="str">
        <f aca="false">IF(A387="","",D387*C387+F387)</f>
        <v/>
      </c>
      <c r="L387" s="12" t="str">
        <f aca="false">IF(OR(A387="",K387=0),"",ROUND(J387/K387*100,2))</f>
        <v/>
      </c>
      <c r="M387" s="3" t="str">
        <f aca="false">IF(A387="","",TEXT(A387,"yyyy-mm"))</f>
        <v/>
      </c>
    </row>
    <row r="388" customFormat="false" ht="15" hidden="false" customHeight="false" outlineLevel="0" collapsed="false">
      <c r="A388" s="17"/>
      <c r="B388" s="9"/>
      <c r="C388" s="9"/>
      <c r="D388" s="10" t="str">
        <f aca="false">IF(B388="","",IFERROR(INDEX(Products!$D$5:$D$54,MATCH(B388,Products!$A$5:$A$54,0)),0))</f>
        <v/>
      </c>
      <c r="E388" s="10" t="str">
        <f aca="false">IF(B388="","",IFERROR(INDEX(Products!$C$5:$C$54,MATCH(B388,Products!$A$5:$A$54,0)),0))</f>
        <v/>
      </c>
      <c r="F388" s="10"/>
      <c r="G388" s="10"/>
      <c r="H388" s="10" t="str">
        <f aca="false">IF(A388="","",Settings!$B$5)</f>
        <v/>
      </c>
      <c r="I388" s="11" t="str">
        <f aca="false">IF(A388="","",ROUND(K388*(Settings!$B$2+Settings!$B$3)/100+Settings!$B$4,2))</f>
        <v/>
      </c>
      <c r="J388" s="11" t="str">
        <f aca="false">IF(A388="","",ROUND(K388-E388*C388-H388-G388-I388,2))</f>
        <v/>
      </c>
      <c r="K388" s="11" t="str">
        <f aca="false">IF(A388="","",D388*C388+F388)</f>
        <v/>
      </c>
      <c r="L388" s="12" t="str">
        <f aca="false">IF(OR(A388="",K388=0),"",ROUND(J388/K388*100,2))</f>
        <v/>
      </c>
      <c r="M388" s="3" t="str">
        <f aca="false">IF(A388="","",TEXT(A388,"yyyy-mm"))</f>
        <v/>
      </c>
    </row>
    <row r="389" customFormat="false" ht="15" hidden="false" customHeight="false" outlineLevel="0" collapsed="false">
      <c r="A389" s="17"/>
      <c r="B389" s="9"/>
      <c r="C389" s="9"/>
      <c r="D389" s="10" t="str">
        <f aca="false">IF(B389="","",IFERROR(INDEX(Products!$D$5:$D$54,MATCH(B389,Products!$A$5:$A$54,0)),0))</f>
        <v/>
      </c>
      <c r="E389" s="10" t="str">
        <f aca="false">IF(B389="","",IFERROR(INDEX(Products!$C$5:$C$54,MATCH(B389,Products!$A$5:$A$54,0)),0))</f>
        <v/>
      </c>
      <c r="F389" s="10"/>
      <c r="G389" s="10"/>
      <c r="H389" s="10" t="str">
        <f aca="false">IF(A389="","",Settings!$B$5)</f>
        <v/>
      </c>
      <c r="I389" s="11" t="str">
        <f aca="false">IF(A389="","",ROUND(K389*(Settings!$B$2+Settings!$B$3)/100+Settings!$B$4,2))</f>
        <v/>
      </c>
      <c r="J389" s="11" t="str">
        <f aca="false">IF(A389="","",ROUND(K389-E389*C389-H389-G389-I389,2))</f>
        <v/>
      </c>
      <c r="K389" s="11" t="str">
        <f aca="false">IF(A389="","",D389*C389+F389)</f>
        <v/>
      </c>
      <c r="L389" s="12" t="str">
        <f aca="false">IF(OR(A389="",K389=0),"",ROUND(J389/K389*100,2))</f>
        <v/>
      </c>
      <c r="M389" s="3" t="str">
        <f aca="false">IF(A389="","",TEXT(A389,"yyyy-mm"))</f>
        <v/>
      </c>
    </row>
    <row r="390" customFormat="false" ht="15" hidden="false" customHeight="false" outlineLevel="0" collapsed="false">
      <c r="A390" s="17"/>
      <c r="B390" s="9"/>
      <c r="C390" s="9"/>
      <c r="D390" s="10" t="str">
        <f aca="false">IF(B390="","",IFERROR(INDEX(Products!$D$5:$D$54,MATCH(B390,Products!$A$5:$A$54,0)),0))</f>
        <v/>
      </c>
      <c r="E390" s="10" t="str">
        <f aca="false">IF(B390="","",IFERROR(INDEX(Products!$C$5:$C$54,MATCH(B390,Products!$A$5:$A$54,0)),0))</f>
        <v/>
      </c>
      <c r="F390" s="10"/>
      <c r="G390" s="10"/>
      <c r="H390" s="10" t="str">
        <f aca="false">IF(A390="","",Settings!$B$5)</f>
        <v/>
      </c>
      <c r="I390" s="11" t="str">
        <f aca="false">IF(A390="","",ROUND(K390*(Settings!$B$2+Settings!$B$3)/100+Settings!$B$4,2))</f>
        <v/>
      </c>
      <c r="J390" s="11" t="str">
        <f aca="false">IF(A390="","",ROUND(K390-E390*C390-H390-G390-I390,2))</f>
        <v/>
      </c>
      <c r="K390" s="11" t="str">
        <f aca="false">IF(A390="","",D390*C390+F390)</f>
        <v/>
      </c>
      <c r="L390" s="12" t="str">
        <f aca="false">IF(OR(A390="",K390=0),"",ROUND(J390/K390*100,2))</f>
        <v/>
      </c>
      <c r="M390" s="3" t="str">
        <f aca="false">IF(A390="","",TEXT(A390,"yyyy-mm"))</f>
        <v/>
      </c>
    </row>
    <row r="391" customFormat="false" ht="15" hidden="false" customHeight="false" outlineLevel="0" collapsed="false">
      <c r="A391" s="17"/>
      <c r="B391" s="9"/>
      <c r="C391" s="9"/>
      <c r="D391" s="10" t="str">
        <f aca="false">IF(B391="","",IFERROR(INDEX(Products!$D$5:$D$54,MATCH(B391,Products!$A$5:$A$54,0)),0))</f>
        <v/>
      </c>
      <c r="E391" s="10" t="str">
        <f aca="false">IF(B391="","",IFERROR(INDEX(Products!$C$5:$C$54,MATCH(B391,Products!$A$5:$A$54,0)),0))</f>
        <v/>
      </c>
      <c r="F391" s="10"/>
      <c r="G391" s="10"/>
      <c r="H391" s="10" t="str">
        <f aca="false">IF(A391="","",Settings!$B$5)</f>
        <v/>
      </c>
      <c r="I391" s="11" t="str">
        <f aca="false">IF(A391="","",ROUND(K391*(Settings!$B$2+Settings!$B$3)/100+Settings!$B$4,2))</f>
        <v/>
      </c>
      <c r="J391" s="11" t="str">
        <f aca="false">IF(A391="","",ROUND(K391-E391*C391-H391-G391-I391,2))</f>
        <v/>
      </c>
      <c r="K391" s="11" t="str">
        <f aca="false">IF(A391="","",D391*C391+F391)</f>
        <v/>
      </c>
      <c r="L391" s="12" t="str">
        <f aca="false">IF(OR(A391="",K391=0),"",ROUND(J391/K391*100,2))</f>
        <v/>
      </c>
      <c r="M391" s="3" t="str">
        <f aca="false">IF(A391="","",TEXT(A391,"yyyy-mm"))</f>
        <v/>
      </c>
    </row>
    <row r="392" customFormat="false" ht="15" hidden="false" customHeight="false" outlineLevel="0" collapsed="false">
      <c r="A392" s="17"/>
      <c r="B392" s="9"/>
      <c r="C392" s="9"/>
      <c r="D392" s="10" t="str">
        <f aca="false">IF(B392="","",IFERROR(INDEX(Products!$D$5:$D$54,MATCH(B392,Products!$A$5:$A$54,0)),0))</f>
        <v/>
      </c>
      <c r="E392" s="10" t="str">
        <f aca="false">IF(B392="","",IFERROR(INDEX(Products!$C$5:$C$54,MATCH(B392,Products!$A$5:$A$54,0)),0))</f>
        <v/>
      </c>
      <c r="F392" s="10"/>
      <c r="G392" s="10"/>
      <c r="H392" s="10" t="str">
        <f aca="false">IF(A392="","",Settings!$B$5)</f>
        <v/>
      </c>
      <c r="I392" s="11" t="str">
        <f aca="false">IF(A392="","",ROUND(K392*(Settings!$B$2+Settings!$B$3)/100+Settings!$B$4,2))</f>
        <v/>
      </c>
      <c r="J392" s="11" t="str">
        <f aca="false">IF(A392="","",ROUND(K392-E392*C392-H392-G392-I392,2))</f>
        <v/>
      </c>
      <c r="K392" s="11" t="str">
        <f aca="false">IF(A392="","",D392*C392+F392)</f>
        <v/>
      </c>
      <c r="L392" s="12" t="str">
        <f aca="false">IF(OR(A392="",K392=0),"",ROUND(J392/K392*100,2))</f>
        <v/>
      </c>
      <c r="M392" s="3" t="str">
        <f aca="false">IF(A392="","",TEXT(A392,"yyyy-mm"))</f>
        <v/>
      </c>
    </row>
    <row r="393" customFormat="false" ht="15" hidden="false" customHeight="false" outlineLevel="0" collapsed="false">
      <c r="A393" s="17"/>
      <c r="B393" s="9"/>
      <c r="C393" s="9"/>
      <c r="D393" s="10" t="str">
        <f aca="false">IF(B393="","",IFERROR(INDEX(Products!$D$5:$D$54,MATCH(B393,Products!$A$5:$A$54,0)),0))</f>
        <v/>
      </c>
      <c r="E393" s="10" t="str">
        <f aca="false">IF(B393="","",IFERROR(INDEX(Products!$C$5:$C$54,MATCH(B393,Products!$A$5:$A$54,0)),0))</f>
        <v/>
      </c>
      <c r="F393" s="10"/>
      <c r="G393" s="10"/>
      <c r="H393" s="10" t="str">
        <f aca="false">IF(A393="","",Settings!$B$5)</f>
        <v/>
      </c>
      <c r="I393" s="11" t="str">
        <f aca="false">IF(A393="","",ROUND(K393*(Settings!$B$2+Settings!$B$3)/100+Settings!$B$4,2))</f>
        <v/>
      </c>
      <c r="J393" s="11" t="str">
        <f aca="false">IF(A393="","",ROUND(K393-E393*C393-H393-G393-I393,2))</f>
        <v/>
      </c>
      <c r="K393" s="11" t="str">
        <f aca="false">IF(A393="","",D393*C393+F393)</f>
        <v/>
      </c>
      <c r="L393" s="12" t="str">
        <f aca="false">IF(OR(A393="",K393=0),"",ROUND(J393/K393*100,2))</f>
        <v/>
      </c>
      <c r="M393" s="3" t="str">
        <f aca="false">IF(A393="","",TEXT(A393,"yyyy-mm"))</f>
        <v/>
      </c>
    </row>
    <row r="394" customFormat="false" ht="15" hidden="false" customHeight="false" outlineLevel="0" collapsed="false">
      <c r="A394" s="17"/>
      <c r="B394" s="9"/>
      <c r="C394" s="9"/>
      <c r="D394" s="10" t="str">
        <f aca="false">IF(B394="","",IFERROR(INDEX(Products!$D$5:$D$54,MATCH(B394,Products!$A$5:$A$54,0)),0))</f>
        <v/>
      </c>
      <c r="E394" s="10" t="str">
        <f aca="false">IF(B394="","",IFERROR(INDEX(Products!$C$5:$C$54,MATCH(B394,Products!$A$5:$A$54,0)),0))</f>
        <v/>
      </c>
      <c r="F394" s="10"/>
      <c r="G394" s="10"/>
      <c r="H394" s="10" t="str">
        <f aca="false">IF(A394="","",Settings!$B$5)</f>
        <v/>
      </c>
      <c r="I394" s="11" t="str">
        <f aca="false">IF(A394="","",ROUND(K394*(Settings!$B$2+Settings!$B$3)/100+Settings!$B$4,2))</f>
        <v/>
      </c>
      <c r="J394" s="11" t="str">
        <f aca="false">IF(A394="","",ROUND(K394-E394*C394-H394-G394-I394,2))</f>
        <v/>
      </c>
      <c r="K394" s="11" t="str">
        <f aca="false">IF(A394="","",D394*C394+F394)</f>
        <v/>
      </c>
      <c r="L394" s="12" t="str">
        <f aca="false">IF(OR(A394="",K394=0),"",ROUND(J394/K394*100,2))</f>
        <v/>
      </c>
      <c r="M394" s="3" t="str">
        <f aca="false">IF(A394="","",TEXT(A394,"yyyy-mm"))</f>
        <v/>
      </c>
    </row>
    <row r="395" customFormat="false" ht="15" hidden="false" customHeight="false" outlineLevel="0" collapsed="false">
      <c r="A395" s="17"/>
      <c r="B395" s="9"/>
      <c r="C395" s="9"/>
      <c r="D395" s="10" t="str">
        <f aca="false">IF(B395="","",IFERROR(INDEX(Products!$D$5:$D$54,MATCH(B395,Products!$A$5:$A$54,0)),0))</f>
        <v/>
      </c>
      <c r="E395" s="10" t="str">
        <f aca="false">IF(B395="","",IFERROR(INDEX(Products!$C$5:$C$54,MATCH(B395,Products!$A$5:$A$54,0)),0))</f>
        <v/>
      </c>
      <c r="F395" s="10"/>
      <c r="G395" s="10"/>
      <c r="H395" s="10" t="str">
        <f aca="false">IF(A395="","",Settings!$B$5)</f>
        <v/>
      </c>
      <c r="I395" s="11" t="str">
        <f aca="false">IF(A395="","",ROUND(K395*(Settings!$B$2+Settings!$B$3)/100+Settings!$B$4,2))</f>
        <v/>
      </c>
      <c r="J395" s="11" t="str">
        <f aca="false">IF(A395="","",ROUND(K395-E395*C395-H395-G395-I395,2))</f>
        <v/>
      </c>
      <c r="K395" s="11" t="str">
        <f aca="false">IF(A395="","",D395*C395+F395)</f>
        <v/>
      </c>
      <c r="L395" s="12" t="str">
        <f aca="false">IF(OR(A395="",K395=0),"",ROUND(J395/K395*100,2))</f>
        <v/>
      </c>
      <c r="M395" s="3" t="str">
        <f aca="false">IF(A395="","",TEXT(A395,"yyyy-mm"))</f>
        <v/>
      </c>
    </row>
    <row r="396" customFormat="false" ht="15" hidden="false" customHeight="false" outlineLevel="0" collapsed="false">
      <c r="A396" s="17"/>
      <c r="B396" s="9"/>
      <c r="C396" s="9"/>
      <c r="D396" s="10" t="str">
        <f aca="false">IF(B396="","",IFERROR(INDEX(Products!$D$5:$D$54,MATCH(B396,Products!$A$5:$A$54,0)),0))</f>
        <v/>
      </c>
      <c r="E396" s="10" t="str">
        <f aca="false">IF(B396="","",IFERROR(INDEX(Products!$C$5:$C$54,MATCH(B396,Products!$A$5:$A$54,0)),0))</f>
        <v/>
      </c>
      <c r="F396" s="10"/>
      <c r="G396" s="10"/>
      <c r="H396" s="10" t="str">
        <f aca="false">IF(A396="","",Settings!$B$5)</f>
        <v/>
      </c>
      <c r="I396" s="11" t="str">
        <f aca="false">IF(A396="","",ROUND(K396*(Settings!$B$2+Settings!$B$3)/100+Settings!$B$4,2))</f>
        <v/>
      </c>
      <c r="J396" s="11" t="str">
        <f aca="false">IF(A396="","",ROUND(K396-E396*C396-H396-G396-I396,2))</f>
        <v/>
      </c>
      <c r="K396" s="11" t="str">
        <f aca="false">IF(A396="","",D396*C396+F396)</f>
        <v/>
      </c>
      <c r="L396" s="12" t="str">
        <f aca="false">IF(OR(A396="",K396=0),"",ROUND(J396/K396*100,2))</f>
        <v/>
      </c>
      <c r="M396" s="3" t="str">
        <f aca="false">IF(A396="","",TEXT(A396,"yyyy-mm"))</f>
        <v/>
      </c>
    </row>
    <row r="397" customFormat="false" ht="15" hidden="false" customHeight="false" outlineLevel="0" collapsed="false">
      <c r="A397" s="17"/>
      <c r="B397" s="9"/>
      <c r="C397" s="9"/>
      <c r="D397" s="10" t="str">
        <f aca="false">IF(B397="","",IFERROR(INDEX(Products!$D$5:$D$54,MATCH(B397,Products!$A$5:$A$54,0)),0))</f>
        <v/>
      </c>
      <c r="E397" s="10" t="str">
        <f aca="false">IF(B397="","",IFERROR(INDEX(Products!$C$5:$C$54,MATCH(B397,Products!$A$5:$A$54,0)),0))</f>
        <v/>
      </c>
      <c r="F397" s="10"/>
      <c r="G397" s="10"/>
      <c r="H397" s="10" t="str">
        <f aca="false">IF(A397="","",Settings!$B$5)</f>
        <v/>
      </c>
      <c r="I397" s="11" t="str">
        <f aca="false">IF(A397="","",ROUND(K397*(Settings!$B$2+Settings!$B$3)/100+Settings!$B$4,2))</f>
        <v/>
      </c>
      <c r="J397" s="11" t="str">
        <f aca="false">IF(A397="","",ROUND(K397-E397*C397-H397-G397-I397,2))</f>
        <v/>
      </c>
      <c r="K397" s="11" t="str">
        <f aca="false">IF(A397="","",D397*C397+F397)</f>
        <v/>
      </c>
      <c r="L397" s="12" t="str">
        <f aca="false">IF(OR(A397="",K397=0),"",ROUND(J397/K397*100,2))</f>
        <v/>
      </c>
      <c r="M397" s="3" t="str">
        <f aca="false">IF(A397="","",TEXT(A397,"yyyy-mm"))</f>
        <v/>
      </c>
    </row>
    <row r="398" customFormat="false" ht="15" hidden="false" customHeight="false" outlineLevel="0" collapsed="false">
      <c r="A398" s="17"/>
      <c r="B398" s="9"/>
      <c r="C398" s="9"/>
      <c r="D398" s="10" t="str">
        <f aca="false">IF(B398="","",IFERROR(INDEX(Products!$D$5:$D$54,MATCH(B398,Products!$A$5:$A$54,0)),0))</f>
        <v/>
      </c>
      <c r="E398" s="10" t="str">
        <f aca="false">IF(B398="","",IFERROR(INDEX(Products!$C$5:$C$54,MATCH(B398,Products!$A$5:$A$54,0)),0))</f>
        <v/>
      </c>
      <c r="F398" s="10"/>
      <c r="G398" s="10"/>
      <c r="H398" s="10" t="str">
        <f aca="false">IF(A398="","",Settings!$B$5)</f>
        <v/>
      </c>
      <c r="I398" s="11" t="str">
        <f aca="false">IF(A398="","",ROUND(K398*(Settings!$B$2+Settings!$B$3)/100+Settings!$B$4,2))</f>
        <v/>
      </c>
      <c r="J398" s="11" t="str">
        <f aca="false">IF(A398="","",ROUND(K398-E398*C398-H398-G398-I398,2))</f>
        <v/>
      </c>
      <c r="K398" s="11" t="str">
        <f aca="false">IF(A398="","",D398*C398+F398)</f>
        <v/>
      </c>
      <c r="L398" s="12" t="str">
        <f aca="false">IF(OR(A398="",K398=0),"",ROUND(J398/K398*100,2))</f>
        <v/>
      </c>
      <c r="M398" s="3" t="str">
        <f aca="false">IF(A398="","",TEXT(A398,"yyyy-mm"))</f>
        <v/>
      </c>
    </row>
    <row r="399" customFormat="false" ht="15" hidden="false" customHeight="false" outlineLevel="0" collapsed="false">
      <c r="A399" s="17"/>
      <c r="B399" s="9"/>
      <c r="C399" s="9"/>
      <c r="D399" s="10" t="str">
        <f aca="false">IF(B399="","",IFERROR(INDEX(Products!$D$5:$D$54,MATCH(B399,Products!$A$5:$A$54,0)),0))</f>
        <v/>
      </c>
      <c r="E399" s="10" t="str">
        <f aca="false">IF(B399="","",IFERROR(INDEX(Products!$C$5:$C$54,MATCH(B399,Products!$A$5:$A$54,0)),0))</f>
        <v/>
      </c>
      <c r="F399" s="10"/>
      <c r="G399" s="10"/>
      <c r="H399" s="10" t="str">
        <f aca="false">IF(A399="","",Settings!$B$5)</f>
        <v/>
      </c>
      <c r="I399" s="11" t="str">
        <f aca="false">IF(A399="","",ROUND(K399*(Settings!$B$2+Settings!$B$3)/100+Settings!$B$4,2))</f>
        <v/>
      </c>
      <c r="J399" s="11" t="str">
        <f aca="false">IF(A399="","",ROUND(K399-E399*C399-H399-G399-I399,2))</f>
        <v/>
      </c>
      <c r="K399" s="11" t="str">
        <f aca="false">IF(A399="","",D399*C399+F399)</f>
        <v/>
      </c>
      <c r="L399" s="12" t="str">
        <f aca="false">IF(OR(A399="",K399=0),"",ROUND(J399/K399*100,2))</f>
        <v/>
      </c>
      <c r="M399" s="3" t="str">
        <f aca="false">IF(A399="","",TEXT(A399,"yyyy-mm"))</f>
        <v/>
      </c>
    </row>
    <row r="400" customFormat="false" ht="15" hidden="false" customHeight="false" outlineLevel="0" collapsed="false">
      <c r="A400" s="17"/>
      <c r="B400" s="9"/>
      <c r="C400" s="9"/>
      <c r="D400" s="10" t="str">
        <f aca="false">IF(B400="","",IFERROR(INDEX(Products!$D$5:$D$54,MATCH(B400,Products!$A$5:$A$54,0)),0))</f>
        <v/>
      </c>
      <c r="E400" s="10" t="str">
        <f aca="false">IF(B400="","",IFERROR(INDEX(Products!$C$5:$C$54,MATCH(B400,Products!$A$5:$A$54,0)),0))</f>
        <v/>
      </c>
      <c r="F400" s="10"/>
      <c r="G400" s="10"/>
      <c r="H400" s="10" t="str">
        <f aca="false">IF(A400="","",Settings!$B$5)</f>
        <v/>
      </c>
      <c r="I400" s="11" t="str">
        <f aca="false">IF(A400="","",ROUND(K400*(Settings!$B$2+Settings!$B$3)/100+Settings!$B$4,2))</f>
        <v/>
      </c>
      <c r="J400" s="11" t="str">
        <f aca="false">IF(A400="","",ROUND(K400-E400*C400-H400-G400-I400,2))</f>
        <v/>
      </c>
      <c r="K400" s="11" t="str">
        <f aca="false">IF(A400="","",D400*C400+F400)</f>
        <v/>
      </c>
      <c r="L400" s="12" t="str">
        <f aca="false">IF(OR(A400="",K400=0),"",ROUND(J400/K400*100,2))</f>
        <v/>
      </c>
      <c r="M400" s="3" t="str">
        <f aca="false">IF(A400="","",TEXT(A400,"yyyy-mm"))</f>
        <v/>
      </c>
    </row>
    <row r="401" customFormat="false" ht="15" hidden="false" customHeight="false" outlineLevel="0" collapsed="false">
      <c r="A401" s="17"/>
      <c r="B401" s="9"/>
      <c r="C401" s="9"/>
      <c r="D401" s="10" t="str">
        <f aca="false">IF(B401="","",IFERROR(INDEX(Products!$D$5:$D$54,MATCH(B401,Products!$A$5:$A$54,0)),0))</f>
        <v/>
      </c>
      <c r="E401" s="10" t="str">
        <f aca="false">IF(B401="","",IFERROR(INDEX(Products!$C$5:$C$54,MATCH(B401,Products!$A$5:$A$54,0)),0))</f>
        <v/>
      </c>
      <c r="F401" s="10"/>
      <c r="G401" s="10"/>
      <c r="H401" s="10" t="str">
        <f aca="false">IF(A401="","",Settings!$B$5)</f>
        <v/>
      </c>
      <c r="I401" s="11" t="str">
        <f aca="false">IF(A401="","",ROUND(K401*(Settings!$B$2+Settings!$B$3)/100+Settings!$B$4,2))</f>
        <v/>
      </c>
      <c r="J401" s="11" t="str">
        <f aca="false">IF(A401="","",ROUND(K401-E401*C401-H401-G401-I401,2))</f>
        <v/>
      </c>
      <c r="K401" s="11" t="str">
        <f aca="false">IF(A401="","",D401*C401+F401)</f>
        <v/>
      </c>
      <c r="L401" s="12" t="str">
        <f aca="false">IF(OR(A401="",K401=0),"",ROUND(J401/K401*100,2))</f>
        <v/>
      </c>
      <c r="M401" s="3" t="str">
        <f aca="false">IF(A401="","",TEXT(A401,"yyyy-mm"))</f>
        <v/>
      </c>
    </row>
    <row r="402" customFormat="false" ht="15" hidden="false" customHeight="false" outlineLevel="0" collapsed="false">
      <c r="A402" s="17"/>
      <c r="B402" s="9"/>
      <c r="C402" s="9"/>
      <c r="D402" s="10" t="str">
        <f aca="false">IF(B402="","",IFERROR(INDEX(Products!$D$5:$D$54,MATCH(B402,Products!$A$5:$A$54,0)),0))</f>
        <v/>
      </c>
      <c r="E402" s="10" t="str">
        <f aca="false">IF(B402="","",IFERROR(INDEX(Products!$C$5:$C$54,MATCH(B402,Products!$A$5:$A$54,0)),0))</f>
        <v/>
      </c>
      <c r="F402" s="10"/>
      <c r="G402" s="10"/>
      <c r="H402" s="10" t="str">
        <f aca="false">IF(A402="","",Settings!$B$5)</f>
        <v/>
      </c>
      <c r="I402" s="11" t="str">
        <f aca="false">IF(A402="","",ROUND(K402*(Settings!$B$2+Settings!$B$3)/100+Settings!$B$4,2))</f>
        <v/>
      </c>
      <c r="J402" s="11" t="str">
        <f aca="false">IF(A402="","",ROUND(K402-E402*C402-H402-G402-I402,2))</f>
        <v/>
      </c>
      <c r="K402" s="11" t="str">
        <f aca="false">IF(A402="","",D402*C402+F402)</f>
        <v/>
      </c>
      <c r="L402" s="12" t="str">
        <f aca="false">IF(OR(A402="",K402=0),"",ROUND(J402/K402*100,2))</f>
        <v/>
      </c>
      <c r="M402" s="3" t="str">
        <f aca="false">IF(A402="","",TEXT(A402,"yyyy-mm"))</f>
        <v/>
      </c>
    </row>
    <row r="403" customFormat="false" ht="15" hidden="false" customHeight="false" outlineLevel="0" collapsed="false">
      <c r="A403" s="17"/>
      <c r="B403" s="9"/>
      <c r="C403" s="9"/>
      <c r="D403" s="10" t="str">
        <f aca="false">IF(B403="","",IFERROR(INDEX(Products!$D$5:$D$54,MATCH(B403,Products!$A$5:$A$54,0)),0))</f>
        <v/>
      </c>
      <c r="E403" s="10" t="str">
        <f aca="false">IF(B403="","",IFERROR(INDEX(Products!$C$5:$C$54,MATCH(B403,Products!$A$5:$A$54,0)),0))</f>
        <v/>
      </c>
      <c r="F403" s="10"/>
      <c r="G403" s="10"/>
      <c r="H403" s="10" t="str">
        <f aca="false">IF(A403="","",Settings!$B$5)</f>
        <v/>
      </c>
      <c r="I403" s="11" t="str">
        <f aca="false">IF(A403="","",ROUND(K403*(Settings!$B$2+Settings!$B$3)/100+Settings!$B$4,2))</f>
        <v/>
      </c>
      <c r="J403" s="11" t="str">
        <f aca="false">IF(A403="","",ROUND(K403-E403*C403-H403-G403-I403,2))</f>
        <v/>
      </c>
      <c r="K403" s="11" t="str">
        <f aca="false">IF(A403="","",D403*C403+F403)</f>
        <v/>
      </c>
      <c r="L403" s="12" t="str">
        <f aca="false">IF(OR(A403="",K403=0),"",ROUND(J403/K403*100,2))</f>
        <v/>
      </c>
      <c r="M403" s="3" t="str">
        <f aca="false">IF(A403="","",TEXT(A403,"yyyy-mm"))</f>
        <v/>
      </c>
    </row>
    <row r="404" customFormat="false" ht="15" hidden="false" customHeight="false" outlineLevel="0" collapsed="false">
      <c r="A404" s="17"/>
      <c r="B404" s="9"/>
      <c r="C404" s="9"/>
      <c r="D404" s="10" t="str">
        <f aca="false">IF(B404="","",IFERROR(INDEX(Products!$D$5:$D$54,MATCH(B404,Products!$A$5:$A$54,0)),0))</f>
        <v/>
      </c>
      <c r="E404" s="10" t="str">
        <f aca="false">IF(B404="","",IFERROR(INDEX(Products!$C$5:$C$54,MATCH(B404,Products!$A$5:$A$54,0)),0))</f>
        <v/>
      </c>
      <c r="F404" s="10"/>
      <c r="G404" s="10"/>
      <c r="H404" s="10" t="str">
        <f aca="false">IF(A404="","",Settings!$B$5)</f>
        <v/>
      </c>
      <c r="I404" s="11" t="str">
        <f aca="false">IF(A404="","",ROUND(K404*(Settings!$B$2+Settings!$B$3)/100+Settings!$B$4,2))</f>
        <v/>
      </c>
      <c r="J404" s="11" t="str">
        <f aca="false">IF(A404="","",ROUND(K404-E404*C404-H404-G404-I404,2))</f>
        <v/>
      </c>
      <c r="K404" s="11" t="str">
        <f aca="false">IF(A404="","",D404*C404+F404)</f>
        <v/>
      </c>
      <c r="L404" s="12" t="str">
        <f aca="false">IF(OR(A404="",K404=0),"",ROUND(J404/K404*100,2))</f>
        <v/>
      </c>
      <c r="M404" s="3" t="str">
        <f aca="false">IF(A404="","",TEXT(A404,"yyyy-mm"))</f>
        <v/>
      </c>
    </row>
    <row r="405" customFormat="false" ht="15" hidden="false" customHeight="false" outlineLevel="0" collapsed="false">
      <c r="A405" s="17"/>
      <c r="B405" s="9"/>
      <c r="C405" s="9"/>
      <c r="D405" s="10" t="str">
        <f aca="false">IF(B405="","",IFERROR(INDEX(Products!$D$5:$D$54,MATCH(B405,Products!$A$5:$A$54,0)),0))</f>
        <v/>
      </c>
      <c r="E405" s="10" t="str">
        <f aca="false">IF(B405="","",IFERROR(INDEX(Products!$C$5:$C$54,MATCH(B405,Products!$A$5:$A$54,0)),0))</f>
        <v/>
      </c>
      <c r="F405" s="10"/>
      <c r="G405" s="10"/>
      <c r="H405" s="10" t="str">
        <f aca="false">IF(A405="","",Settings!$B$5)</f>
        <v/>
      </c>
      <c r="I405" s="11" t="str">
        <f aca="false">IF(A405="","",ROUND(K405*(Settings!$B$2+Settings!$B$3)/100+Settings!$B$4,2))</f>
        <v/>
      </c>
      <c r="J405" s="11" t="str">
        <f aca="false">IF(A405="","",ROUND(K405-E405*C405-H405-G405-I405,2))</f>
        <v/>
      </c>
      <c r="K405" s="11" t="str">
        <f aca="false">IF(A405="","",D405*C405+F405)</f>
        <v/>
      </c>
      <c r="L405" s="12" t="str">
        <f aca="false">IF(OR(A405="",K405=0),"",ROUND(J405/K405*100,2))</f>
        <v/>
      </c>
      <c r="M405" s="3" t="str">
        <f aca="false">IF(A405="","",TEXT(A405,"yyyy-mm"))</f>
        <v/>
      </c>
    </row>
    <row r="406" customFormat="false" ht="15" hidden="false" customHeight="false" outlineLevel="0" collapsed="false">
      <c r="A406" s="17"/>
      <c r="B406" s="9"/>
      <c r="C406" s="9"/>
      <c r="D406" s="10" t="str">
        <f aca="false">IF(B406="","",IFERROR(INDEX(Products!$D$5:$D$54,MATCH(B406,Products!$A$5:$A$54,0)),0))</f>
        <v/>
      </c>
      <c r="E406" s="10" t="str">
        <f aca="false">IF(B406="","",IFERROR(INDEX(Products!$C$5:$C$54,MATCH(B406,Products!$A$5:$A$54,0)),0))</f>
        <v/>
      </c>
      <c r="F406" s="10"/>
      <c r="G406" s="10"/>
      <c r="H406" s="10" t="str">
        <f aca="false">IF(A406="","",Settings!$B$5)</f>
        <v/>
      </c>
      <c r="I406" s="11" t="str">
        <f aca="false">IF(A406="","",ROUND(K406*(Settings!$B$2+Settings!$B$3)/100+Settings!$B$4,2))</f>
        <v/>
      </c>
      <c r="J406" s="11" t="str">
        <f aca="false">IF(A406="","",ROUND(K406-E406*C406-H406-G406-I406,2))</f>
        <v/>
      </c>
      <c r="K406" s="11" t="str">
        <f aca="false">IF(A406="","",D406*C406+F406)</f>
        <v/>
      </c>
      <c r="L406" s="12" t="str">
        <f aca="false">IF(OR(A406="",K406=0),"",ROUND(J406/K406*100,2))</f>
        <v/>
      </c>
      <c r="M406" s="3" t="str">
        <f aca="false">IF(A406="","",TEXT(A406,"yyyy-mm"))</f>
        <v/>
      </c>
    </row>
    <row r="407" customFormat="false" ht="15" hidden="false" customHeight="false" outlineLevel="0" collapsed="false">
      <c r="A407" s="17"/>
      <c r="B407" s="9"/>
      <c r="C407" s="9"/>
      <c r="D407" s="10" t="str">
        <f aca="false">IF(B407="","",IFERROR(INDEX(Products!$D$5:$D$54,MATCH(B407,Products!$A$5:$A$54,0)),0))</f>
        <v/>
      </c>
      <c r="E407" s="10" t="str">
        <f aca="false">IF(B407="","",IFERROR(INDEX(Products!$C$5:$C$54,MATCH(B407,Products!$A$5:$A$54,0)),0))</f>
        <v/>
      </c>
      <c r="F407" s="10"/>
      <c r="G407" s="10"/>
      <c r="H407" s="10" t="str">
        <f aca="false">IF(A407="","",Settings!$B$5)</f>
        <v/>
      </c>
      <c r="I407" s="11" t="str">
        <f aca="false">IF(A407="","",ROUND(K407*(Settings!$B$2+Settings!$B$3)/100+Settings!$B$4,2))</f>
        <v/>
      </c>
      <c r="J407" s="11" t="str">
        <f aca="false">IF(A407="","",ROUND(K407-E407*C407-H407-G407-I407,2))</f>
        <v/>
      </c>
      <c r="K407" s="11" t="str">
        <f aca="false">IF(A407="","",D407*C407+F407)</f>
        <v/>
      </c>
      <c r="L407" s="12" t="str">
        <f aca="false">IF(OR(A407="",K407=0),"",ROUND(J407/K407*100,2))</f>
        <v/>
      </c>
      <c r="M407" s="3" t="str">
        <f aca="false">IF(A407="","",TEXT(A407,"yyyy-mm"))</f>
        <v/>
      </c>
    </row>
    <row r="408" customFormat="false" ht="15" hidden="false" customHeight="false" outlineLevel="0" collapsed="false">
      <c r="A408" s="17"/>
      <c r="B408" s="9"/>
      <c r="C408" s="9"/>
      <c r="D408" s="10" t="str">
        <f aca="false">IF(B408="","",IFERROR(INDEX(Products!$D$5:$D$54,MATCH(B408,Products!$A$5:$A$54,0)),0))</f>
        <v/>
      </c>
      <c r="E408" s="10" t="str">
        <f aca="false">IF(B408="","",IFERROR(INDEX(Products!$C$5:$C$54,MATCH(B408,Products!$A$5:$A$54,0)),0))</f>
        <v/>
      </c>
      <c r="F408" s="10"/>
      <c r="G408" s="10"/>
      <c r="H408" s="10" t="str">
        <f aca="false">IF(A408="","",Settings!$B$5)</f>
        <v/>
      </c>
      <c r="I408" s="11" t="str">
        <f aca="false">IF(A408="","",ROUND(K408*(Settings!$B$2+Settings!$B$3)/100+Settings!$B$4,2))</f>
        <v/>
      </c>
      <c r="J408" s="11" t="str">
        <f aca="false">IF(A408="","",ROUND(K408-E408*C408-H408-G408-I408,2))</f>
        <v/>
      </c>
      <c r="K408" s="11" t="str">
        <f aca="false">IF(A408="","",D408*C408+F408)</f>
        <v/>
      </c>
      <c r="L408" s="12" t="str">
        <f aca="false">IF(OR(A408="",K408=0),"",ROUND(J408/K408*100,2))</f>
        <v/>
      </c>
      <c r="M408" s="3" t="str">
        <f aca="false">IF(A408="","",TEXT(A408,"yyyy-mm"))</f>
        <v/>
      </c>
    </row>
    <row r="409" customFormat="false" ht="15" hidden="false" customHeight="false" outlineLevel="0" collapsed="false">
      <c r="A409" s="17"/>
      <c r="B409" s="9"/>
      <c r="C409" s="9"/>
      <c r="D409" s="10" t="str">
        <f aca="false">IF(B409="","",IFERROR(INDEX(Products!$D$5:$D$54,MATCH(B409,Products!$A$5:$A$54,0)),0))</f>
        <v/>
      </c>
      <c r="E409" s="10" t="str">
        <f aca="false">IF(B409="","",IFERROR(INDEX(Products!$C$5:$C$54,MATCH(B409,Products!$A$5:$A$54,0)),0))</f>
        <v/>
      </c>
      <c r="F409" s="10"/>
      <c r="G409" s="10"/>
      <c r="H409" s="10" t="str">
        <f aca="false">IF(A409="","",Settings!$B$5)</f>
        <v/>
      </c>
      <c r="I409" s="11" t="str">
        <f aca="false">IF(A409="","",ROUND(K409*(Settings!$B$2+Settings!$B$3)/100+Settings!$B$4,2))</f>
        <v/>
      </c>
      <c r="J409" s="11" t="str">
        <f aca="false">IF(A409="","",ROUND(K409-E409*C409-H409-G409-I409,2))</f>
        <v/>
      </c>
      <c r="K409" s="11" t="str">
        <f aca="false">IF(A409="","",D409*C409+F409)</f>
        <v/>
      </c>
      <c r="L409" s="12" t="str">
        <f aca="false">IF(OR(A409="",K409=0),"",ROUND(J409/K409*100,2))</f>
        <v/>
      </c>
      <c r="M409" s="3" t="str">
        <f aca="false">IF(A409="","",TEXT(A409,"yyyy-mm"))</f>
        <v/>
      </c>
    </row>
    <row r="410" customFormat="false" ht="15" hidden="false" customHeight="false" outlineLevel="0" collapsed="false">
      <c r="A410" s="17"/>
      <c r="B410" s="9"/>
      <c r="C410" s="9"/>
      <c r="D410" s="10" t="str">
        <f aca="false">IF(B410="","",IFERROR(INDEX(Products!$D$5:$D$54,MATCH(B410,Products!$A$5:$A$54,0)),0))</f>
        <v/>
      </c>
      <c r="E410" s="10" t="str">
        <f aca="false">IF(B410="","",IFERROR(INDEX(Products!$C$5:$C$54,MATCH(B410,Products!$A$5:$A$54,0)),0))</f>
        <v/>
      </c>
      <c r="F410" s="10"/>
      <c r="G410" s="10"/>
      <c r="H410" s="10" t="str">
        <f aca="false">IF(A410="","",Settings!$B$5)</f>
        <v/>
      </c>
      <c r="I410" s="11" t="str">
        <f aca="false">IF(A410="","",ROUND(K410*(Settings!$B$2+Settings!$B$3)/100+Settings!$B$4,2))</f>
        <v/>
      </c>
      <c r="J410" s="11" t="str">
        <f aca="false">IF(A410="","",ROUND(K410-E410*C410-H410-G410-I410,2))</f>
        <v/>
      </c>
      <c r="K410" s="11" t="str">
        <f aca="false">IF(A410="","",D410*C410+F410)</f>
        <v/>
      </c>
      <c r="L410" s="12" t="str">
        <f aca="false">IF(OR(A410="",K410=0),"",ROUND(J410/K410*100,2))</f>
        <v/>
      </c>
      <c r="M410" s="3" t="str">
        <f aca="false">IF(A410="","",TEXT(A410,"yyyy-mm"))</f>
        <v/>
      </c>
    </row>
    <row r="411" customFormat="false" ht="15" hidden="false" customHeight="false" outlineLevel="0" collapsed="false">
      <c r="A411" s="17"/>
      <c r="B411" s="9"/>
      <c r="C411" s="9"/>
      <c r="D411" s="10" t="str">
        <f aca="false">IF(B411="","",IFERROR(INDEX(Products!$D$5:$D$54,MATCH(B411,Products!$A$5:$A$54,0)),0))</f>
        <v/>
      </c>
      <c r="E411" s="10" t="str">
        <f aca="false">IF(B411="","",IFERROR(INDEX(Products!$C$5:$C$54,MATCH(B411,Products!$A$5:$A$54,0)),0))</f>
        <v/>
      </c>
      <c r="F411" s="10"/>
      <c r="G411" s="10"/>
      <c r="H411" s="10" t="str">
        <f aca="false">IF(A411="","",Settings!$B$5)</f>
        <v/>
      </c>
      <c r="I411" s="11" t="str">
        <f aca="false">IF(A411="","",ROUND(K411*(Settings!$B$2+Settings!$B$3)/100+Settings!$B$4,2))</f>
        <v/>
      </c>
      <c r="J411" s="11" t="str">
        <f aca="false">IF(A411="","",ROUND(K411-E411*C411-H411-G411-I411,2))</f>
        <v/>
      </c>
      <c r="K411" s="11" t="str">
        <f aca="false">IF(A411="","",D411*C411+F411)</f>
        <v/>
      </c>
      <c r="L411" s="12" t="str">
        <f aca="false">IF(OR(A411="",K411=0),"",ROUND(J411/K411*100,2))</f>
        <v/>
      </c>
      <c r="M411" s="3" t="str">
        <f aca="false">IF(A411="","",TEXT(A411,"yyyy-mm"))</f>
        <v/>
      </c>
    </row>
    <row r="412" customFormat="false" ht="15" hidden="false" customHeight="false" outlineLevel="0" collapsed="false">
      <c r="A412" s="17"/>
      <c r="B412" s="9"/>
      <c r="C412" s="9"/>
      <c r="D412" s="10" t="str">
        <f aca="false">IF(B412="","",IFERROR(INDEX(Products!$D$5:$D$54,MATCH(B412,Products!$A$5:$A$54,0)),0))</f>
        <v/>
      </c>
      <c r="E412" s="10" t="str">
        <f aca="false">IF(B412="","",IFERROR(INDEX(Products!$C$5:$C$54,MATCH(B412,Products!$A$5:$A$54,0)),0))</f>
        <v/>
      </c>
      <c r="F412" s="10"/>
      <c r="G412" s="10"/>
      <c r="H412" s="10" t="str">
        <f aca="false">IF(A412="","",Settings!$B$5)</f>
        <v/>
      </c>
      <c r="I412" s="11" t="str">
        <f aca="false">IF(A412="","",ROUND(K412*(Settings!$B$2+Settings!$B$3)/100+Settings!$B$4,2))</f>
        <v/>
      </c>
      <c r="J412" s="11" t="str">
        <f aca="false">IF(A412="","",ROUND(K412-E412*C412-H412-G412-I412,2))</f>
        <v/>
      </c>
      <c r="K412" s="11" t="str">
        <f aca="false">IF(A412="","",D412*C412+F412)</f>
        <v/>
      </c>
      <c r="L412" s="12" t="str">
        <f aca="false">IF(OR(A412="",K412=0),"",ROUND(J412/K412*100,2))</f>
        <v/>
      </c>
      <c r="M412" s="3" t="str">
        <f aca="false">IF(A412="","",TEXT(A412,"yyyy-mm"))</f>
        <v/>
      </c>
    </row>
    <row r="413" customFormat="false" ht="15" hidden="false" customHeight="false" outlineLevel="0" collapsed="false">
      <c r="A413" s="17"/>
      <c r="B413" s="9"/>
      <c r="C413" s="9"/>
      <c r="D413" s="10" t="str">
        <f aca="false">IF(B413="","",IFERROR(INDEX(Products!$D$5:$D$54,MATCH(B413,Products!$A$5:$A$54,0)),0))</f>
        <v/>
      </c>
      <c r="E413" s="10" t="str">
        <f aca="false">IF(B413="","",IFERROR(INDEX(Products!$C$5:$C$54,MATCH(B413,Products!$A$5:$A$54,0)),0))</f>
        <v/>
      </c>
      <c r="F413" s="10"/>
      <c r="G413" s="10"/>
      <c r="H413" s="10" t="str">
        <f aca="false">IF(A413="","",Settings!$B$5)</f>
        <v/>
      </c>
      <c r="I413" s="11" t="str">
        <f aca="false">IF(A413="","",ROUND(K413*(Settings!$B$2+Settings!$B$3)/100+Settings!$B$4,2))</f>
        <v/>
      </c>
      <c r="J413" s="11" t="str">
        <f aca="false">IF(A413="","",ROUND(K413-E413*C413-H413-G413-I413,2))</f>
        <v/>
      </c>
      <c r="K413" s="11" t="str">
        <f aca="false">IF(A413="","",D413*C413+F413)</f>
        <v/>
      </c>
      <c r="L413" s="12" t="str">
        <f aca="false">IF(OR(A413="",K413=0),"",ROUND(J413/K413*100,2))</f>
        <v/>
      </c>
      <c r="M413" s="3" t="str">
        <f aca="false">IF(A413="","",TEXT(A413,"yyyy-mm"))</f>
        <v/>
      </c>
    </row>
    <row r="414" customFormat="false" ht="15" hidden="false" customHeight="false" outlineLevel="0" collapsed="false">
      <c r="A414" s="17"/>
      <c r="B414" s="9"/>
      <c r="C414" s="9"/>
      <c r="D414" s="10" t="str">
        <f aca="false">IF(B414="","",IFERROR(INDEX(Products!$D$5:$D$54,MATCH(B414,Products!$A$5:$A$54,0)),0))</f>
        <v/>
      </c>
      <c r="E414" s="10" t="str">
        <f aca="false">IF(B414="","",IFERROR(INDEX(Products!$C$5:$C$54,MATCH(B414,Products!$A$5:$A$54,0)),0))</f>
        <v/>
      </c>
      <c r="F414" s="10"/>
      <c r="G414" s="10"/>
      <c r="H414" s="10" t="str">
        <f aca="false">IF(A414="","",Settings!$B$5)</f>
        <v/>
      </c>
      <c r="I414" s="11" t="str">
        <f aca="false">IF(A414="","",ROUND(K414*(Settings!$B$2+Settings!$B$3)/100+Settings!$B$4,2))</f>
        <v/>
      </c>
      <c r="J414" s="11" t="str">
        <f aca="false">IF(A414="","",ROUND(K414-E414*C414-H414-G414-I414,2))</f>
        <v/>
      </c>
      <c r="K414" s="11" t="str">
        <f aca="false">IF(A414="","",D414*C414+F414)</f>
        <v/>
      </c>
      <c r="L414" s="12" t="str">
        <f aca="false">IF(OR(A414="",K414=0),"",ROUND(J414/K414*100,2))</f>
        <v/>
      </c>
      <c r="M414" s="3" t="str">
        <f aca="false">IF(A414="","",TEXT(A414,"yyyy-mm"))</f>
        <v/>
      </c>
    </row>
    <row r="415" customFormat="false" ht="15" hidden="false" customHeight="false" outlineLevel="0" collapsed="false">
      <c r="A415" s="17"/>
      <c r="B415" s="9"/>
      <c r="C415" s="9"/>
      <c r="D415" s="10" t="str">
        <f aca="false">IF(B415="","",IFERROR(INDEX(Products!$D$5:$D$54,MATCH(B415,Products!$A$5:$A$54,0)),0))</f>
        <v/>
      </c>
      <c r="E415" s="10" t="str">
        <f aca="false">IF(B415="","",IFERROR(INDEX(Products!$C$5:$C$54,MATCH(B415,Products!$A$5:$A$54,0)),0))</f>
        <v/>
      </c>
      <c r="F415" s="10"/>
      <c r="G415" s="10"/>
      <c r="H415" s="10" t="str">
        <f aca="false">IF(A415="","",Settings!$B$5)</f>
        <v/>
      </c>
      <c r="I415" s="11" t="str">
        <f aca="false">IF(A415="","",ROUND(K415*(Settings!$B$2+Settings!$B$3)/100+Settings!$B$4,2))</f>
        <v/>
      </c>
      <c r="J415" s="11" t="str">
        <f aca="false">IF(A415="","",ROUND(K415-E415*C415-H415-G415-I415,2))</f>
        <v/>
      </c>
      <c r="K415" s="11" t="str">
        <f aca="false">IF(A415="","",D415*C415+F415)</f>
        <v/>
      </c>
      <c r="L415" s="12" t="str">
        <f aca="false">IF(OR(A415="",K415=0),"",ROUND(J415/K415*100,2))</f>
        <v/>
      </c>
      <c r="M415" s="3" t="str">
        <f aca="false">IF(A415="","",TEXT(A415,"yyyy-mm"))</f>
        <v/>
      </c>
    </row>
    <row r="416" customFormat="false" ht="15" hidden="false" customHeight="false" outlineLevel="0" collapsed="false">
      <c r="A416" s="17"/>
      <c r="B416" s="9"/>
      <c r="C416" s="9"/>
      <c r="D416" s="10" t="str">
        <f aca="false">IF(B416="","",IFERROR(INDEX(Products!$D$5:$D$54,MATCH(B416,Products!$A$5:$A$54,0)),0))</f>
        <v/>
      </c>
      <c r="E416" s="10" t="str">
        <f aca="false">IF(B416="","",IFERROR(INDEX(Products!$C$5:$C$54,MATCH(B416,Products!$A$5:$A$54,0)),0))</f>
        <v/>
      </c>
      <c r="F416" s="10"/>
      <c r="G416" s="10"/>
      <c r="H416" s="10" t="str">
        <f aca="false">IF(A416="","",Settings!$B$5)</f>
        <v/>
      </c>
      <c r="I416" s="11" t="str">
        <f aca="false">IF(A416="","",ROUND(K416*(Settings!$B$2+Settings!$B$3)/100+Settings!$B$4,2))</f>
        <v/>
      </c>
      <c r="J416" s="11" t="str">
        <f aca="false">IF(A416="","",ROUND(K416-E416*C416-H416-G416-I416,2))</f>
        <v/>
      </c>
      <c r="K416" s="11" t="str">
        <f aca="false">IF(A416="","",D416*C416+F416)</f>
        <v/>
      </c>
      <c r="L416" s="12" t="str">
        <f aca="false">IF(OR(A416="",K416=0),"",ROUND(J416/K416*100,2))</f>
        <v/>
      </c>
      <c r="M416" s="3" t="str">
        <f aca="false">IF(A416="","",TEXT(A416,"yyyy-mm"))</f>
        <v/>
      </c>
    </row>
    <row r="417" customFormat="false" ht="15" hidden="false" customHeight="false" outlineLevel="0" collapsed="false">
      <c r="A417" s="17"/>
      <c r="B417" s="9"/>
      <c r="C417" s="9"/>
      <c r="D417" s="10" t="str">
        <f aca="false">IF(B417="","",IFERROR(INDEX(Products!$D$5:$D$54,MATCH(B417,Products!$A$5:$A$54,0)),0))</f>
        <v/>
      </c>
      <c r="E417" s="10" t="str">
        <f aca="false">IF(B417="","",IFERROR(INDEX(Products!$C$5:$C$54,MATCH(B417,Products!$A$5:$A$54,0)),0))</f>
        <v/>
      </c>
      <c r="F417" s="10"/>
      <c r="G417" s="10"/>
      <c r="H417" s="10" t="str">
        <f aca="false">IF(A417="","",Settings!$B$5)</f>
        <v/>
      </c>
      <c r="I417" s="11" t="str">
        <f aca="false">IF(A417="","",ROUND(K417*(Settings!$B$2+Settings!$B$3)/100+Settings!$B$4,2))</f>
        <v/>
      </c>
      <c r="J417" s="11" t="str">
        <f aca="false">IF(A417="","",ROUND(K417-E417*C417-H417-G417-I417,2))</f>
        <v/>
      </c>
      <c r="K417" s="11" t="str">
        <f aca="false">IF(A417="","",D417*C417+F417)</f>
        <v/>
      </c>
      <c r="L417" s="12" t="str">
        <f aca="false">IF(OR(A417="",K417=0),"",ROUND(J417/K417*100,2))</f>
        <v/>
      </c>
      <c r="M417" s="3" t="str">
        <f aca="false">IF(A417="","",TEXT(A417,"yyyy-mm"))</f>
        <v/>
      </c>
    </row>
    <row r="418" customFormat="false" ht="15" hidden="false" customHeight="false" outlineLevel="0" collapsed="false">
      <c r="A418" s="17"/>
      <c r="B418" s="9"/>
      <c r="C418" s="9"/>
      <c r="D418" s="10" t="str">
        <f aca="false">IF(B418="","",IFERROR(INDEX(Products!$D$5:$D$54,MATCH(B418,Products!$A$5:$A$54,0)),0))</f>
        <v/>
      </c>
      <c r="E418" s="10" t="str">
        <f aca="false">IF(B418="","",IFERROR(INDEX(Products!$C$5:$C$54,MATCH(B418,Products!$A$5:$A$54,0)),0))</f>
        <v/>
      </c>
      <c r="F418" s="10"/>
      <c r="G418" s="10"/>
      <c r="H418" s="10" t="str">
        <f aca="false">IF(A418="","",Settings!$B$5)</f>
        <v/>
      </c>
      <c r="I418" s="11" t="str">
        <f aca="false">IF(A418="","",ROUND(K418*(Settings!$B$2+Settings!$B$3)/100+Settings!$B$4,2))</f>
        <v/>
      </c>
      <c r="J418" s="11" t="str">
        <f aca="false">IF(A418="","",ROUND(K418-E418*C418-H418-G418-I418,2))</f>
        <v/>
      </c>
      <c r="K418" s="11" t="str">
        <f aca="false">IF(A418="","",D418*C418+F418)</f>
        <v/>
      </c>
      <c r="L418" s="12" t="str">
        <f aca="false">IF(OR(A418="",K418=0),"",ROUND(J418/K418*100,2))</f>
        <v/>
      </c>
      <c r="M418" s="3" t="str">
        <f aca="false">IF(A418="","",TEXT(A418,"yyyy-mm"))</f>
        <v/>
      </c>
    </row>
    <row r="419" customFormat="false" ht="15" hidden="false" customHeight="false" outlineLevel="0" collapsed="false">
      <c r="A419" s="17"/>
      <c r="B419" s="9"/>
      <c r="C419" s="9"/>
      <c r="D419" s="10" t="str">
        <f aca="false">IF(B419="","",IFERROR(INDEX(Products!$D$5:$D$54,MATCH(B419,Products!$A$5:$A$54,0)),0))</f>
        <v/>
      </c>
      <c r="E419" s="10" t="str">
        <f aca="false">IF(B419="","",IFERROR(INDEX(Products!$C$5:$C$54,MATCH(B419,Products!$A$5:$A$54,0)),0))</f>
        <v/>
      </c>
      <c r="F419" s="10"/>
      <c r="G419" s="10"/>
      <c r="H419" s="10" t="str">
        <f aca="false">IF(A419="","",Settings!$B$5)</f>
        <v/>
      </c>
      <c r="I419" s="11" t="str">
        <f aca="false">IF(A419="","",ROUND(K419*(Settings!$B$2+Settings!$B$3)/100+Settings!$B$4,2))</f>
        <v/>
      </c>
      <c r="J419" s="11" t="str">
        <f aca="false">IF(A419="","",ROUND(K419-E419*C419-H419-G419-I419,2))</f>
        <v/>
      </c>
      <c r="K419" s="11" t="str">
        <f aca="false">IF(A419="","",D419*C419+F419)</f>
        <v/>
      </c>
      <c r="L419" s="12" t="str">
        <f aca="false">IF(OR(A419="",K419=0),"",ROUND(J419/K419*100,2))</f>
        <v/>
      </c>
      <c r="M419" s="3" t="str">
        <f aca="false">IF(A419="","",TEXT(A419,"yyyy-mm"))</f>
        <v/>
      </c>
    </row>
    <row r="420" customFormat="false" ht="15" hidden="false" customHeight="false" outlineLevel="0" collapsed="false">
      <c r="A420" s="17"/>
      <c r="B420" s="9"/>
      <c r="C420" s="9"/>
      <c r="D420" s="10" t="str">
        <f aca="false">IF(B420="","",IFERROR(INDEX(Products!$D$5:$D$54,MATCH(B420,Products!$A$5:$A$54,0)),0))</f>
        <v/>
      </c>
      <c r="E420" s="10" t="str">
        <f aca="false">IF(B420="","",IFERROR(INDEX(Products!$C$5:$C$54,MATCH(B420,Products!$A$5:$A$54,0)),0))</f>
        <v/>
      </c>
      <c r="F420" s="10"/>
      <c r="G420" s="10"/>
      <c r="H420" s="10" t="str">
        <f aca="false">IF(A420="","",Settings!$B$5)</f>
        <v/>
      </c>
      <c r="I420" s="11" t="str">
        <f aca="false">IF(A420="","",ROUND(K420*(Settings!$B$2+Settings!$B$3)/100+Settings!$B$4,2))</f>
        <v/>
      </c>
      <c r="J420" s="11" t="str">
        <f aca="false">IF(A420="","",ROUND(K420-E420*C420-H420-G420-I420,2))</f>
        <v/>
      </c>
      <c r="K420" s="11" t="str">
        <f aca="false">IF(A420="","",D420*C420+F420)</f>
        <v/>
      </c>
      <c r="L420" s="12" t="str">
        <f aca="false">IF(OR(A420="",K420=0),"",ROUND(J420/K420*100,2))</f>
        <v/>
      </c>
      <c r="M420" s="3" t="str">
        <f aca="false">IF(A420="","",TEXT(A420,"yyyy-mm"))</f>
        <v/>
      </c>
    </row>
    <row r="421" customFormat="false" ht="15" hidden="false" customHeight="false" outlineLevel="0" collapsed="false">
      <c r="A421" s="17"/>
      <c r="B421" s="9"/>
      <c r="C421" s="9"/>
      <c r="D421" s="10" t="str">
        <f aca="false">IF(B421="","",IFERROR(INDEX(Products!$D$5:$D$54,MATCH(B421,Products!$A$5:$A$54,0)),0))</f>
        <v/>
      </c>
      <c r="E421" s="10" t="str">
        <f aca="false">IF(B421="","",IFERROR(INDEX(Products!$C$5:$C$54,MATCH(B421,Products!$A$5:$A$54,0)),0))</f>
        <v/>
      </c>
      <c r="F421" s="10"/>
      <c r="G421" s="10"/>
      <c r="H421" s="10" t="str">
        <f aca="false">IF(A421="","",Settings!$B$5)</f>
        <v/>
      </c>
      <c r="I421" s="11" t="str">
        <f aca="false">IF(A421="","",ROUND(K421*(Settings!$B$2+Settings!$B$3)/100+Settings!$B$4,2))</f>
        <v/>
      </c>
      <c r="J421" s="11" t="str">
        <f aca="false">IF(A421="","",ROUND(K421-E421*C421-H421-G421-I421,2))</f>
        <v/>
      </c>
      <c r="K421" s="11" t="str">
        <f aca="false">IF(A421="","",D421*C421+F421)</f>
        <v/>
      </c>
      <c r="L421" s="12" t="str">
        <f aca="false">IF(OR(A421="",K421=0),"",ROUND(J421/K421*100,2))</f>
        <v/>
      </c>
      <c r="M421" s="3" t="str">
        <f aca="false">IF(A421="","",TEXT(A421,"yyyy-mm"))</f>
        <v/>
      </c>
    </row>
    <row r="422" customFormat="false" ht="15" hidden="false" customHeight="false" outlineLevel="0" collapsed="false">
      <c r="A422" s="17"/>
      <c r="B422" s="9"/>
      <c r="C422" s="9"/>
      <c r="D422" s="10" t="str">
        <f aca="false">IF(B422="","",IFERROR(INDEX(Products!$D$5:$D$54,MATCH(B422,Products!$A$5:$A$54,0)),0))</f>
        <v/>
      </c>
      <c r="E422" s="10" t="str">
        <f aca="false">IF(B422="","",IFERROR(INDEX(Products!$C$5:$C$54,MATCH(B422,Products!$A$5:$A$54,0)),0))</f>
        <v/>
      </c>
      <c r="F422" s="10"/>
      <c r="G422" s="10"/>
      <c r="H422" s="10" t="str">
        <f aca="false">IF(A422="","",Settings!$B$5)</f>
        <v/>
      </c>
      <c r="I422" s="11" t="str">
        <f aca="false">IF(A422="","",ROUND(K422*(Settings!$B$2+Settings!$B$3)/100+Settings!$B$4,2))</f>
        <v/>
      </c>
      <c r="J422" s="11" t="str">
        <f aca="false">IF(A422="","",ROUND(K422-E422*C422-H422-G422-I422,2))</f>
        <v/>
      </c>
      <c r="K422" s="11" t="str">
        <f aca="false">IF(A422="","",D422*C422+F422)</f>
        <v/>
      </c>
      <c r="L422" s="12" t="str">
        <f aca="false">IF(OR(A422="",K422=0),"",ROUND(J422/K422*100,2))</f>
        <v/>
      </c>
      <c r="M422" s="3" t="str">
        <f aca="false">IF(A422="","",TEXT(A422,"yyyy-mm"))</f>
        <v/>
      </c>
    </row>
    <row r="423" customFormat="false" ht="15" hidden="false" customHeight="false" outlineLevel="0" collapsed="false">
      <c r="A423" s="17"/>
      <c r="B423" s="9"/>
      <c r="C423" s="9"/>
      <c r="D423" s="10" t="str">
        <f aca="false">IF(B423="","",IFERROR(INDEX(Products!$D$5:$D$54,MATCH(B423,Products!$A$5:$A$54,0)),0))</f>
        <v/>
      </c>
      <c r="E423" s="10" t="str">
        <f aca="false">IF(B423="","",IFERROR(INDEX(Products!$C$5:$C$54,MATCH(B423,Products!$A$5:$A$54,0)),0))</f>
        <v/>
      </c>
      <c r="F423" s="10"/>
      <c r="G423" s="10"/>
      <c r="H423" s="10" t="str">
        <f aca="false">IF(A423="","",Settings!$B$5)</f>
        <v/>
      </c>
      <c r="I423" s="11" t="str">
        <f aca="false">IF(A423="","",ROUND(K423*(Settings!$B$2+Settings!$B$3)/100+Settings!$B$4,2))</f>
        <v/>
      </c>
      <c r="J423" s="11" t="str">
        <f aca="false">IF(A423="","",ROUND(K423-E423*C423-H423-G423-I423,2))</f>
        <v/>
      </c>
      <c r="K423" s="11" t="str">
        <f aca="false">IF(A423="","",D423*C423+F423)</f>
        <v/>
      </c>
      <c r="L423" s="12" t="str">
        <f aca="false">IF(OR(A423="",K423=0),"",ROUND(J423/K423*100,2))</f>
        <v/>
      </c>
      <c r="M423" s="3" t="str">
        <f aca="false">IF(A423="","",TEXT(A423,"yyyy-mm"))</f>
        <v/>
      </c>
    </row>
    <row r="424" customFormat="false" ht="15" hidden="false" customHeight="false" outlineLevel="0" collapsed="false">
      <c r="A424" s="17"/>
      <c r="B424" s="9"/>
      <c r="C424" s="9"/>
      <c r="D424" s="10" t="str">
        <f aca="false">IF(B424="","",IFERROR(INDEX(Products!$D$5:$D$54,MATCH(B424,Products!$A$5:$A$54,0)),0))</f>
        <v/>
      </c>
      <c r="E424" s="10" t="str">
        <f aca="false">IF(B424="","",IFERROR(INDEX(Products!$C$5:$C$54,MATCH(B424,Products!$A$5:$A$54,0)),0))</f>
        <v/>
      </c>
      <c r="F424" s="10"/>
      <c r="G424" s="10"/>
      <c r="H424" s="10" t="str">
        <f aca="false">IF(A424="","",Settings!$B$5)</f>
        <v/>
      </c>
      <c r="I424" s="11" t="str">
        <f aca="false">IF(A424="","",ROUND(K424*(Settings!$B$2+Settings!$B$3)/100+Settings!$B$4,2))</f>
        <v/>
      </c>
      <c r="J424" s="11" t="str">
        <f aca="false">IF(A424="","",ROUND(K424-E424*C424-H424-G424-I424,2))</f>
        <v/>
      </c>
      <c r="K424" s="11" t="str">
        <f aca="false">IF(A424="","",D424*C424+F424)</f>
        <v/>
      </c>
      <c r="L424" s="12" t="str">
        <f aca="false">IF(OR(A424="",K424=0),"",ROUND(J424/K424*100,2))</f>
        <v/>
      </c>
      <c r="M424" s="3" t="str">
        <f aca="false">IF(A424="","",TEXT(A424,"yyyy-mm"))</f>
        <v/>
      </c>
    </row>
    <row r="425" customFormat="false" ht="15" hidden="false" customHeight="false" outlineLevel="0" collapsed="false">
      <c r="A425" s="17"/>
      <c r="B425" s="9"/>
      <c r="C425" s="9"/>
      <c r="D425" s="10" t="str">
        <f aca="false">IF(B425="","",IFERROR(INDEX(Products!$D$5:$D$54,MATCH(B425,Products!$A$5:$A$54,0)),0))</f>
        <v/>
      </c>
      <c r="E425" s="10" t="str">
        <f aca="false">IF(B425="","",IFERROR(INDEX(Products!$C$5:$C$54,MATCH(B425,Products!$A$5:$A$54,0)),0))</f>
        <v/>
      </c>
      <c r="F425" s="10"/>
      <c r="G425" s="10"/>
      <c r="H425" s="10" t="str">
        <f aca="false">IF(A425="","",Settings!$B$5)</f>
        <v/>
      </c>
      <c r="I425" s="11" t="str">
        <f aca="false">IF(A425="","",ROUND(K425*(Settings!$B$2+Settings!$B$3)/100+Settings!$B$4,2))</f>
        <v/>
      </c>
      <c r="J425" s="11" t="str">
        <f aca="false">IF(A425="","",ROUND(K425-E425*C425-H425-G425-I425,2))</f>
        <v/>
      </c>
      <c r="K425" s="11" t="str">
        <f aca="false">IF(A425="","",D425*C425+F425)</f>
        <v/>
      </c>
      <c r="L425" s="12" t="str">
        <f aca="false">IF(OR(A425="",K425=0),"",ROUND(J425/K425*100,2))</f>
        <v/>
      </c>
      <c r="M425" s="3" t="str">
        <f aca="false">IF(A425="","",TEXT(A425,"yyyy-mm"))</f>
        <v/>
      </c>
    </row>
    <row r="426" customFormat="false" ht="15" hidden="false" customHeight="false" outlineLevel="0" collapsed="false">
      <c r="A426" s="17"/>
      <c r="B426" s="9"/>
      <c r="C426" s="9"/>
      <c r="D426" s="10" t="str">
        <f aca="false">IF(B426="","",IFERROR(INDEX(Products!$D$5:$D$54,MATCH(B426,Products!$A$5:$A$54,0)),0))</f>
        <v/>
      </c>
      <c r="E426" s="10" t="str">
        <f aca="false">IF(B426="","",IFERROR(INDEX(Products!$C$5:$C$54,MATCH(B426,Products!$A$5:$A$54,0)),0))</f>
        <v/>
      </c>
      <c r="F426" s="10"/>
      <c r="G426" s="10"/>
      <c r="H426" s="10" t="str">
        <f aca="false">IF(A426="","",Settings!$B$5)</f>
        <v/>
      </c>
      <c r="I426" s="11" t="str">
        <f aca="false">IF(A426="","",ROUND(K426*(Settings!$B$2+Settings!$B$3)/100+Settings!$B$4,2))</f>
        <v/>
      </c>
      <c r="J426" s="11" t="str">
        <f aca="false">IF(A426="","",ROUND(K426-E426*C426-H426-G426-I426,2))</f>
        <v/>
      </c>
      <c r="K426" s="11" t="str">
        <f aca="false">IF(A426="","",D426*C426+F426)</f>
        <v/>
      </c>
      <c r="L426" s="12" t="str">
        <f aca="false">IF(OR(A426="",K426=0),"",ROUND(J426/K426*100,2))</f>
        <v/>
      </c>
      <c r="M426" s="3" t="str">
        <f aca="false">IF(A426="","",TEXT(A426,"yyyy-mm"))</f>
        <v/>
      </c>
    </row>
    <row r="427" customFormat="false" ht="15" hidden="false" customHeight="false" outlineLevel="0" collapsed="false">
      <c r="A427" s="17"/>
      <c r="B427" s="9"/>
      <c r="C427" s="9"/>
      <c r="D427" s="10" t="str">
        <f aca="false">IF(B427="","",IFERROR(INDEX(Products!$D$5:$D$54,MATCH(B427,Products!$A$5:$A$54,0)),0))</f>
        <v/>
      </c>
      <c r="E427" s="10" t="str">
        <f aca="false">IF(B427="","",IFERROR(INDEX(Products!$C$5:$C$54,MATCH(B427,Products!$A$5:$A$54,0)),0))</f>
        <v/>
      </c>
      <c r="F427" s="10"/>
      <c r="G427" s="10"/>
      <c r="H427" s="10" t="str">
        <f aca="false">IF(A427="","",Settings!$B$5)</f>
        <v/>
      </c>
      <c r="I427" s="11" t="str">
        <f aca="false">IF(A427="","",ROUND(K427*(Settings!$B$2+Settings!$B$3)/100+Settings!$B$4,2))</f>
        <v/>
      </c>
      <c r="J427" s="11" t="str">
        <f aca="false">IF(A427="","",ROUND(K427-E427*C427-H427-G427-I427,2))</f>
        <v/>
      </c>
      <c r="K427" s="11" t="str">
        <f aca="false">IF(A427="","",D427*C427+F427)</f>
        <v/>
      </c>
      <c r="L427" s="12" t="str">
        <f aca="false">IF(OR(A427="",K427=0),"",ROUND(J427/K427*100,2))</f>
        <v/>
      </c>
      <c r="M427" s="3" t="str">
        <f aca="false">IF(A427="","",TEXT(A427,"yyyy-mm"))</f>
        <v/>
      </c>
    </row>
    <row r="428" customFormat="false" ht="15" hidden="false" customHeight="false" outlineLevel="0" collapsed="false">
      <c r="A428" s="17"/>
      <c r="B428" s="9"/>
      <c r="C428" s="9"/>
      <c r="D428" s="10" t="str">
        <f aca="false">IF(B428="","",IFERROR(INDEX(Products!$D$5:$D$54,MATCH(B428,Products!$A$5:$A$54,0)),0))</f>
        <v/>
      </c>
      <c r="E428" s="10" t="str">
        <f aca="false">IF(B428="","",IFERROR(INDEX(Products!$C$5:$C$54,MATCH(B428,Products!$A$5:$A$54,0)),0))</f>
        <v/>
      </c>
      <c r="F428" s="10"/>
      <c r="G428" s="10"/>
      <c r="H428" s="10" t="str">
        <f aca="false">IF(A428="","",Settings!$B$5)</f>
        <v/>
      </c>
      <c r="I428" s="11" t="str">
        <f aca="false">IF(A428="","",ROUND(K428*(Settings!$B$2+Settings!$B$3)/100+Settings!$B$4,2))</f>
        <v/>
      </c>
      <c r="J428" s="11" t="str">
        <f aca="false">IF(A428="","",ROUND(K428-E428*C428-H428-G428-I428,2))</f>
        <v/>
      </c>
      <c r="K428" s="11" t="str">
        <f aca="false">IF(A428="","",D428*C428+F428)</f>
        <v/>
      </c>
      <c r="L428" s="12" t="str">
        <f aca="false">IF(OR(A428="",K428=0),"",ROUND(J428/K428*100,2))</f>
        <v/>
      </c>
      <c r="M428" s="3" t="str">
        <f aca="false">IF(A428="","",TEXT(A428,"yyyy-mm"))</f>
        <v/>
      </c>
    </row>
    <row r="429" customFormat="false" ht="15" hidden="false" customHeight="false" outlineLevel="0" collapsed="false">
      <c r="A429" s="17"/>
      <c r="B429" s="9"/>
      <c r="C429" s="9"/>
      <c r="D429" s="10" t="str">
        <f aca="false">IF(B429="","",IFERROR(INDEX(Products!$D$5:$D$54,MATCH(B429,Products!$A$5:$A$54,0)),0))</f>
        <v/>
      </c>
      <c r="E429" s="10" t="str">
        <f aca="false">IF(B429="","",IFERROR(INDEX(Products!$C$5:$C$54,MATCH(B429,Products!$A$5:$A$54,0)),0))</f>
        <v/>
      </c>
      <c r="F429" s="10"/>
      <c r="G429" s="10"/>
      <c r="H429" s="10" t="str">
        <f aca="false">IF(A429="","",Settings!$B$5)</f>
        <v/>
      </c>
      <c r="I429" s="11" t="str">
        <f aca="false">IF(A429="","",ROUND(K429*(Settings!$B$2+Settings!$B$3)/100+Settings!$B$4,2))</f>
        <v/>
      </c>
      <c r="J429" s="11" t="str">
        <f aca="false">IF(A429="","",ROUND(K429-E429*C429-H429-G429-I429,2))</f>
        <v/>
      </c>
      <c r="K429" s="11" t="str">
        <f aca="false">IF(A429="","",D429*C429+F429)</f>
        <v/>
      </c>
      <c r="L429" s="12" t="str">
        <f aca="false">IF(OR(A429="",K429=0),"",ROUND(J429/K429*100,2))</f>
        <v/>
      </c>
      <c r="M429" s="3" t="str">
        <f aca="false">IF(A429="","",TEXT(A429,"yyyy-mm"))</f>
        <v/>
      </c>
    </row>
    <row r="430" customFormat="false" ht="15" hidden="false" customHeight="false" outlineLevel="0" collapsed="false">
      <c r="A430" s="17"/>
      <c r="B430" s="9"/>
      <c r="C430" s="9"/>
      <c r="D430" s="10" t="str">
        <f aca="false">IF(B430="","",IFERROR(INDEX(Products!$D$5:$D$54,MATCH(B430,Products!$A$5:$A$54,0)),0))</f>
        <v/>
      </c>
      <c r="E430" s="10" t="str">
        <f aca="false">IF(B430="","",IFERROR(INDEX(Products!$C$5:$C$54,MATCH(B430,Products!$A$5:$A$54,0)),0))</f>
        <v/>
      </c>
      <c r="F430" s="10"/>
      <c r="G430" s="10"/>
      <c r="H430" s="10" t="str">
        <f aca="false">IF(A430="","",Settings!$B$5)</f>
        <v/>
      </c>
      <c r="I430" s="11" t="str">
        <f aca="false">IF(A430="","",ROUND(K430*(Settings!$B$2+Settings!$B$3)/100+Settings!$B$4,2))</f>
        <v/>
      </c>
      <c r="J430" s="11" t="str">
        <f aca="false">IF(A430="","",ROUND(K430-E430*C430-H430-G430-I430,2))</f>
        <v/>
      </c>
      <c r="K430" s="11" t="str">
        <f aca="false">IF(A430="","",D430*C430+F430)</f>
        <v/>
      </c>
      <c r="L430" s="12" t="str">
        <f aca="false">IF(OR(A430="",K430=0),"",ROUND(J430/K430*100,2))</f>
        <v/>
      </c>
      <c r="M430" s="3" t="str">
        <f aca="false">IF(A430="","",TEXT(A430,"yyyy-mm"))</f>
        <v/>
      </c>
    </row>
    <row r="431" customFormat="false" ht="15" hidden="false" customHeight="false" outlineLevel="0" collapsed="false">
      <c r="A431" s="17"/>
      <c r="B431" s="9"/>
      <c r="C431" s="9"/>
      <c r="D431" s="10" t="str">
        <f aca="false">IF(B431="","",IFERROR(INDEX(Products!$D$5:$D$54,MATCH(B431,Products!$A$5:$A$54,0)),0))</f>
        <v/>
      </c>
      <c r="E431" s="10" t="str">
        <f aca="false">IF(B431="","",IFERROR(INDEX(Products!$C$5:$C$54,MATCH(B431,Products!$A$5:$A$54,0)),0))</f>
        <v/>
      </c>
      <c r="F431" s="10"/>
      <c r="G431" s="10"/>
      <c r="H431" s="10" t="str">
        <f aca="false">IF(A431="","",Settings!$B$5)</f>
        <v/>
      </c>
      <c r="I431" s="11" t="str">
        <f aca="false">IF(A431="","",ROUND(K431*(Settings!$B$2+Settings!$B$3)/100+Settings!$B$4,2))</f>
        <v/>
      </c>
      <c r="J431" s="11" t="str">
        <f aca="false">IF(A431="","",ROUND(K431-E431*C431-H431-G431-I431,2))</f>
        <v/>
      </c>
      <c r="K431" s="11" t="str">
        <f aca="false">IF(A431="","",D431*C431+F431)</f>
        <v/>
      </c>
      <c r="L431" s="12" t="str">
        <f aca="false">IF(OR(A431="",K431=0),"",ROUND(J431/K431*100,2))</f>
        <v/>
      </c>
      <c r="M431" s="3" t="str">
        <f aca="false">IF(A431="","",TEXT(A431,"yyyy-mm"))</f>
        <v/>
      </c>
    </row>
    <row r="432" customFormat="false" ht="15" hidden="false" customHeight="false" outlineLevel="0" collapsed="false">
      <c r="A432" s="17"/>
      <c r="B432" s="9"/>
      <c r="C432" s="9"/>
      <c r="D432" s="10" t="str">
        <f aca="false">IF(B432="","",IFERROR(INDEX(Products!$D$5:$D$54,MATCH(B432,Products!$A$5:$A$54,0)),0))</f>
        <v/>
      </c>
      <c r="E432" s="10" t="str">
        <f aca="false">IF(B432="","",IFERROR(INDEX(Products!$C$5:$C$54,MATCH(B432,Products!$A$5:$A$54,0)),0))</f>
        <v/>
      </c>
      <c r="F432" s="10"/>
      <c r="G432" s="10"/>
      <c r="H432" s="10" t="str">
        <f aca="false">IF(A432="","",Settings!$B$5)</f>
        <v/>
      </c>
      <c r="I432" s="11" t="str">
        <f aca="false">IF(A432="","",ROUND(K432*(Settings!$B$2+Settings!$B$3)/100+Settings!$B$4,2))</f>
        <v/>
      </c>
      <c r="J432" s="11" t="str">
        <f aca="false">IF(A432="","",ROUND(K432-E432*C432-H432-G432-I432,2))</f>
        <v/>
      </c>
      <c r="K432" s="11" t="str">
        <f aca="false">IF(A432="","",D432*C432+F432)</f>
        <v/>
      </c>
      <c r="L432" s="12" t="str">
        <f aca="false">IF(OR(A432="",K432=0),"",ROUND(J432/K432*100,2))</f>
        <v/>
      </c>
      <c r="M432" s="3" t="str">
        <f aca="false">IF(A432="","",TEXT(A432,"yyyy-mm"))</f>
        <v/>
      </c>
    </row>
    <row r="433" customFormat="false" ht="15" hidden="false" customHeight="false" outlineLevel="0" collapsed="false">
      <c r="A433" s="17"/>
      <c r="B433" s="9"/>
      <c r="C433" s="9"/>
      <c r="D433" s="10" t="str">
        <f aca="false">IF(B433="","",IFERROR(INDEX(Products!$D$5:$D$54,MATCH(B433,Products!$A$5:$A$54,0)),0))</f>
        <v/>
      </c>
      <c r="E433" s="10" t="str">
        <f aca="false">IF(B433="","",IFERROR(INDEX(Products!$C$5:$C$54,MATCH(B433,Products!$A$5:$A$54,0)),0))</f>
        <v/>
      </c>
      <c r="F433" s="10"/>
      <c r="G433" s="10"/>
      <c r="H433" s="10" t="str">
        <f aca="false">IF(A433="","",Settings!$B$5)</f>
        <v/>
      </c>
      <c r="I433" s="11" t="str">
        <f aca="false">IF(A433="","",ROUND(K433*(Settings!$B$2+Settings!$B$3)/100+Settings!$B$4,2))</f>
        <v/>
      </c>
      <c r="J433" s="11" t="str">
        <f aca="false">IF(A433="","",ROUND(K433-E433*C433-H433-G433-I433,2))</f>
        <v/>
      </c>
      <c r="K433" s="11" t="str">
        <f aca="false">IF(A433="","",D433*C433+F433)</f>
        <v/>
      </c>
      <c r="L433" s="12" t="str">
        <f aca="false">IF(OR(A433="",K433=0),"",ROUND(J433/K433*100,2))</f>
        <v/>
      </c>
      <c r="M433" s="3" t="str">
        <f aca="false">IF(A433="","",TEXT(A433,"yyyy-mm"))</f>
        <v/>
      </c>
    </row>
    <row r="434" customFormat="false" ht="15" hidden="false" customHeight="false" outlineLevel="0" collapsed="false">
      <c r="A434" s="17"/>
      <c r="B434" s="9"/>
      <c r="C434" s="9"/>
      <c r="D434" s="10" t="str">
        <f aca="false">IF(B434="","",IFERROR(INDEX(Products!$D$5:$D$54,MATCH(B434,Products!$A$5:$A$54,0)),0))</f>
        <v/>
      </c>
      <c r="E434" s="10" t="str">
        <f aca="false">IF(B434="","",IFERROR(INDEX(Products!$C$5:$C$54,MATCH(B434,Products!$A$5:$A$54,0)),0))</f>
        <v/>
      </c>
      <c r="F434" s="10"/>
      <c r="G434" s="10"/>
      <c r="H434" s="10" t="str">
        <f aca="false">IF(A434="","",Settings!$B$5)</f>
        <v/>
      </c>
      <c r="I434" s="11" t="str">
        <f aca="false">IF(A434="","",ROUND(K434*(Settings!$B$2+Settings!$B$3)/100+Settings!$B$4,2))</f>
        <v/>
      </c>
      <c r="J434" s="11" t="str">
        <f aca="false">IF(A434="","",ROUND(K434-E434*C434-H434-G434-I434,2))</f>
        <v/>
      </c>
      <c r="K434" s="11" t="str">
        <f aca="false">IF(A434="","",D434*C434+F434)</f>
        <v/>
      </c>
      <c r="L434" s="12" t="str">
        <f aca="false">IF(OR(A434="",K434=0),"",ROUND(J434/K434*100,2))</f>
        <v/>
      </c>
      <c r="M434" s="3" t="str">
        <f aca="false">IF(A434="","",TEXT(A434,"yyyy-mm"))</f>
        <v/>
      </c>
    </row>
    <row r="435" customFormat="false" ht="15" hidden="false" customHeight="false" outlineLevel="0" collapsed="false">
      <c r="A435" s="17"/>
      <c r="B435" s="9"/>
      <c r="C435" s="9"/>
      <c r="D435" s="10" t="str">
        <f aca="false">IF(B435="","",IFERROR(INDEX(Products!$D$5:$D$54,MATCH(B435,Products!$A$5:$A$54,0)),0))</f>
        <v/>
      </c>
      <c r="E435" s="10" t="str">
        <f aca="false">IF(B435="","",IFERROR(INDEX(Products!$C$5:$C$54,MATCH(B435,Products!$A$5:$A$54,0)),0))</f>
        <v/>
      </c>
      <c r="F435" s="10"/>
      <c r="G435" s="10"/>
      <c r="H435" s="10" t="str">
        <f aca="false">IF(A435="","",Settings!$B$5)</f>
        <v/>
      </c>
      <c r="I435" s="11" t="str">
        <f aca="false">IF(A435="","",ROUND(K435*(Settings!$B$2+Settings!$B$3)/100+Settings!$B$4,2))</f>
        <v/>
      </c>
      <c r="J435" s="11" t="str">
        <f aca="false">IF(A435="","",ROUND(K435-E435*C435-H435-G435-I435,2))</f>
        <v/>
      </c>
      <c r="K435" s="11" t="str">
        <f aca="false">IF(A435="","",D435*C435+F435)</f>
        <v/>
      </c>
      <c r="L435" s="12" t="str">
        <f aca="false">IF(OR(A435="",K435=0),"",ROUND(J435/K435*100,2))</f>
        <v/>
      </c>
      <c r="M435" s="3" t="str">
        <f aca="false">IF(A435="","",TEXT(A435,"yyyy-mm"))</f>
        <v/>
      </c>
    </row>
    <row r="436" customFormat="false" ht="15" hidden="false" customHeight="false" outlineLevel="0" collapsed="false">
      <c r="A436" s="17"/>
      <c r="B436" s="9"/>
      <c r="C436" s="9"/>
      <c r="D436" s="10" t="str">
        <f aca="false">IF(B436="","",IFERROR(INDEX(Products!$D$5:$D$54,MATCH(B436,Products!$A$5:$A$54,0)),0))</f>
        <v/>
      </c>
      <c r="E436" s="10" t="str">
        <f aca="false">IF(B436="","",IFERROR(INDEX(Products!$C$5:$C$54,MATCH(B436,Products!$A$5:$A$54,0)),0))</f>
        <v/>
      </c>
      <c r="F436" s="10"/>
      <c r="G436" s="10"/>
      <c r="H436" s="10" t="str">
        <f aca="false">IF(A436="","",Settings!$B$5)</f>
        <v/>
      </c>
      <c r="I436" s="11" t="str">
        <f aca="false">IF(A436="","",ROUND(K436*(Settings!$B$2+Settings!$B$3)/100+Settings!$B$4,2))</f>
        <v/>
      </c>
      <c r="J436" s="11" t="str">
        <f aca="false">IF(A436="","",ROUND(K436-E436*C436-H436-G436-I436,2))</f>
        <v/>
      </c>
      <c r="K436" s="11" t="str">
        <f aca="false">IF(A436="","",D436*C436+F436)</f>
        <v/>
      </c>
      <c r="L436" s="12" t="str">
        <f aca="false">IF(OR(A436="",K436=0),"",ROUND(J436/K436*100,2))</f>
        <v/>
      </c>
      <c r="M436" s="3" t="str">
        <f aca="false">IF(A436="","",TEXT(A436,"yyyy-mm"))</f>
        <v/>
      </c>
    </row>
    <row r="437" customFormat="false" ht="15" hidden="false" customHeight="false" outlineLevel="0" collapsed="false">
      <c r="A437" s="17"/>
      <c r="B437" s="9"/>
      <c r="C437" s="9"/>
      <c r="D437" s="10" t="str">
        <f aca="false">IF(B437="","",IFERROR(INDEX(Products!$D$5:$D$54,MATCH(B437,Products!$A$5:$A$54,0)),0))</f>
        <v/>
      </c>
      <c r="E437" s="10" t="str">
        <f aca="false">IF(B437="","",IFERROR(INDEX(Products!$C$5:$C$54,MATCH(B437,Products!$A$5:$A$54,0)),0))</f>
        <v/>
      </c>
      <c r="F437" s="10"/>
      <c r="G437" s="10"/>
      <c r="H437" s="10" t="str">
        <f aca="false">IF(A437="","",Settings!$B$5)</f>
        <v/>
      </c>
      <c r="I437" s="11" t="str">
        <f aca="false">IF(A437="","",ROUND(K437*(Settings!$B$2+Settings!$B$3)/100+Settings!$B$4,2))</f>
        <v/>
      </c>
      <c r="J437" s="11" t="str">
        <f aca="false">IF(A437="","",ROUND(K437-E437*C437-H437-G437-I437,2))</f>
        <v/>
      </c>
      <c r="K437" s="11" t="str">
        <f aca="false">IF(A437="","",D437*C437+F437)</f>
        <v/>
      </c>
      <c r="L437" s="12" t="str">
        <f aca="false">IF(OR(A437="",K437=0),"",ROUND(J437/K437*100,2))</f>
        <v/>
      </c>
      <c r="M437" s="3" t="str">
        <f aca="false">IF(A437="","",TEXT(A437,"yyyy-mm"))</f>
        <v/>
      </c>
    </row>
    <row r="438" customFormat="false" ht="15" hidden="false" customHeight="false" outlineLevel="0" collapsed="false">
      <c r="A438" s="17"/>
      <c r="B438" s="9"/>
      <c r="C438" s="9"/>
      <c r="D438" s="10" t="str">
        <f aca="false">IF(B438="","",IFERROR(INDEX(Products!$D$5:$D$54,MATCH(B438,Products!$A$5:$A$54,0)),0))</f>
        <v/>
      </c>
      <c r="E438" s="10" t="str">
        <f aca="false">IF(B438="","",IFERROR(INDEX(Products!$C$5:$C$54,MATCH(B438,Products!$A$5:$A$54,0)),0))</f>
        <v/>
      </c>
      <c r="F438" s="10"/>
      <c r="G438" s="10"/>
      <c r="H438" s="10" t="str">
        <f aca="false">IF(A438="","",Settings!$B$5)</f>
        <v/>
      </c>
      <c r="I438" s="11" t="str">
        <f aca="false">IF(A438="","",ROUND(K438*(Settings!$B$2+Settings!$B$3)/100+Settings!$B$4,2))</f>
        <v/>
      </c>
      <c r="J438" s="11" t="str">
        <f aca="false">IF(A438="","",ROUND(K438-E438*C438-H438-G438-I438,2))</f>
        <v/>
      </c>
      <c r="K438" s="11" t="str">
        <f aca="false">IF(A438="","",D438*C438+F438)</f>
        <v/>
      </c>
      <c r="L438" s="12" t="str">
        <f aca="false">IF(OR(A438="",K438=0),"",ROUND(J438/K438*100,2))</f>
        <v/>
      </c>
      <c r="M438" s="3" t="str">
        <f aca="false">IF(A438="","",TEXT(A438,"yyyy-mm"))</f>
        <v/>
      </c>
    </row>
    <row r="439" customFormat="false" ht="15" hidden="false" customHeight="false" outlineLevel="0" collapsed="false">
      <c r="A439" s="17"/>
      <c r="B439" s="9"/>
      <c r="C439" s="9"/>
      <c r="D439" s="10" t="str">
        <f aca="false">IF(B439="","",IFERROR(INDEX(Products!$D$5:$D$54,MATCH(B439,Products!$A$5:$A$54,0)),0))</f>
        <v/>
      </c>
      <c r="E439" s="10" t="str">
        <f aca="false">IF(B439="","",IFERROR(INDEX(Products!$C$5:$C$54,MATCH(B439,Products!$A$5:$A$54,0)),0))</f>
        <v/>
      </c>
      <c r="F439" s="10"/>
      <c r="G439" s="10"/>
      <c r="H439" s="10" t="str">
        <f aca="false">IF(A439="","",Settings!$B$5)</f>
        <v/>
      </c>
      <c r="I439" s="11" t="str">
        <f aca="false">IF(A439="","",ROUND(K439*(Settings!$B$2+Settings!$B$3)/100+Settings!$B$4,2))</f>
        <v/>
      </c>
      <c r="J439" s="11" t="str">
        <f aca="false">IF(A439="","",ROUND(K439-E439*C439-H439-G439-I439,2))</f>
        <v/>
      </c>
      <c r="K439" s="11" t="str">
        <f aca="false">IF(A439="","",D439*C439+F439)</f>
        <v/>
      </c>
      <c r="L439" s="12" t="str">
        <f aca="false">IF(OR(A439="",K439=0),"",ROUND(J439/K439*100,2))</f>
        <v/>
      </c>
      <c r="M439" s="3" t="str">
        <f aca="false">IF(A439="","",TEXT(A439,"yyyy-mm"))</f>
        <v/>
      </c>
    </row>
    <row r="440" customFormat="false" ht="15" hidden="false" customHeight="false" outlineLevel="0" collapsed="false">
      <c r="A440" s="17"/>
      <c r="B440" s="9"/>
      <c r="C440" s="9"/>
      <c r="D440" s="10" t="str">
        <f aca="false">IF(B440="","",IFERROR(INDEX(Products!$D$5:$D$54,MATCH(B440,Products!$A$5:$A$54,0)),0))</f>
        <v/>
      </c>
      <c r="E440" s="10" t="str">
        <f aca="false">IF(B440="","",IFERROR(INDEX(Products!$C$5:$C$54,MATCH(B440,Products!$A$5:$A$54,0)),0))</f>
        <v/>
      </c>
      <c r="F440" s="10"/>
      <c r="G440" s="10"/>
      <c r="H440" s="10" t="str">
        <f aca="false">IF(A440="","",Settings!$B$5)</f>
        <v/>
      </c>
      <c r="I440" s="11" t="str">
        <f aca="false">IF(A440="","",ROUND(K440*(Settings!$B$2+Settings!$B$3)/100+Settings!$B$4,2))</f>
        <v/>
      </c>
      <c r="J440" s="11" t="str">
        <f aca="false">IF(A440="","",ROUND(K440-E440*C440-H440-G440-I440,2))</f>
        <v/>
      </c>
      <c r="K440" s="11" t="str">
        <f aca="false">IF(A440="","",D440*C440+F440)</f>
        <v/>
      </c>
      <c r="L440" s="12" t="str">
        <f aca="false">IF(OR(A440="",K440=0),"",ROUND(J440/K440*100,2))</f>
        <v/>
      </c>
      <c r="M440" s="3" t="str">
        <f aca="false">IF(A440="","",TEXT(A440,"yyyy-mm"))</f>
        <v/>
      </c>
    </row>
    <row r="441" customFormat="false" ht="15" hidden="false" customHeight="false" outlineLevel="0" collapsed="false">
      <c r="A441" s="17"/>
      <c r="B441" s="9"/>
      <c r="C441" s="9"/>
      <c r="D441" s="10" t="str">
        <f aca="false">IF(B441="","",IFERROR(INDEX(Products!$D$5:$D$54,MATCH(B441,Products!$A$5:$A$54,0)),0))</f>
        <v/>
      </c>
      <c r="E441" s="10" t="str">
        <f aca="false">IF(B441="","",IFERROR(INDEX(Products!$C$5:$C$54,MATCH(B441,Products!$A$5:$A$54,0)),0))</f>
        <v/>
      </c>
      <c r="F441" s="10"/>
      <c r="G441" s="10"/>
      <c r="H441" s="10" t="str">
        <f aca="false">IF(A441="","",Settings!$B$5)</f>
        <v/>
      </c>
      <c r="I441" s="11" t="str">
        <f aca="false">IF(A441="","",ROUND(K441*(Settings!$B$2+Settings!$B$3)/100+Settings!$B$4,2))</f>
        <v/>
      </c>
      <c r="J441" s="11" t="str">
        <f aca="false">IF(A441="","",ROUND(K441-E441*C441-H441-G441-I441,2))</f>
        <v/>
      </c>
      <c r="K441" s="11" t="str">
        <f aca="false">IF(A441="","",D441*C441+F441)</f>
        <v/>
      </c>
      <c r="L441" s="12" t="str">
        <f aca="false">IF(OR(A441="",K441=0),"",ROUND(J441/K441*100,2))</f>
        <v/>
      </c>
      <c r="M441" s="3" t="str">
        <f aca="false">IF(A441="","",TEXT(A441,"yyyy-mm"))</f>
        <v/>
      </c>
    </row>
    <row r="442" customFormat="false" ht="15" hidden="false" customHeight="false" outlineLevel="0" collapsed="false">
      <c r="A442" s="17"/>
      <c r="B442" s="9"/>
      <c r="C442" s="9"/>
      <c r="D442" s="10" t="str">
        <f aca="false">IF(B442="","",IFERROR(INDEX(Products!$D$5:$D$54,MATCH(B442,Products!$A$5:$A$54,0)),0))</f>
        <v/>
      </c>
      <c r="E442" s="10" t="str">
        <f aca="false">IF(B442="","",IFERROR(INDEX(Products!$C$5:$C$54,MATCH(B442,Products!$A$5:$A$54,0)),0))</f>
        <v/>
      </c>
      <c r="F442" s="10"/>
      <c r="G442" s="10"/>
      <c r="H442" s="10" t="str">
        <f aca="false">IF(A442="","",Settings!$B$5)</f>
        <v/>
      </c>
      <c r="I442" s="11" t="str">
        <f aca="false">IF(A442="","",ROUND(K442*(Settings!$B$2+Settings!$B$3)/100+Settings!$B$4,2))</f>
        <v/>
      </c>
      <c r="J442" s="11" t="str">
        <f aca="false">IF(A442="","",ROUND(K442-E442*C442-H442-G442-I442,2))</f>
        <v/>
      </c>
      <c r="K442" s="11" t="str">
        <f aca="false">IF(A442="","",D442*C442+F442)</f>
        <v/>
      </c>
      <c r="L442" s="12" t="str">
        <f aca="false">IF(OR(A442="",K442=0),"",ROUND(J442/K442*100,2))</f>
        <v/>
      </c>
      <c r="M442" s="3" t="str">
        <f aca="false">IF(A442="","",TEXT(A442,"yyyy-mm"))</f>
        <v/>
      </c>
    </row>
    <row r="443" customFormat="false" ht="15" hidden="false" customHeight="false" outlineLevel="0" collapsed="false">
      <c r="A443" s="17"/>
      <c r="B443" s="9"/>
      <c r="C443" s="9"/>
      <c r="D443" s="10" t="str">
        <f aca="false">IF(B443="","",IFERROR(INDEX(Products!$D$5:$D$54,MATCH(B443,Products!$A$5:$A$54,0)),0))</f>
        <v/>
      </c>
      <c r="E443" s="10" t="str">
        <f aca="false">IF(B443="","",IFERROR(INDEX(Products!$C$5:$C$54,MATCH(B443,Products!$A$5:$A$54,0)),0))</f>
        <v/>
      </c>
      <c r="F443" s="10"/>
      <c r="G443" s="10"/>
      <c r="H443" s="10" t="str">
        <f aca="false">IF(A443="","",Settings!$B$5)</f>
        <v/>
      </c>
      <c r="I443" s="11" t="str">
        <f aca="false">IF(A443="","",ROUND(K443*(Settings!$B$2+Settings!$B$3)/100+Settings!$B$4,2))</f>
        <v/>
      </c>
      <c r="J443" s="11" t="str">
        <f aca="false">IF(A443="","",ROUND(K443-E443*C443-H443-G443-I443,2))</f>
        <v/>
      </c>
      <c r="K443" s="11" t="str">
        <f aca="false">IF(A443="","",D443*C443+F443)</f>
        <v/>
      </c>
      <c r="L443" s="12" t="str">
        <f aca="false">IF(OR(A443="",K443=0),"",ROUND(J443/K443*100,2))</f>
        <v/>
      </c>
      <c r="M443" s="3" t="str">
        <f aca="false">IF(A443="","",TEXT(A443,"yyyy-mm"))</f>
        <v/>
      </c>
    </row>
    <row r="444" customFormat="false" ht="15" hidden="false" customHeight="false" outlineLevel="0" collapsed="false">
      <c r="A444" s="17"/>
      <c r="B444" s="9"/>
      <c r="C444" s="9"/>
      <c r="D444" s="10" t="str">
        <f aca="false">IF(B444="","",IFERROR(INDEX(Products!$D$5:$D$54,MATCH(B444,Products!$A$5:$A$54,0)),0))</f>
        <v/>
      </c>
      <c r="E444" s="10" t="str">
        <f aca="false">IF(B444="","",IFERROR(INDEX(Products!$C$5:$C$54,MATCH(B444,Products!$A$5:$A$54,0)),0))</f>
        <v/>
      </c>
      <c r="F444" s="10"/>
      <c r="G444" s="10"/>
      <c r="H444" s="10" t="str">
        <f aca="false">IF(A444="","",Settings!$B$5)</f>
        <v/>
      </c>
      <c r="I444" s="11" t="str">
        <f aca="false">IF(A444="","",ROUND(K444*(Settings!$B$2+Settings!$B$3)/100+Settings!$B$4,2))</f>
        <v/>
      </c>
      <c r="J444" s="11" t="str">
        <f aca="false">IF(A444="","",ROUND(K444-E444*C444-H444-G444-I444,2))</f>
        <v/>
      </c>
      <c r="K444" s="11" t="str">
        <f aca="false">IF(A444="","",D444*C444+F444)</f>
        <v/>
      </c>
      <c r="L444" s="12" t="str">
        <f aca="false">IF(OR(A444="",K444=0),"",ROUND(J444/K444*100,2))</f>
        <v/>
      </c>
      <c r="M444" s="3" t="str">
        <f aca="false">IF(A444="","",TEXT(A444,"yyyy-mm"))</f>
        <v/>
      </c>
    </row>
    <row r="445" customFormat="false" ht="15" hidden="false" customHeight="false" outlineLevel="0" collapsed="false">
      <c r="A445" s="17"/>
      <c r="B445" s="9"/>
      <c r="C445" s="9"/>
      <c r="D445" s="10" t="str">
        <f aca="false">IF(B445="","",IFERROR(INDEX(Products!$D$5:$D$54,MATCH(B445,Products!$A$5:$A$54,0)),0))</f>
        <v/>
      </c>
      <c r="E445" s="10" t="str">
        <f aca="false">IF(B445="","",IFERROR(INDEX(Products!$C$5:$C$54,MATCH(B445,Products!$A$5:$A$54,0)),0))</f>
        <v/>
      </c>
      <c r="F445" s="10"/>
      <c r="G445" s="10"/>
      <c r="H445" s="10" t="str">
        <f aca="false">IF(A445="","",Settings!$B$5)</f>
        <v/>
      </c>
      <c r="I445" s="11" t="str">
        <f aca="false">IF(A445="","",ROUND(K445*(Settings!$B$2+Settings!$B$3)/100+Settings!$B$4,2))</f>
        <v/>
      </c>
      <c r="J445" s="11" t="str">
        <f aca="false">IF(A445="","",ROUND(K445-E445*C445-H445-G445-I445,2))</f>
        <v/>
      </c>
      <c r="K445" s="11" t="str">
        <f aca="false">IF(A445="","",D445*C445+F445)</f>
        <v/>
      </c>
      <c r="L445" s="12" t="str">
        <f aca="false">IF(OR(A445="",K445=0),"",ROUND(J445/K445*100,2))</f>
        <v/>
      </c>
      <c r="M445" s="3" t="str">
        <f aca="false">IF(A445="","",TEXT(A445,"yyyy-mm"))</f>
        <v/>
      </c>
    </row>
    <row r="446" customFormat="false" ht="15" hidden="false" customHeight="false" outlineLevel="0" collapsed="false">
      <c r="A446" s="17"/>
      <c r="B446" s="9"/>
      <c r="C446" s="9"/>
      <c r="D446" s="10" t="str">
        <f aca="false">IF(B446="","",IFERROR(INDEX(Products!$D$5:$D$54,MATCH(B446,Products!$A$5:$A$54,0)),0))</f>
        <v/>
      </c>
      <c r="E446" s="10" t="str">
        <f aca="false">IF(B446="","",IFERROR(INDEX(Products!$C$5:$C$54,MATCH(B446,Products!$A$5:$A$54,0)),0))</f>
        <v/>
      </c>
      <c r="F446" s="10"/>
      <c r="G446" s="10"/>
      <c r="H446" s="10" t="str">
        <f aca="false">IF(A446="","",Settings!$B$5)</f>
        <v/>
      </c>
      <c r="I446" s="11" t="str">
        <f aca="false">IF(A446="","",ROUND(K446*(Settings!$B$2+Settings!$B$3)/100+Settings!$B$4,2))</f>
        <v/>
      </c>
      <c r="J446" s="11" t="str">
        <f aca="false">IF(A446="","",ROUND(K446-E446*C446-H446-G446-I446,2))</f>
        <v/>
      </c>
      <c r="K446" s="11" t="str">
        <f aca="false">IF(A446="","",D446*C446+F446)</f>
        <v/>
      </c>
      <c r="L446" s="12" t="str">
        <f aca="false">IF(OR(A446="",K446=0),"",ROUND(J446/K446*100,2))</f>
        <v/>
      </c>
      <c r="M446" s="3" t="str">
        <f aca="false">IF(A446="","",TEXT(A446,"yyyy-mm"))</f>
        <v/>
      </c>
    </row>
    <row r="447" customFormat="false" ht="15" hidden="false" customHeight="false" outlineLevel="0" collapsed="false">
      <c r="A447" s="17"/>
      <c r="B447" s="9"/>
      <c r="C447" s="9"/>
      <c r="D447" s="10" t="str">
        <f aca="false">IF(B447="","",IFERROR(INDEX(Products!$D$5:$D$54,MATCH(B447,Products!$A$5:$A$54,0)),0))</f>
        <v/>
      </c>
      <c r="E447" s="10" t="str">
        <f aca="false">IF(B447="","",IFERROR(INDEX(Products!$C$5:$C$54,MATCH(B447,Products!$A$5:$A$54,0)),0))</f>
        <v/>
      </c>
      <c r="F447" s="10"/>
      <c r="G447" s="10"/>
      <c r="H447" s="10" t="str">
        <f aca="false">IF(A447="","",Settings!$B$5)</f>
        <v/>
      </c>
      <c r="I447" s="11" t="str">
        <f aca="false">IF(A447="","",ROUND(K447*(Settings!$B$2+Settings!$B$3)/100+Settings!$B$4,2))</f>
        <v/>
      </c>
      <c r="J447" s="11" t="str">
        <f aca="false">IF(A447="","",ROUND(K447-E447*C447-H447-G447-I447,2))</f>
        <v/>
      </c>
      <c r="K447" s="11" t="str">
        <f aca="false">IF(A447="","",D447*C447+F447)</f>
        <v/>
      </c>
      <c r="L447" s="12" t="str">
        <f aca="false">IF(OR(A447="",K447=0),"",ROUND(J447/K447*100,2))</f>
        <v/>
      </c>
      <c r="M447" s="3" t="str">
        <f aca="false">IF(A447="","",TEXT(A447,"yyyy-mm"))</f>
        <v/>
      </c>
    </row>
    <row r="448" customFormat="false" ht="15" hidden="false" customHeight="false" outlineLevel="0" collapsed="false">
      <c r="A448" s="17"/>
      <c r="B448" s="9"/>
      <c r="C448" s="9"/>
      <c r="D448" s="10" t="str">
        <f aca="false">IF(B448="","",IFERROR(INDEX(Products!$D$5:$D$54,MATCH(B448,Products!$A$5:$A$54,0)),0))</f>
        <v/>
      </c>
      <c r="E448" s="10" t="str">
        <f aca="false">IF(B448="","",IFERROR(INDEX(Products!$C$5:$C$54,MATCH(B448,Products!$A$5:$A$54,0)),0))</f>
        <v/>
      </c>
      <c r="F448" s="10"/>
      <c r="G448" s="10"/>
      <c r="H448" s="10" t="str">
        <f aca="false">IF(A448="","",Settings!$B$5)</f>
        <v/>
      </c>
      <c r="I448" s="11" t="str">
        <f aca="false">IF(A448="","",ROUND(K448*(Settings!$B$2+Settings!$B$3)/100+Settings!$B$4,2))</f>
        <v/>
      </c>
      <c r="J448" s="11" t="str">
        <f aca="false">IF(A448="","",ROUND(K448-E448*C448-H448-G448-I448,2))</f>
        <v/>
      </c>
      <c r="K448" s="11" t="str">
        <f aca="false">IF(A448="","",D448*C448+F448)</f>
        <v/>
      </c>
      <c r="L448" s="12" t="str">
        <f aca="false">IF(OR(A448="",K448=0),"",ROUND(J448/K448*100,2))</f>
        <v/>
      </c>
      <c r="M448" s="3" t="str">
        <f aca="false">IF(A448="","",TEXT(A448,"yyyy-mm"))</f>
        <v/>
      </c>
    </row>
    <row r="449" customFormat="false" ht="15" hidden="false" customHeight="false" outlineLevel="0" collapsed="false">
      <c r="A449" s="17"/>
      <c r="B449" s="9"/>
      <c r="C449" s="9"/>
      <c r="D449" s="10" t="str">
        <f aca="false">IF(B449="","",IFERROR(INDEX(Products!$D$5:$D$54,MATCH(B449,Products!$A$5:$A$54,0)),0))</f>
        <v/>
      </c>
      <c r="E449" s="10" t="str">
        <f aca="false">IF(B449="","",IFERROR(INDEX(Products!$C$5:$C$54,MATCH(B449,Products!$A$5:$A$54,0)),0))</f>
        <v/>
      </c>
      <c r="F449" s="10"/>
      <c r="G449" s="10"/>
      <c r="H449" s="10" t="str">
        <f aca="false">IF(A449="","",Settings!$B$5)</f>
        <v/>
      </c>
      <c r="I449" s="11" t="str">
        <f aca="false">IF(A449="","",ROUND(K449*(Settings!$B$2+Settings!$B$3)/100+Settings!$B$4,2))</f>
        <v/>
      </c>
      <c r="J449" s="11" t="str">
        <f aca="false">IF(A449="","",ROUND(K449-E449*C449-H449-G449-I449,2))</f>
        <v/>
      </c>
      <c r="K449" s="11" t="str">
        <f aca="false">IF(A449="","",D449*C449+F449)</f>
        <v/>
      </c>
      <c r="L449" s="12" t="str">
        <f aca="false">IF(OR(A449="",K449=0),"",ROUND(J449/K449*100,2))</f>
        <v/>
      </c>
      <c r="M449" s="3" t="str">
        <f aca="false">IF(A449="","",TEXT(A449,"yyyy-mm"))</f>
        <v/>
      </c>
    </row>
    <row r="450" customFormat="false" ht="15" hidden="false" customHeight="false" outlineLevel="0" collapsed="false">
      <c r="A450" s="17"/>
      <c r="B450" s="9"/>
      <c r="C450" s="9"/>
      <c r="D450" s="10" t="str">
        <f aca="false">IF(B450="","",IFERROR(INDEX(Products!$D$5:$D$54,MATCH(B450,Products!$A$5:$A$54,0)),0))</f>
        <v/>
      </c>
      <c r="E450" s="10" t="str">
        <f aca="false">IF(B450="","",IFERROR(INDEX(Products!$C$5:$C$54,MATCH(B450,Products!$A$5:$A$54,0)),0))</f>
        <v/>
      </c>
      <c r="F450" s="10"/>
      <c r="G450" s="10"/>
      <c r="H450" s="10" t="str">
        <f aca="false">IF(A450="","",Settings!$B$5)</f>
        <v/>
      </c>
      <c r="I450" s="11" t="str">
        <f aca="false">IF(A450="","",ROUND(K450*(Settings!$B$2+Settings!$B$3)/100+Settings!$B$4,2))</f>
        <v/>
      </c>
      <c r="J450" s="11" t="str">
        <f aca="false">IF(A450="","",ROUND(K450-E450*C450-H450-G450-I450,2))</f>
        <v/>
      </c>
      <c r="K450" s="11" t="str">
        <f aca="false">IF(A450="","",D450*C450+F450)</f>
        <v/>
      </c>
      <c r="L450" s="12" t="str">
        <f aca="false">IF(OR(A450="",K450=0),"",ROUND(J450/K450*100,2))</f>
        <v/>
      </c>
      <c r="M450" s="3" t="str">
        <f aca="false">IF(A450="","",TEXT(A450,"yyyy-mm"))</f>
        <v/>
      </c>
    </row>
    <row r="451" customFormat="false" ht="15" hidden="false" customHeight="false" outlineLevel="0" collapsed="false">
      <c r="A451" s="17"/>
      <c r="B451" s="9"/>
      <c r="C451" s="9"/>
      <c r="D451" s="10" t="str">
        <f aca="false">IF(B451="","",IFERROR(INDEX(Products!$D$5:$D$54,MATCH(B451,Products!$A$5:$A$54,0)),0))</f>
        <v/>
      </c>
      <c r="E451" s="10" t="str">
        <f aca="false">IF(B451="","",IFERROR(INDEX(Products!$C$5:$C$54,MATCH(B451,Products!$A$5:$A$54,0)),0))</f>
        <v/>
      </c>
      <c r="F451" s="10"/>
      <c r="G451" s="10"/>
      <c r="H451" s="10" t="str">
        <f aca="false">IF(A451="","",Settings!$B$5)</f>
        <v/>
      </c>
      <c r="I451" s="11" t="str">
        <f aca="false">IF(A451="","",ROUND(K451*(Settings!$B$2+Settings!$B$3)/100+Settings!$B$4,2))</f>
        <v/>
      </c>
      <c r="J451" s="11" t="str">
        <f aca="false">IF(A451="","",ROUND(K451-E451*C451-H451-G451-I451,2))</f>
        <v/>
      </c>
      <c r="K451" s="11" t="str">
        <f aca="false">IF(A451="","",D451*C451+F451)</f>
        <v/>
      </c>
      <c r="L451" s="12" t="str">
        <f aca="false">IF(OR(A451="",K451=0),"",ROUND(J451/K451*100,2))</f>
        <v/>
      </c>
      <c r="M451" s="3" t="str">
        <f aca="false">IF(A451="","",TEXT(A451,"yyyy-mm"))</f>
        <v/>
      </c>
    </row>
    <row r="452" customFormat="false" ht="15" hidden="false" customHeight="false" outlineLevel="0" collapsed="false">
      <c r="A452" s="17"/>
      <c r="B452" s="9"/>
      <c r="C452" s="9"/>
      <c r="D452" s="10" t="str">
        <f aca="false">IF(B452="","",IFERROR(INDEX(Products!$D$5:$D$54,MATCH(B452,Products!$A$5:$A$54,0)),0))</f>
        <v/>
      </c>
      <c r="E452" s="10" t="str">
        <f aca="false">IF(B452="","",IFERROR(INDEX(Products!$C$5:$C$54,MATCH(B452,Products!$A$5:$A$54,0)),0))</f>
        <v/>
      </c>
      <c r="F452" s="10"/>
      <c r="G452" s="10"/>
      <c r="H452" s="10" t="str">
        <f aca="false">IF(A452="","",Settings!$B$5)</f>
        <v/>
      </c>
      <c r="I452" s="11" t="str">
        <f aca="false">IF(A452="","",ROUND(K452*(Settings!$B$2+Settings!$B$3)/100+Settings!$B$4,2))</f>
        <v/>
      </c>
      <c r="J452" s="11" t="str">
        <f aca="false">IF(A452="","",ROUND(K452-E452*C452-H452-G452-I452,2))</f>
        <v/>
      </c>
      <c r="K452" s="11" t="str">
        <f aca="false">IF(A452="","",D452*C452+F452)</f>
        <v/>
      </c>
      <c r="L452" s="12" t="str">
        <f aca="false">IF(OR(A452="",K452=0),"",ROUND(J452/K452*100,2))</f>
        <v/>
      </c>
      <c r="M452" s="3" t="str">
        <f aca="false">IF(A452="","",TEXT(A452,"yyyy-mm"))</f>
        <v/>
      </c>
    </row>
    <row r="453" customFormat="false" ht="15" hidden="false" customHeight="false" outlineLevel="0" collapsed="false">
      <c r="A453" s="17"/>
      <c r="B453" s="9"/>
      <c r="C453" s="9"/>
      <c r="D453" s="10" t="str">
        <f aca="false">IF(B453="","",IFERROR(INDEX(Products!$D$5:$D$54,MATCH(B453,Products!$A$5:$A$54,0)),0))</f>
        <v/>
      </c>
      <c r="E453" s="10" t="str">
        <f aca="false">IF(B453="","",IFERROR(INDEX(Products!$C$5:$C$54,MATCH(B453,Products!$A$5:$A$54,0)),0))</f>
        <v/>
      </c>
      <c r="F453" s="10"/>
      <c r="G453" s="10"/>
      <c r="H453" s="10" t="str">
        <f aca="false">IF(A453="","",Settings!$B$5)</f>
        <v/>
      </c>
      <c r="I453" s="11" t="str">
        <f aca="false">IF(A453="","",ROUND(K453*(Settings!$B$2+Settings!$B$3)/100+Settings!$B$4,2))</f>
        <v/>
      </c>
      <c r="J453" s="11" t="str">
        <f aca="false">IF(A453="","",ROUND(K453-E453*C453-H453-G453-I453,2))</f>
        <v/>
      </c>
      <c r="K453" s="11" t="str">
        <f aca="false">IF(A453="","",D453*C453+F453)</f>
        <v/>
      </c>
      <c r="L453" s="12" t="str">
        <f aca="false">IF(OR(A453="",K453=0),"",ROUND(J453/K453*100,2))</f>
        <v/>
      </c>
      <c r="M453" s="3" t="str">
        <f aca="false">IF(A453="","",TEXT(A453,"yyyy-mm"))</f>
        <v/>
      </c>
    </row>
    <row r="454" customFormat="false" ht="15" hidden="false" customHeight="false" outlineLevel="0" collapsed="false">
      <c r="A454" s="17"/>
      <c r="B454" s="9"/>
      <c r="C454" s="9"/>
      <c r="D454" s="10" t="str">
        <f aca="false">IF(B454="","",IFERROR(INDEX(Products!$D$5:$D$54,MATCH(B454,Products!$A$5:$A$54,0)),0))</f>
        <v/>
      </c>
      <c r="E454" s="10" t="str">
        <f aca="false">IF(B454="","",IFERROR(INDEX(Products!$C$5:$C$54,MATCH(B454,Products!$A$5:$A$54,0)),0))</f>
        <v/>
      </c>
      <c r="F454" s="10"/>
      <c r="G454" s="10"/>
      <c r="H454" s="10" t="str">
        <f aca="false">IF(A454="","",Settings!$B$5)</f>
        <v/>
      </c>
      <c r="I454" s="11" t="str">
        <f aca="false">IF(A454="","",ROUND(K454*(Settings!$B$2+Settings!$B$3)/100+Settings!$B$4,2))</f>
        <v/>
      </c>
      <c r="J454" s="11" t="str">
        <f aca="false">IF(A454="","",ROUND(K454-E454*C454-H454-G454-I454,2))</f>
        <v/>
      </c>
      <c r="K454" s="11" t="str">
        <f aca="false">IF(A454="","",D454*C454+F454)</f>
        <v/>
      </c>
      <c r="L454" s="12" t="str">
        <f aca="false">IF(OR(A454="",K454=0),"",ROUND(J454/K454*100,2))</f>
        <v/>
      </c>
      <c r="M454" s="3" t="str">
        <f aca="false">IF(A454="","",TEXT(A454,"yyyy-mm"))</f>
        <v/>
      </c>
    </row>
    <row r="455" customFormat="false" ht="15" hidden="false" customHeight="false" outlineLevel="0" collapsed="false">
      <c r="A455" s="17"/>
      <c r="B455" s="9"/>
      <c r="C455" s="9"/>
      <c r="D455" s="10" t="str">
        <f aca="false">IF(B455="","",IFERROR(INDEX(Products!$D$5:$D$54,MATCH(B455,Products!$A$5:$A$54,0)),0))</f>
        <v/>
      </c>
      <c r="E455" s="10" t="str">
        <f aca="false">IF(B455="","",IFERROR(INDEX(Products!$C$5:$C$54,MATCH(B455,Products!$A$5:$A$54,0)),0))</f>
        <v/>
      </c>
      <c r="F455" s="10"/>
      <c r="G455" s="10"/>
      <c r="H455" s="10" t="str">
        <f aca="false">IF(A455="","",Settings!$B$5)</f>
        <v/>
      </c>
      <c r="I455" s="11" t="str">
        <f aca="false">IF(A455="","",ROUND(K455*(Settings!$B$2+Settings!$B$3)/100+Settings!$B$4,2))</f>
        <v/>
      </c>
      <c r="J455" s="11" t="str">
        <f aca="false">IF(A455="","",ROUND(K455-E455*C455-H455-G455-I455,2))</f>
        <v/>
      </c>
      <c r="K455" s="11" t="str">
        <f aca="false">IF(A455="","",D455*C455+F455)</f>
        <v/>
      </c>
      <c r="L455" s="12" t="str">
        <f aca="false">IF(OR(A455="",K455=0),"",ROUND(J455/K455*100,2))</f>
        <v/>
      </c>
      <c r="M455" s="3" t="str">
        <f aca="false">IF(A455="","",TEXT(A455,"yyyy-mm"))</f>
        <v/>
      </c>
    </row>
    <row r="456" customFormat="false" ht="15" hidden="false" customHeight="false" outlineLevel="0" collapsed="false">
      <c r="A456" s="17"/>
      <c r="B456" s="9"/>
      <c r="C456" s="9"/>
      <c r="D456" s="10" t="str">
        <f aca="false">IF(B456="","",IFERROR(INDEX(Products!$D$5:$D$54,MATCH(B456,Products!$A$5:$A$54,0)),0))</f>
        <v/>
      </c>
      <c r="E456" s="10" t="str">
        <f aca="false">IF(B456="","",IFERROR(INDEX(Products!$C$5:$C$54,MATCH(B456,Products!$A$5:$A$54,0)),0))</f>
        <v/>
      </c>
      <c r="F456" s="10"/>
      <c r="G456" s="10"/>
      <c r="H456" s="10" t="str">
        <f aca="false">IF(A456="","",Settings!$B$5)</f>
        <v/>
      </c>
      <c r="I456" s="11" t="str">
        <f aca="false">IF(A456="","",ROUND(K456*(Settings!$B$2+Settings!$B$3)/100+Settings!$B$4,2))</f>
        <v/>
      </c>
      <c r="J456" s="11" t="str">
        <f aca="false">IF(A456="","",ROUND(K456-E456*C456-H456-G456-I456,2))</f>
        <v/>
      </c>
      <c r="K456" s="11" t="str">
        <f aca="false">IF(A456="","",D456*C456+F456)</f>
        <v/>
      </c>
      <c r="L456" s="12" t="str">
        <f aca="false">IF(OR(A456="",K456=0),"",ROUND(J456/K456*100,2))</f>
        <v/>
      </c>
      <c r="M456" s="3" t="str">
        <f aca="false">IF(A456="","",TEXT(A456,"yyyy-mm"))</f>
        <v/>
      </c>
    </row>
    <row r="457" customFormat="false" ht="15" hidden="false" customHeight="false" outlineLevel="0" collapsed="false">
      <c r="A457" s="17"/>
      <c r="B457" s="9"/>
      <c r="C457" s="9"/>
      <c r="D457" s="10" t="str">
        <f aca="false">IF(B457="","",IFERROR(INDEX(Products!$D$5:$D$54,MATCH(B457,Products!$A$5:$A$54,0)),0))</f>
        <v/>
      </c>
      <c r="E457" s="10" t="str">
        <f aca="false">IF(B457="","",IFERROR(INDEX(Products!$C$5:$C$54,MATCH(B457,Products!$A$5:$A$54,0)),0))</f>
        <v/>
      </c>
      <c r="F457" s="10"/>
      <c r="G457" s="10"/>
      <c r="H457" s="10" t="str">
        <f aca="false">IF(A457="","",Settings!$B$5)</f>
        <v/>
      </c>
      <c r="I457" s="11" t="str">
        <f aca="false">IF(A457="","",ROUND(K457*(Settings!$B$2+Settings!$B$3)/100+Settings!$B$4,2))</f>
        <v/>
      </c>
      <c r="J457" s="11" t="str">
        <f aca="false">IF(A457="","",ROUND(K457-E457*C457-H457-G457-I457,2))</f>
        <v/>
      </c>
      <c r="K457" s="11" t="str">
        <f aca="false">IF(A457="","",D457*C457+F457)</f>
        <v/>
      </c>
      <c r="L457" s="12" t="str">
        <f aca="false">IF(OR(A457="",K457=0),"",ROUND(J457/K457*100,2))</f>
        <v/>
      </c>
      <c r="M457" s="3" t="str">
        <f aca="false">IF(A457="","",TEXT(A457,"yyyy-mm"))</f>
        <v/>
      </c>
    </row>
    <row r="458" customFormat="false" ht="15" hidden="false" customHeight="false" outlineLevel="0" collapsed="false">
      <c r="A458" s="17"/>
      <c r="B458" s="9"/>
      <c r="C458" s="9"/>
      <c r="D458" s="10" t="str">
        <f aca="false">IF(B458="","",IFERROR(INDEX(Products!$D$5:$D$54,MATCH(B458,Products!$A$5:$A$54,0)),0))</f>
        <v/>
      </c>
      <c r="E458" s="10" t="str">
        <f aca="false">IF(B458="","",IFERROR(INDEX(Products!$C$5:$C$54,MATCH(B458,Products!$A$5:$A$54,0)),0))</f>
        <v/>
      </c>
      <c r="F458" s="10"/>
      <c r="G458" s="10"/>
      <c r="H458" s="10" t="str">
        <f aca="false">IF(A458="","",Settings!$B$5)</f>
        <v/>
      </c>
      <c r="I458" s="11" t="str">
        <f aca="false">IF(A458="","",ROUND(K458*(Settings!$B$2+Settings!$B$3)/100+Settings!$B$4,2))</f>
        <v/>
      </c>
      <c r="J458" s="11" t="str">
        <f aca="false">IF(A458="","",ROUND(K458-E458*C458-H458-G458-I458,2))</f>
        <v/>
      </c>
      <c r="K458" s="11" t="str">
        <f aca="false">IF(A458="","",D458*C458+F458)</f>
        <v/>
      </c>
      <c r="L458" s="12" t="str">
        <f aca="false">IF(OR(A458="",K458=0),"",ROUND(J458/K458*100,2))</f>
        <v/>
      </c>
      <c r="M458" s="3" t="str">
        <f aca="false">IF(A458="","",TEXT(A458,"yyyy-mm"))</f>
        <v/>
      </c>
    </row>
    <row r="459" customFormat="false" ht="15" hidden="false" customHeight="false" outlineLevel="0" collapsed="false">
      <c r="A459" s="17"/>
      <c r="B459" s="9"/>
      <c r="C459" s="9"/>
      <c r="D459" s="10" t="str">
        <f aca="false">IF(B459="","",IFERROR(INDEX(Products!$D$5:$D$54,MATCH(B459,Products!$A$5:$A$54,0)),0))</f>
        <v/>
      </c>
      <c r="E459" s="10" t="str">
        <f aca="false">IF(B459="","",IFERROR(INDEX(Products!$C$5:$C$54,MATCH(B459,Products!$A$5:$A$54,0)),0))</f>
        <v/>
      </c>
      <c r="F459" s="10"/>
      <c r="G459" s="10"/>
      <c r="H459" s="10" t="str">
        <f aca="false">IF(A459="","",Settings!$B$5)</f>
        <v/>
      </c>
      <c r="I459" s="11" t="str">
        <f aca="false">IF(A459="","",ROUND(K459*(Settings!$B$2+Settings!$B$3)/100+Settings!$B$4,2))</f>
        <v/>
      </c>
      <c r="J459" s="11" t="str">
        <f aca="false">IF(A459="","",ROUND(K459-E459*C459-H459-G459-I459,2))</f>
        <v/>
      </c>
      <c r="K459" s="11" t="str">
        <f aca="false">IF(A459="","",D459*C459+F459)</f>
        <v/>
      </c>
      <c r="L459" s="12" t="str">
        <f aca="false">IF(OR(A459="",K459=0),"",ROUND(J459/K459*100,2))</f>
        <v/>
      </c>
      <c r="M459" s="3" t="str">
        <f aca="false">IF(A459="","",TEXT(A459,"yyyy-mm"))</f>
        <v/>
      </c>
    </row>
    <row r="460" customFormat="false" ht="15" hidden="false" customHeight="false" outlineLevel="0" collapsed="false">
      <c r="A460" s="17"/>
      <c r="B460" s="9"/>
      <c r="C460" s="9"/>
      <c r="D460" s="10" t="str">
        <f aca="false">IF(B460="","",IFERROR(INDEX(Products!$D$5:$D$54,MATCH(B460,Products!$A$5:$A$54,0)),0))</f>
        <v/>
      </c>
      <c r="E460" s="10" t="str">
        <f aca="false">IF(B460="","",IFERROR(INDEX(Products!$C$5:$C$54,MATCH(B460,Products!$A$5:$A$54,0)),0))</f>
        <v/>
      </c>
      <c r="F460" s="10"/>
      <c r="G460" s="10"/>
      <c r="H460" s="10" t="str">
        <f aca="false">IF(A460="","",Settings!$B$5)</f>
        <v/>
      </c>
      <c r="I460" s="11" t="str">
        <f aca="false">IF(A460="","",ROUND(K460*(Settings!$B$2+Settings!$B$3)/100+Settings!$B$4,2))</f>
        <v/>
      </c>
      <c r="J460" s="11" t="str">
        <f aca="false">IF(A460="","",ROUND(K460-E460*C460-H460-G460-I460,2))</f>
        <v/>
      </c>
      <c r="K460" s="11" t="str">
        <f aca="false">IF(A460="","",D460*C460+F460)</f>
        <v/>
      </c>
      <c r="L460" s="12" t="str">
        <f aca="false">IF(OR(A460="",K460=0),"",ROUND(J460/K460*100,2))</f>
        <v/>
      </c>
      <c r="M460" s="3" t="str">
        <f aca="false">IF(A460="","",TEXT(A460,"yyyy-mm"))</f>
        <v/>
      </c>
    </row>
    <row r="461" customFormat="false" ht="15" hidden="false" customHeight="false" outlineLevel="0" collapsed="false">
      <c r="A461" s="17"/>
      <c r="B461" s="9"/>
      <c r="C461" s="9"/>
      <c r="D461" s="10" t="str">
        <f aca="false">IF(B461="","",IFERROR(INDEX(Products!$D$5:$D$54,MATCH(B461,Products!$A$5:$A$54,0)),0))</f>
        <v/>
      </c>
      <c r="E461" s="10" t="str">
        <f aca="false">IF(B461="","",IFERROR(INDEX(Products!$C$5:$C$54,MATCH(B461,Products!$A$5:$A$54,0)),0))</f>
        <v/>
      </c>
      <c r="F461" s="10"/>
      <c r="G461" s="10"/>
      <c r="H461" s="10" t="str">
        <f aca="false">IF(A461="","",Settings!$B$5)</f>
        <v/>
      </c>
      <c r="I461" s="11" t="str">
        <f aca="false">IF(A461="","",ROUND(K461*(Settings!$B$2+Settings!$B$3)/100+Settings!$B$4,2))</f>
        <v/>
      </c>
      <c r="J461" s="11" t="str">
        <f aca="false">IF(A461="","",ROUND(K461-E461*C461-H461-G461-I461,2))</f>
        <v/>
      </c>
      <c r="K461" s="11" t="str">
        <f aca="false">IF(A461="","",D461*C461+F461)</f>
        <v/>
      </c>
      <c r="L461" s="12" t="str">
        <f aca="false">IF(OR(A461="",K461=0),"",ROUND(J461/K461*100,2))</f>
        <v/>
      </c>
      <c r="M461" s="3" t="str">
        <f aca="false">IF(A461="","",TEXT(A461,"yyyy-mm"))</f>
        <v/>
      </c>
    </row>
    <row r="462" customFormat="false" ht="15" hidden="false" customHeight="false" outlineLevel="0" collapsed="false">
      <c r="A462" s="17"/>
      <c r="B462" s="9"/>
      <c r="C462" s="9"/>
      <c r="D462" s="10" t="str">
        <f aca="false">IF(B462="","",IFERROR(INDEX(Products!$D$5:$D$54,MATCH(B462,Products!$A$5:$A$54,0)),0))</f>
        <v/>
      </c>
      <c r="E462" s="10" t="str">
        <f aca="false">IF(B462="","",IFERROR(INDEX(Products!$C$5:$C$54,MATCH(B462,Products!$A$5:$A$54,0)),0))</f>
        <v/>
      </c>
      <c r="F462" s="10"/>
      <c r="G462" s="10"/>
      <c r="H462" s="10" t="str">
        <f aca="false">IF(A462="","",Settings!$B$5)</f>
        <v/>
      </c>
      <c r="I462" s="11" t="str">
        <f aca="false">IF(A462="","",ROUND(K462*(Settings!$B$2+Settings!$B$3)/100+Settings!$B$4,2))</f>
        <v/>
      </c>
      <c r="J462" s="11" t="str">
        <f aca="false">IF(A462="","",ROUND(K462-E462*C462-H462-G462-I462,2))</f>
        <v/>
      </c>
      <c r="K462" s="11" t="str">
        <f aca="false">IF(A462="","",D462*C462+F462)</f>
        <v/>
      </c>
      <c r="L462" s="12" t="str">
        <f aca="false">IF(OR(A462="",K462=0),"",ROUND(J462/K462*100,2))</f>
        <v/>
      </c>
      <c r="M462" s="3" t="str">
        <f aca="false">IF(A462="","",TEXT(A462,"yyyy-mm"))</f>
        <v/>
      </c>
    </row>
    <row r="463" customFormat="false" ht="15" hidden="false" customHeight="false" outlineLevel="0" collapsed="false">
      <c r="A463" s="17"/>
      <c r="B463" s="9"/>
      <c r="C463" s="9"/>
      <c r="D463" s="10" t="str">
        <f aca="false">IF(B463="","",IFERROR(INDEX(Products!$D$5:$D$54,MATCH(B463,Products!$A$5:$A$54,0)),0))</f>
        <v/>
      </c>
      <c r="E463" s="10" t="str">
        <f aca="false">IF(B463="","",IFERROR(INDEX(Products!$C$5:$C$54,MATCH(B463,Products!$A$5:$A$54,0)),0))</f>
        <v/>
      </c>
      <c r="F463" s="10"/>
      <c r="G463" s="10"/>
      <c r="H463" s="10" t="str">
        <f aca="false">IF(A463="","",Settings!$B$5)</f>
        <v/>
      </c>
      <c r="I463" s="11" t="str">
        <f aca="false">IF(A463="","",ROUND(K463*(Settings!$B$2+Settings!$B$3)/100+Settings!$B$4,2))</f>
        <v/>
      </c>
      <c r="J463" s="11" t="str">
        <f aca="false">IF(A463="","",ROUND(K463-E463*C463-H463-G463-I463,2))</f>
        <v/>
      </c>
      <c r="K463" s="11" t="str">
        <f aca="false">IF(A463="","",D463*C463+F463)</f>
        <v/>
      </c>
      <c r="L463" s="12" t="str">
        <f aca="false">IF(OR(A463="",K463=0),"",ROUND(J463/K463*100,2))</f>
        <v/>
      </c>
      <c r="M463" s="3" t="str">
        <f aca="false">IF(A463="","",TEXT(A463,"yyyy-mm"))</f>
        <v/>
      </c>
    </row>
    <row r="464" customFormat="false" ht="15" hidden="false" customHeight="false" outlineLevel="0" collapsed="false">
      <c r="A464" s="17"/>
      <c r="B464" s="9"/>
      <c r="C464" s="9"/>
      <c r="D464" s="10" t="str">
        <f aca="false">IF(B464="","",IFERROR(INDEX(Products!$D$5:$D$54,MATCH(B464,Products!$A$5:$A$54,0)),0))</f>
        <v/>
      </c>
      <c r="E464" s="10" t="str">
        <f aca="false">IF(B464="","",IFERROR(INDEX(Products!$C$5:$C$54,MATCH(B464,Products!$A$5:$A$54,0)),0))</f>
        <v/>
      </c>
      <c r="F464" s="10"/>
      <c r="G464" s="10"/>
      <c r="H464" s="10" t="str">
        <f aca="false">IF(A464="","",Settings!$B$5)</f>
        <v/>
      </c>
      <c r="I464" s="11" t="str">
        <f aca="false">IF(A464="","",ROUND(K464*(Settings!$B$2+Settings!$B$3)/100+Settings!$B$4,2))</f>
        <v/>
      </c>
      <c r="J464" s="11" t="str">
        <f aca="false">IF(A464="","",ROUND(K464-E464*C464-H464-G464-I464,2))</f>
        <v/>
      </c>
      <c r="K464" s="11" t="str">
        <f aca="false">IF(A464="","",D464*C464+F464)</f>
        <v/>
      </c>
      <c r="L464" s="12" t="str">
        <f aca="false">IF(OR(A464="",K464=0),"",ROUND(J464/K464*100,2))</f>
        <v/>
      </c>
      <c r="M464" s="3" t="str">
        <f aca="false">IF(A464="","",TEXT(A464,"yyyy-mm"))</f>
        <v/>
      </c>
    </row>
    <row r="465" customFormat="false" ht="15" hidden="false" customHeight="false" outlineLevel="0" collapsed="false">
      <c r="A465" s="17"/>
      <c r="B465" s="9"/>
      <c r="C465" s="9"/>
      <c r="D465" s="10" t="str">
        <f aca="false">IF(B465="","",IFERROR(INDEX(Products!$D$5:$D$54,MATCH(B465,Products!$A$5:$A$54,0)),0))</f>
        <v/>
      </c>
      <c r="E465" s="10" t="str">
        <f aca="false">IF(B465="","",IFERROR(INDEX(Products!$C$5:$C$54,MATCH(B465,Products!$A$5:$A$54,0)),0))</f>
        <v/>
      </c>
      <c r="F465" s="10"/>
      <c r="G465" s="10"/>
      <c r="H465" s="10" t="str">
        <f aca="false">IF(A465="","",Settings!$B$5)</f>
        <v/>
      </c>
      <c r="I465" s="11" t="str">
        <f aca="false">IF(A465="","",ROUND(K465*(Settings!$B$2+Settings!$B$3)/100+Settings!$B$4,2))</f>
        <v/>
      </c>
      <c r="J465" s="11" t="str">
        <f aca="false">IF(A465="","",ROUND(K465-E465*C465-H465-G465-I465,2))</f>
        <v/>
      </c>
      <c r="K465" s="11" t="str">
        <f aca="false">IF(A465="","",D465*C465+F465)</f>
        <v/>
      </c>
      <c r="L465" s="12" t="str">
        <f aca="false">IF(OR(A465="",K465=0),"",ROUND(J465/K465*100,2))</f>
        <v/>
      </c>
      <c r="M465" s="3" t="str">
        <f aca="false">IF(A465="","",TEXT(A465,"yyyy-mm"))</f>
        <v/>
      </c>
    </row>
    <row r="466" customFormat="false" ht="15" hidden="false" customHeight="false" outlineLevel="0" collapsed="false">
      <c r="A466" s="17"/>
      <c r="B466" s="9"/>
      <c r="C466" s="9"/>
      <c r="D466" s="10" t="str">
        <f aca="false">IF(B466="","",IFERROR(INDEX(Products!$D$5:$D$54,MATCH(B466,Products!$A$5:$A$54,0)),0))</f>
        <v/>
      </c>
      <c r="E466" s="10" t="str">
        <f aca="false">IF(B466="","",IFERROR(INDEX(Products!$C$5:$C$54,MATCH(B466,Products!$A$5:$A$54,0)),0))</f>
        <v/>
      </c>
      <c r="F466" s="10"/>
      <c r="G466" s="10"/>
      <c r="H466" s="10" t="str">
        <f aca="false">IF(A466="","",Settings!$B$5)</f>
        <v/>
      </c>
      <c r="I466" s="11" t="str">
        <f aca="false">IF(A466="","",ROUND(K466*(Settings!$B$2+Settings!$B$3)/100+Settings!$B$4,2))</f>
        <v/>
      </c>
      <c r="J466" s="11" t="str">
        <f aca="false">IF(A466="","",ROUND(K466-E466*C466-H466-G466-I466,2))</f>
        <v/>
      </c>
      <c r="K466" s="11" t="str">
        <f aca="false">IF(A466="","",D466*C466+F466)</f>
        <v/>
      </c>
      <c r="L466" s="12" t="str">
        <f aca="false">IF(OR(A466="",K466=0),"",ROUND(J466/K466*100,2))</f>
        <v/>
      </c>
      <c r="M466" s="3" t="str">
        <f aca="false">IF(A466="","",TEXT(A466,"yyyy-mm"))</f>
        <v/>
      </c>
    </row>
    <row r="467" customFormat="false" ht="15" hidden="false" customHeight="false" outlineLevel="0" collapsed="false">
      <c r="A467" s="17"/>
      <c r="B467" s="9"/>
      <c r="C467" s="9"/>
      <c r="D467" s="10" t="str">
        <f aca="false">IF(B467="","",IFERROR(INDEX(Products!$D$5:$D$54,MATCH(B467,Products!$A$5:$A$54,0)),0))</f>
        <v/>
      </c>
      <c r="E467" s="10" t="str">
        <f aca="false">IF(B467="","",IFERROR(INDEX(Products!$C$5:$C$54,MATCH(B467,Products!$A$5:$A$54,0)),0))</f>
        <v/>
      </c>
      <c r="F467" s="10"/>
      <c r="G467" s="10"/>
      <c r="H467" s="10" t="str">
        <f aca="false">IF(A467="","",Settings!$B$5)</f>
        <v/>
      </c>
      <c r="I467" s="11" t="str">
        <f aca="false">IF(A467="","",ROUND(K467*(Settings!$B$2+Settings!$B$3)/100+Settings!$B$4,2))</f>
        <v/>
      </c>
      <c r="J467" s="11" t="str">
        <f aca="false">IF(A467="","",ROUND(K467-E467*C467-H467-G467-I467,2))</f>
        <v/>
      </c>
      <c r="K467" s="11" t="str">
        <f aca="false">IF(A467="","",D467*C467+F467)</f>
        <v/>
      </c>
      <c r="L467" s="12" t="str">
        <f aca="false">IF(OR(A467="",K467=0),"",ROUND(J467/K467*100,2))</f>
        <v/>
      </c>
      <c r="M467" s="3" t="str">
        <f aca="false">IF(A467="","",TEXT(A467,"yyyy-mm"))</f>
        <v/>
      </c>
    </row>
    <row r="468" customFormat="false" ht="15" hidden="false" customHeight="false" outlineLevel="0" collapsed="false">
      <c r="A468" s="17"/>
      <c r="B468" s="9"/>
      <c r="C468" s="9"/>
      <c r="D468" s="10" t="str">
        <f aca="false">IF(B468="","",IFERROR(INDEX(Products!$D$5:$D$54,MATCH(B468,Products!$A$5:$A$54,0)),0))</f>
        <v/>
      </c>
      <c r="E468" s="10" t="str">
        <f aca="false">IF(B468="","",IFERROR(INDEX(Products!$C$5:$C$54,MATCH(B468,Products!$A$5:$A$54,0)),0))</f>
        <v/>
      </c>
      <c r="F468" s="10"/>
      <c r="G468" s="10"/>
      <c r="H468" s="10" t="str">
        <f aca="false">IF(A468="","",Settings!$B$5)</f>
        <v/>
      </c>
      <c r="I468" s="11" t="str">
        <f aca="false">IF(A468="","",ROUND(K468*(Settings!$B$2+Settings!$B$3)/100+Settings!$B$4,2))</f>
        <v/>
      </c>
      <c r="J468" s="11" t="str">
        <f aca="false">IF(A468="","",ROUND(K468-E468*C468-H468-G468-I468,2))</f>
        <v/>
      </c>
      <c r="K468" s="11" t="str">
        <f aca="false">IF(A468="","",D468*C468+F468)</f>
        <v/>
      </c>
      <c r="L468" s="12" t="str">
        <f aca="false">IF(OR(A468="",K468=0),"",ROUND(J468/K468*100,2))</f>
        <v/>
      </c>
      <c r="M468" s="3" t="str">
        <f aca="false">IF(A468="","",TEXT(A468,"yyyy-mm"))</f>
        <v/>
      </c>
    </row>
    <row r="469" customFormat="false" ht="15" hidden="false" customHeight="false" outlineLevel="0" collapsed="false">
      <c r="A469" s="17"/>
      <c r="B469" s="9"/>
      <c r="C469" s="9"/>
      <c r="D469" s="10" t="str">
        <f aca="false">IF(B469="","",IFERROR(INDEX(Products!$D$5:$D$54,MATCH(B469,Products!$A$5:$A$54,0)),0))</f>
        <v/>
      </c>
      <c r="E469" s="10" t="str">
        <f aca="false">IF(B469="","",IFERROR(INDEX(Products!$C$5:$C$54,MATCH(B469,Products!$A$5:$A$54,0)),0))</f>
        <v/>
      </c>
      <c r="F469" s="10"/>
      <c r="G469" s="10"/>
      <c r="H469" s="10" t="str">
        <f aca="false">IF(A469="","",Settings!$B$5)</f>
        <v/>
      </c>
      <c r="I469" s="11" t="str">
        <f aca="false">IF(A469="","",ROUND(K469*(Settings!$B$2+Settings!$B$3)/100+Settings!$B$4,2))</f>
        <v/>
      </c>
      <c r="J469" s="11" t="str">
        <f aca="false">IF(A469="","",ROUND(K469-E469*C469-H469-G469-I469,2))</f>
        <v/>
      </c>
      <c r="K469" s="11" t="str">
        <f aca="false">IF(A469="","",D469*C469+F469)</f>
        <v/>
      </c>
      <c r="L469" s="12" t="str">
        <f aca="false">IF(OR(A469="",K469=0),"",ROUND(J469/K469*100,2))</f>
        <v/>
      </c>
      <c r="M469" s="3" t="str">
        <f aca="false">IF(A469="","",TEXT(A469,"yyyy-mm"))</f>
        <v/>
      </c>
    </row>
    <row r="470" customFormat="false" ht="15" hidden="false" customHeight="false" outlineLevel="0" collapsed="false">
      <c r="A470" s="17"/>
      <c r="B470" s="9"/>
      <c r="C470" s="9"/>
      <c r="D470" s="10" t="str">
        <f aca="false">IF(B470="","",IFERROR(INDEX(Products!$D$5:$D$54,MATCH(B470,Products!$A$5:$A$54,0)),0))</f>
        <v/>
      </c>
      <c r="E470" s="10" t="str">
        <f aca="false">IF(B470="","",IFERROR(INDEX(Products!$C$5:$C$54,MATCH(B470,Products!$A$5:$A$54,0)),0))</f>
        <v/>
      </c>
      <c r="F470" s="10"/>
      <c r="G470" s="10"/>
      <c r="H470" s="10" t="str">
        <f aca="false">IF(A470="","",Settings!$B$5)</f>
        <v/>
      </c>
      <c r="I470" s="11" t="str">
        <f aca="false">IF(A470="","",ROUND(K470*(Settings!$B$2+Settings!$B$3)/100+Settings!$B$4,2))</f>
        <v/>
      </c>
      <c r="J470" s="11" t="str">
        <f aca="false">IF(A470="","",ROUND(K470-E470*C470-H470-G470-I470,2))</f>
        <v/>
      </c>
      <c r="K470" s="11" t="str">
        <f aca="false">IF(A470="","",D470*C470+F470)</f>
        <v/>
      </c>
      <c r="L470" s="12" t="str">
        <f aca="false">IF(OR(A470="",K470=0),"",ROUND(J470/K470*100,2))</f>
        <v/>
      </c>
      <c r="M470" s="3" t="str">
        <f aca="false">IF(A470="","",TEXT(A470,"yyyy-mm"))</f>
        <v/>
      </c>
    </row>
    <row r="471" customFormat="false" ht="15" hidden="false" customHeight="false" outlineLevel="0" collapsed="false">
      <c r="A471" s="17"/>
      <c r="B471" s="9"/>
      <c r="C471" s="9"/>
      <c r="D471" s="10" t="str">
        <f aca="false">IF(B471="","",IFERROR(INDEX(Products!$D$5:$D$54,MATCH(B471,Products!$A$5:$A$54,0)),0))</f>
        <v/>
      </c>
      <c r="E471" s="10" t="str">
        <f aca="false">IF(B471="","",IFERROR(INDEX(Products!$C$5:$C$54,MATCH(B471,Products!$A$5:$A$54,0)),0))</f>
        <v/>
      </c>
      <c r="F471" s="10"/>
      <c r="G471" s="10"/>
      <c r="H471" s="10" t="str">
        <f aca="false">IF(A471="","",Settings!$B$5)</f>
        <v/>
      </c>
      <c r="I471" s="11" t="str">
        <f aca="false">IF(A471="","",ROUND(K471*(Settings!$B$2+Settings!$B$3)/100+Settings!$B$4,2))</f>
        <v/>
      </c>
      <c r="J471" s="11" t="str">
        <f aca="false">IF(A471="","",ROUND(K471-E471*C471-H471-G471-I471,2))</f>
        <v/>
      </c>
      <c r="K471" s="11" t="str">
        <f aca="false">IF(A471="","",D471*C471+F471)</f>
        <v/>
      </c>
      <c r="L471" s="12" t="str">
        <f aca="false">IF(OR(A471="",K471=0),"",ROUND(J471/K471*100,2))</f>
        <v/>
      </c>
      <c r="M471" s="3" t="str">
        <f aca="false">IF(A471="","",TEXT(A471,"yyyy-mm"))</f>
        <v/>
      </c>
    </row>
    <row r="472" customFormat="false" ht="15" hidden="false" customHeight="false" outlineLevel="0" collapsed="false">
      <c r="A472" s="17"/>
      <c r="B472" s="9"/>
      <c r="C472" s="9"/>
      <c r="D472" s="10" t="str">
        <f aca="false">IF(B472="","",IFERROR(INDEX(Products!$D$5:$D$54,MATCH(B472,Products!$A$5:$A$54,0)),0))</f>
        <v/>
      </c>
      <c r="E472" s="10" t="str">
        <f aca="false">IF(B472="","",IFERROR(INDEX(Products!$C$5:$C$54,MATCH(B472,Products!$A$5:$A$54,0)),0))</f>
        <v/>
      </c>
      <c r="F472" s="10"/>
      <c r="G472" s="10"/>
      <c r="H472" s="10" t="str">
        <f aca="false">IF(A472="","",Settings!$B$5)</f>
        <v/>
      </c>
      <c r="I472" s="11" t="str">
        <f aca="false">IF(A472="","",ROUND(K472*(Settings!$B$2+Settings!$B$3)/100+Settings!$B$4,2))</f>
        <v/>
      </c>
      <c r="J472" s="11" t="str">
        <f aca="false">IF(A472="","",ROUND(K472-E472*C472-H472-G472-I472,2))</f>
        <v/>
      </c>
      <c r="K472" s="11" t="str">
        <f aca="false">IF(A472="","",D472*C472+F472)</f>
        <v/>
      </c>
      <c r="L472" s="12" t="str">
        <f aca="false">IF(OR(A472="",K472=0),"",ROUND(J472/K472*100,2))</f>
        <v/>
      </c>
      <c r="M472" s="3" t="str">
        <f aca="false">IF(A472="","",TEXT(A472,"yyyy-mm"))</f>
        <v/>
      </c>
    </row>
    <row r="473" customFormat="false" ht="15" hidden="false" customHeight="false" outlineLevel="0" collapsed="false">
      <c r="A473" s="17"/>
      <c r="B473" s="9"/>
      <c r="C473" s="9"/>
      <c r="D473" s="10" t="str">
        <f aca="false">IF(B473="","",IFERROR(INDEX(Products!$D$5:$D$54,MATCH(B473,Products!$A$5:$A$54,0)),0))</f>
        <v/>
      </c>
      <c r="E473" s="10" t="str">
        <f aca="false">IF(B473="","",IFERROR(INDEX(Products!$C$5:$C$54,MATCH(B473,Products!$A$5:$A$54,0)),0))</f>
        <v/>
      </c>
      <c r="F473" s="10"/>
      <c r="G473" s="10"/>
      <c r="H473" s="10" t="str">
        <f aca="false">IF(A473="","",Settings!$B$5)</f>
        <v/>
      </c>
      <c r="I473" s="11" t="str">
        <f aca="false">IF(A473="","",ROUND(K473*(Settings!$B$2+Settings!$B$3)/100+Settings!$B$4,2))</f>
        <v/>
      </c>
      <c r="J473" s="11" t="str">
        <f aca="false">IF(A473="","",ROUND(K473-E473*C473-H473-G473-I473,2))</f>
        <v/>
      </c>
      <c r="K473" s="11" t="str">
        <f aca="false">IF(A473="","",D473*C473+F473)</f>
        <v/>
      </c>
      <c r="L473" s="12" t="str">
        <f aca="false">IF(OR(A473="",K473=0),"",ROUND(J473/K473*100,2))</f>
        <v/>
      </c>
      <c r="M473" s="3" t="str">
        <f aca="false">IF(A473="","",TEXT(A473,"yyyy-mm"))</f>
        <v/>
      </c>
    </row>
    <row r="474" customFormat="false" ht="15" hidden="false" customHeight="false" outlineLevel="0" collapsed="false">
      <c r="A474" s="17"/>
      <c r="B474" s="9"/>
      <c r="C474" s="9"/>
      <c r="D474" s="10" t="str">
        <f aca="false">IF(B474="","",IFERROR(INDEX(Products!$D$5:$D$54,MATCH(B474,Products!$A$5:$A$54,0)),0))</f>
        <v/>
      </c>
      <c r="E474" s="10" t="str">
        <f aca="false">IF(B474="","",IFERROR(INDEX(Products!$C$5:$C$54,MATCH(B474,Products!$A$5:$A$54,0)),0))</f>
        <v/>
      </c>
      <c r="F474" s="10"/>
      <c r="G474" s="10"/>
      <c r="H474" s="10" t="str">
        <f aca="false">IF(A474="","",Settings!$B$5)</f>
        <v/>
      </c>
      <c r="I474" s="11" t="str">
        <f aca="false">IF(A474="","",ROUND(K474*(Settings!$B$2+Settings!$B$3)/100+Settings!$B$4,2))</f>
        <v/>
      </c>
      <c r="J474" s="11" t="str">
        <f aca="false">IF(A474="","",ROUND(K474-E474*C474-H474-G474-I474,2))</f>
        <v/>
      </c>
      <c r="K474" s="11" t="str">
        <f aca="false">IF(A474="","",D474*C474+F474)</f>
        <v/>
      </c>
      <c r="L474" s="12" t="str">
        <f aca="false">IF(OR(A474="",K474=0),"",ROUND(J474/K474*100,2))</f>
        <v/>
      </c>
      <c r="M474" s="3" t="str">
        <f aca="false">IF(A474="","",TEXT(A474,"yyyy-mm"))</f>
        <v/>
      </c>
    </row>
    <row r="475" customFormat="false" ht="15" hidden="false" customHeight="false" outlineLevel="0" collapsed="false">
      <c r="A475" s="17"/>
      <c r="B475" s="9"/>
      <c r="C475" s="9"/>
      <c r="D475" s="10" t="str">
        <f aca="false">IF(B475="","",IFERROR(INDEX(Products!$D$5:$D$54,MATCH(B475,Products!$A$5:$A$54,0)),0))</f>
        <v/>
      </c>
      <c r="E475" s="10" t="str">
        <f aca="false">IF(B475="","",IFERROR(INDEX(Products!$C$5:$C$54,MATCH(B475,Products!$A$5:$A$54,0)),0))</f>
        <v/>
      </c>
      <c r="F475" s="10"/>
      <c r="G475" s="10"/>
      <c r="H475" s="10" t="str">
        <f aca="false">IF(A475="","",Settings!$B$5)</f>
        <v/>
      </c>
      <c r="I475" s="11" t="str">
        <f aca="false">IF(A475="","",ROUND(K475*(Settings!$B$2+Settings!$B$3)/100+Settings!$B$4,2))</f>
        <v/>
      </c>
      <c r="J475" s="11" t="str">
        <f aca="false">IF(A475="","",ROUND(K475-E475*C475-H475-G475-I475,2))</f>
        <v/>
      </c>
      <c r="K475" s="11" t="str">
        <f aca="false">IF(A475="","",D475*C475+F475)</f>
        <v/>
      </c>
      <c r="L475" s="12" t="str">
        <f aca="false">IF(OR(A475="",K475=0),"",ROUND(J475/K475*100,2))</f>
        <v/>
      </c>
      <c r="M475" s="3" t="str">
        <f aca="false">IF(A475="","",TEXT(A475,"yyyy-mm"))</f>
        <v/>
      </c>
    </row>
    <row r="476" customFormat="false" ht="15" hidden="false" customHeight="false" outlineLevel="0" collapsed="false">
      <c r="A476" s="17"/>
      <c r="B476" s="9"/>
      <c r="C476" s="9"/>
      <c r="D476" s="10" t="str">
        <f aca="false">IF(B476="","",IFERROR(INDEX(Products!$D$5:$D$54,MATCH(B476,Products!$A$5:$A$54,0)),0))</f>
        <v/>
      </c>
      <c r="E476" s="10" t="str">
        <f aca="false">IF(B476="","",IFERROR(INDEX(Products!$C$5:$C$54,MATCH(B476,Products!$A$5:$A$54,0)),0))</f>
        <v/>
      </c>
      <c r="F476" s="10"/>
      <c r="G476" s="10"/>
      <c r="H476" s="10" t="str">
        <f aca="false">IF(A476="","",Settings!$B$5)</f>
        <v/>
      </c>
      <c r="I476" s="11" t="str">
        <f aca="false">IF(A476="","",ROUND(K476*(Settings!$B$2+Settings!$B$3)/100+Settings!$B$4,2))</f>
        <v/>
      </c>
      <c r="J476" s="11" t="str">
        <f aca="false">IF(A476="","",ROUND(K476-E476*C476-H476-G476-I476,2))</f>
        <v/>
      </c>
      <c r="K476" s="11" t="str">
        <f aca="false">IF(A476="","",D476*C476+F476)</f>
        <v/>
      </c>
      <c r="L476" s="12" t="str">
        <f aca="false">IF(OR(A476="",K476=0),"",ROUND(J476/K476*100,2))</f>
        <v/>
      </c>
      <c r="M476" s="3" t="str">
        <f aca="false">IF(A476="","",TEXT(A476,"yyyy-mm"))</f>
        <v/>
      </c>
    </row>
    <row r="477" customFormat="false" ht="15" hidden="false" customHeight="false" outlineLevel="0" collapsed="false">
      <c r="A477" s="17"/>
      <c r="B477" s="9"/>
      <c r="C477" s="9"/>
      <c r="D477" s="10" t="str">
        <f aca="false">IF(B477="","",IFERROR(INDEX(Products!$D$5:$D$54,MATCH(B477,Products!$A$5:$A$54,0)),0))</f>
        <v/>
      </c>
      <c r="E477" s="10" t="str">
        <f aca="false">IF(B477="","",IFERROR(INDEX(Products!$C$5:$C$54,MATCH(B477,Products!$A$5:$A$54,0)),0))</f>
        <v/>
      </c>
      <c r="F477" s="10"/>
      <c r="G477" s="10"/>
      <c r="H477" s="10" t="str">
        <f aca="false">IF(A477="","",Settings!$B$5)</f>
        <v/>
      </c>
      <c r="I477" s="11" t="str">
        <f aca="false">IF(A477="","",ROUND(K477*(Settings!$B$2+Settings!$B$3)/100+Settings!$B$4,2))</f>
        <v/>
      </c>
      <c r="J477" s="11" t="str">
        <f aca="false">IF(A477="","",ROUND(K477-E477*C477-H477-G477-I477,2))</f>
        <v/>
      </c>
      <c r="K477" s="11" t="str">
        <f aca="false">IF(A477="","",D477*C477+F477)</f>
        <v/>
      </c>
      <c r="L477" s="12" t="str">
        <f aca="false">IF(OR(A477="",K477=0),"",ROUND(J477/K477*100,2))</f>
        <v/>
      </c>
      <c r="M477" s="3" t="str">
        <f aca="false">IF(A477="","",TEXT(A477,"yyyy-mm"))</f>
        <v/>
      </c>
    </row>
    <row r="478" customFormat="false" ht="15" hidden="false" customHeight="false" outlineLevel="0" collapsed="false">
      <c r="A478" s="17"/>
      <c r="B478" s="9"/>
      <c r="C478" s="9"/>
      <c r="D478" s="10" t="str">
        <f aca="false">IF(B478="","",IFERROR(INDEX(Products!$D$5:$D$54,MATCH(B478,Products!$A$5:$A$54,0)),0))</f>
        <v/>
      </c>
      <c r="E478" s="10" t="str">
        <f aca="false">IF(B478="","",IFERROR(INDEX(Products!$C$5:$C$54,MATCH(B478,Products!$A$5:$A$54,0)),0))</f>
        <v/>
      </c>
      <c r="F478" s="10"/>
      <c r="G478" s="10"/>
      <c r="H478" s="10" t="str">
        <f aca="false">IF(A478="","",Settings!$B$5)</f>
        <v/>
      </c>
      <c r="I478" s="11" t="str">
        <f aca="false">IF(A478="","",ROUND(K478*(Settings!$B$2+Settings!$B$3)/100+Settings!$B$4,2))</f>
        <v/>
      </c>
      <c r="J478" s="11" t="str">
        <f aca="false">IF(A478="","",ROUND(K478-E478*C478-H478-G478-I478,2))</f>
        <v/>
      </c>
      <c r="K478" s="11" t="str">
        <f aca="false">IF(A478="","",D478*C478+F478)</f>
        <v/>
      </c>
      <c r="L478" s="12" t="str">
        <f aca="false">IF(OR(A478="",K478=0),"",ROUND(J478/K478*100,2))</f>
        <v/>
      </c>
      <c r="M478" s="3" t="str">
        <f aca="false">IF(A478="","",TEXT(A478,"yyyy-mm"))</f>
        <v/>
      </c>
    </row>
    <row r="479" customFormat="false" ht="15" hidden="false" customHeight="false" outlineLevel="0" collapsed="false">
      <c r="A479" s="17"/>
      <c r="B479" s="9"/>
      <c r="C479" s="9"/>
      <c r="D479" s="10" t="str">
        <f aca="false">IF(B479="","",IFERROR(INDEX(Products!$D$5:$D$54,MATCH(B479,Products!$A$5:$A$54,0)),0))</f>
        <v/>
      </c>
      <c r="E479" s="10" t="str">
        <f aca="false">IF(B479="","",IFERROR(INDEX(Products!$C$5:$C$54,MATCH(B479,Products!$A$5:$A$54,0)),0))</f>
        <v/>
      </c>
      <c r="F479" s="10"/>
      <c r="G479" s="10"/>
      <c r="H479" s="10" t="str">
        <f aca="false">IF(A479="","",Settings!$B$5)</f>
        <v/>
      </c>
      <c r="I479" s="11" t="str">
        <f aca="false">IF(A479="","",ROUND(K479*(Settings!$B$2+Settings!$B$3)/100+Settings!$B$4,2))</f>
        <v/>
      </c>
      <c r="J479" s="11" t="str">
        <f aca="false">IF(A479="","",ROUND(K479-E479*C479-H479-G479-I479,2))</f>
        <v/>
      </c>
      <c r="K479" s="11" t="str">
        <f aca="false">IF(A479="","",D479*C479+F479)</f>
        <v/>
      </c>
      <c r="L479" s="12" t="str">
        <f aca="false">IF(OR(A479="",K479=0),"",ROUND(J479/K479*100,2))</f>
        <v/>
      </c>
      <c r="M479" s="3" t="str">
        <f aca="false">IF(A479="","",TEXT(A479,"yyyy-mm"))</f>
        <v/>
      </c>
    </row>
    <row r="480" customFormat="false" ht="15" hidden="false" customHeight="false" outlineLevel="0" collapsed="false">
      <c r="A480" s="17"/>
      <c r="B480" s="9"/>
      <c r="C480" s="9"/>
      <c r="D480" s="10" t="str">
        <f aca="false">IF(B480="","",IFERROR(INDEX(Products!$D$5:$D$54,MATCH(B480,Products!$A$5:$A$54,0)),0))</f>
        <v/>
      </c>
      <c r="E480" s="10" t="str">
        <f aca="false">IF(B480="","",IFERROR(INDEX(Products!$C$5:$C$54,MATCH(B480,Products!$A$5:$A$54,0)),0))</f>
        <v/>
      </c>
      <c r="F480" s="10"/>
      <c r="G480" s="10"/>
      <c r="H480" s="10" t="str">
        <f aca="false">IF(A480="","",Settings!$B$5)</f>
        <v/>
      </c>
      <c r="I480" s="11" t="str">
        <f aca="false">IF(A480="","",ROUND(K480*(Settings!$B$2+Settings!$B$3)/100+Settings!$B$4,2))</f>
        <v/>
      </c>
      <c r="J480" s="11" t="str">
        <f aca="false">IF(A480="","",ROUND(K480-E480*C480-H480-G480-I480,2))</f>
        <v/>
      </c>
      <c r="K480" s="11" t="str">
        <f aca="false">IF(A480="","",D480*C480+F480)</f>
        <v/>
      </c>
      <c r="L480" s="12" t="str">
        <f aca="false">IF(OR(A480="",K480=0),"",ROUND(J480/K480*100,2))</f>
        <v/>
      </c>
      <c r="M480" s="3" t="str">
        <f aca="false">IF(A480="","",TEXT(A480,"yyyy-mm"))</f>
        <v/>
      </c>
    </row>
    <row r="481" customFormat="false" ht="15" hidden="false" customHeight="false" outlineLevel="0" collapsed="false">
      <c r="A481" s="17"/>
      <c r="B481" s="9"/>
      <c r="C481" s="9"/>
      <c r="D481" s="10" t="str">
        <f aca="false">IF(B481="","",IFERROR(INDEX(Products!$D$5:$D$54,MATCH(B481,Products!$A$5:$A$54,0)),0))</f>
        <v/>
      </c>
      <c r="E481" s="10" t="str">
        <f aca="false">IF(B481="","",IFERROR(INDEX(Products!$C$5:$C$54,MATCH(B481,Products!$A$5:$A$54,0)),0))</f>
        <v/>
      </c>
      <c r="F481" s="10"/>
      <c r="G481" s="10"/>
      <c r="H481" s="10" t="str">
        <f aca="false">IF(A481="","",Settings!$B$5)</f>
        <v/>
      </c>
      <c r="I481" s="11" t="str">
        <f aca="false">IF(A481="","",ROUND(K481*(Settings!$B$2+Settings!$B$3)/100+Settings!$B$4,2))</f>
        <v/>
      </c>
      <c r="J481" s="11" t="str">
        <f aca="false">IF(A481="","",ROUND(K481-E481*C481-H481-G481-I481,2))</f>
        <v/>
      </c>
      <c r="K481" s="11" t="str">
        <f aca="false">IF(A481="","",D481*C481+F481)</f>
        <v/>
      </c>
      <c r="L481" s="12" t="str">
        <f aca="false">IF(OR(A481="",K481=0),"",ROUND(J481/K481*100,2))</f>
        <v/>
      </c>
      <c r="M481" s="3" t="str">
        <f aca="false">IF(A481="","",TEXT(A481,"yyyy-mm"))</f>
        <v/>
      </c>
    </row>
    <row r="482" customFormat="false" ht="15" hidden="false" customHeight="false" outlineLevel="0" collapsed="false">
      <c r="A482" s="17"/>
      <c r="B482" s="9"/>
      <c r="C482" s="9"/>
      <c r="D482" s="10" t="str">
        <f aca="false">IF(B482="","",IFERROR(INDEX(Products!$D$5:$D$54,MATCH(B482,Products!$A$5:$A$54,0)),0))</f>
        <v/>
      </c>
      <c r="E482" s="10" t="str">
        <f aca="false">IF(B482="","",IFERROR(INDEX(Products!$C$5:$C$54,MATCH(B482,Products!$A$5:$A$54,0)),0))</f>
        <v/>
      </c>
      <c r="F482" s="10"/>
      <c r="G482" s="10"/>
      <c r="H482" s="10" t="str">
        <f aca="false">IF(A482="","",Settings!$B$5)</f>
        <v/>
      </c>
      <c r="I482" s="11" t="str">
        <f aca="false">IF(A482="","",ROUND(K482*(Settings!$B$2+Settings!$B$3)/100+Settings!$B$4,2))</f>
        <v/>
      </c>
      <c r="J482" s="11" t="str">
        <f aca="false">IF(A482="","",ROUND(K482-E482*C482-H482-G482-I482,2))</f>
        <v/>
      </c>
      <c r="K482" s="11" t="str">
        <f aca="false">IF(A482="","",D482*C482+F482)</f>
        <v/>
      </c>
      <c r="L482" s="12" t="str">
        <f aca="false">IF(OR(A482="",K482=0),"",ROUND(J482/K482*100,2))</f>
        <v/>
      </c>
      <c r="M482" s="3" t="str">
        <f aca="false">IF(A482="","",TEXT(A482,"yyyy-mm"))</f>
        <v/>
      </c>
    </row>
    <row r="483" customFormat="false" ht="15" hidden="false" customHeight="false" outlineLevel="0" collapsed="false">
      <c r="A483" s="17"/>
      <c r="B483" s="9"/>
      <c r="C483" s="9"/>
      <c r="D483" s="10" t="str">
        <f aca="false">IF(B483="","",IFERROR(INDEX(Products!$D$5:$D$54,MATCH(B483,Products!$A$5:$A$54,0)),0))</f>
        <v/>
      </c>
      <c r="E483" s="10" t="str">
        <f aca="false">IF(B483="","",IFERROR(INDEX(Products!$C$5:$C$54,MATCH(B483,Products!$A$5:$A$54,0)),0))</f>
        <v/>
      </c>
      <c r="F483" s="10"/>
      <c r="G483" s="10"/>
      <c r="H483" s="10" t="str">
        <f aca="false">IF(A483="","",Settings!$B$5)</f>
        <v/>
      </c>
      <c r="I483" s="11" t="str">
        <f aca="false">IF(A483="","",ROUND(K483*(Settings!$B$2+Settings!$B$3)/100+Settings!$B$4,2))</f>
        <v/>
      </c>
      <c r="J483" s="11" t="str">
        <f aca="false">IF(A483="","",ROUND(K483-E483*C483-H483-G483-I483,2))</f>
        <v/>
      </c>
      <c r="K483" s="11" t="str">
        <f aca="false">IF(A483="","",D483*C483+F483)</f>
        <v/>
      </c>
      <c r="L483" s="12" t="str">
        <f aca="false">IF(OR(A483="",K483=0),"",ROUND(J483/K483*100,2))</f>
        <v/>
      </c>
      <c r="M483" s="3" t="str">
        <f aca="false">IF(A483="","",TEXT(A483,"yyyy-mm"))</f>
        <v/>
      </c>
    </row>
    <row r="484" customFormat="false" ht="15" hidden="false" customHeight="false" outlineLevel="0" collapsed="false">
      <c r="A484" s="17"/>
      <c r="B484" s="9"/>
      <c r="C484" s="9"/>
      <c r="D484" s="10" t="str">
        <f aca="false">IF(B484="","",IFERROR(INDEX(Products!$D$5:$D$54,MATCH(B484,Products!$A$5:$A$54,0)),0))</f>
        <v/>
      </c>
      <c r="E484" s="10" t="str">
        <f aca="false">IF(B484="","",IFERROR(INDEX(Products!$C$5:$C$54,MATCH(B484,Products!$A$5:$A$54,0)),0))</f>
        <v/>
      </c>
      <c r="F484" s="10"/>
      <c r="G484" s="10"/>
      <c r="H484" s="10" t="str">
        <f aca="false">IF(A484="","",Settings!$B$5)</f>
        <v/>
      </c>
      <c r="I484" s="11" t="str">
        <f aca="false">IF(A484="","",ROUND(K484*(Settings!$B$2+Settings!$B$3)/100+Settings!$B$4,2))</f>
        <v/>
      </c>
      <c r="J484" s="11" t="str">
        <f aca="false">IF(A484="","",ROUND(K484-E484*C484-H484-G484-I484,2))</f>
        <v/>
      </c>
      <c r="K484" s="11" t="str">
        <f aca="false">IF(A484="","",D484*C484+F484)</f>
        <v/>
      </c>
      <c r="L484" s="12" t="str">
        <f aca="false">IF(OR(A484="",K484=0),"",ROUND(J484/K484*100,2))</f>
        <v/>
      </c>
      <c r="M484" s="3" t="str">
        <f aca="false">IF(A484="","",TEXT(A484,"yyyy-mm"))</f>
        <v/>
      </c>
    </row>
    <row r="485" customFormat="false" ht="15" hidden="false" customHeight="false" outlineLevel="0" collapsed="false">
      <c r="A485" s="17"/>
      <c r="B485" s="9"/>
      <c r="C485" s="9"/>
      <c r="D485" s="10" t="str">
        <f aca="false">IF(B485="","",IFERROR(INDEX(Products!$D$5:$D$54,MATCH(B485,Products!$A$5:$A$54,0)),0))</f>
        <v/>
      </c>
      <c r="E485" s="10" t="str">
        <f aca="false">IF(B485="","",IFERROR(INDEX(Products!$C$5:$C$54,MATCH(B485,Products!$A$5:$A$54,0)),0))</f>
        <v/>
      </c>
      <c r="F485" s="10"/>
      <c r="G485" s="10"/>
      <c r="H485" s="10" t="str">
        <f aca="false">IF(A485="","",Settings!$B$5)</f>
        <v/>
      </c>
      <c r="I485" s="11" t="str">
        <f aca="false">IF(A485="","",ROUND(K485*(Settings!$B$2+Settings!$B$3)/100+Settings!$B$4,2))</f>
        <v/>
      </c>
      <c r="J485" s="11" t="str">
        <f aca="false">IF(A485="","",ROUND(K485-E485*C485-H485-G485-I485,2))</f>
        <v/>
      </c>
      <c r="K485" s="11" t="str">
        <f aca="false">IF(A485="","",D485*C485+F485)</f>
        <v/>
      </c>
      <c r="L485" s="12" t="str">
        <f aca="false">IF(OR(A485="",K485=0),"",ROUND(J485/K485*100,2))</f>
        <v/>
      </c>
      <c r="M485" s="3" t="str">
        <f aca="false">IF(A485="","",TEXT(A485,"yyyy-mm"))</f>
        <v/>
      </c>
    </row>
    <row r="486" customFormat="false" ht="15" hidden="false" customHeight="false" outlineLevel="0" collapsed="false">
      <c r="A486" s="17"/>
      <c r="B486" s="9"/>
      <c r="C486" s="9"/>
      <c r="D486" s="10" t="str">
        <f aca="false">IF(B486="","",IFERROR(INDEX(Products!$D$5:$D$54,MATCH(B486,Products!$A$5:$A$54,0)),0))</f>
        <v/>
      </c>
      <c r="E486" s="10" t="str">
        <f aca="false">IF(B486="","",IFERROR(INDEX(Products!$C$5:$C$54,MATCH(B486,Products!$A$5:$A$54,0)),0))</f>
        <v/>
      </c>
      <c r="F486" s="10"/>
      <c r="G486" s="10"/>
      <c r="H486" s="10" t="str">
        <f aca="false">IF(A486="","",Settings!$B$5)</f>
        <v/>
      </c>
      <c r="I486" s="11" t="str">
        <f aca="false">IF(A486="","",ROUND(K486*(Settings!$B$2+Settings!$B$3)/100+Settings!$B$4,2))</f>
        <v/>
      </c>
      <c r="J486" s="11" t="str">
        <f aca="false">IF(A486="","",ROUND(K486-E486*C486-H486-G486-I486,2))</f>
        <v/>
      </c>
      <c r="K486" s="11" t="str">
        <f aca="false">IF(A486="","",D486*C486+F486)</f>
        <v/>
      </c>
      <c r="L486" s="12" t="str">
        <f aca="false">IF(OR(A486="",K486=0),"",ROUND(J486/K486*100,2))</f>
        <v/>
      </c>
      <c r="M486" s="3" t="str">
        <f aca="false">IF(A486="","",TEXT(A486,"yyyy-mm"))</f>
        <v/>
      </c>
    </row>
    <row r="487" customFormat="false" ht="15" hidden="false" customHeight="false" outlineLevel="0" collapsed="false">
      <c r="A487" s="17"/>
      <c r="B487" s="9"/>
      <c r="C487" s="9"/>
      <c r="D487" s="10" t="str">
        <f aca="false">IF(B487="","",IFERROR(INDEX(Products!$D$5:$D$54,MATCH(B487,Products!$A$5:$A$54,0)),0))</f>
        <v/>
      </c>
      <c r="E487" s="10" t="str">
        <f aca="false">IF(B487="","",IFERROR(INDEX(Products!$C$5:$C$54,MATCH(B487,Products!$A$5:$A$54,0)),0))</f>
        <v/>
      </c>
      <c r="F487" s="10"/>
      <c r="G487" s="10"/>
      <c r="H487" s="10" t="str">
        <f aca="false">IF(A487="","",Settings!$B$5)</f>
        <v/>
      </c>
      <c r="I487" s="11" t="str">
        <f aca="false">IF(A487="","",ROUND(K487*(Settings!$B$2+Settings!$B$3)/100+Settings!$B$4,2))</f>
        <v/>
      </c>
      <c r="J487" s="11" t="str">
        <f aca="false">IF(A487="","",ROUND(K487-E487*C487-H487-G487-I487,2))</f>
        <v/>
      </c>
      <c r="K487" s="11" t="str">
        <f aca="false">IF(A487="","",D487*C487+F487)</f>
        <v/>
      </c>
      <c r="L487" s="12" t="str">
        <f aca="false">IF(OR(A487="",K487=0),"",ROUND(J487/K487*100,2))</f>
        <v/>
      </c>
      <c r="M487" s="3" t="str">
        <f aca="false">IF(A487="","",TEXT(A487,"yyyy-mm"))</f>
        <v/>
      </c>
    </row>
    <row r="488" customFormat="false" ht="15" hidden="false" customHeight="false" outlineLevel="0" collapsed="false">
      <c r="A488" s="17"/>
      <c r="B488" s="9"/>
      <c r="C488" s="9"/>
      <c r="D488" s="10" t="str">
        <f aca="false">IF(B488="","",IFERROR(INDEX(Products!$D$5:$D$54,MATCH(B488,Products!$A$5:$A$54,0)),0))</f>
        <v/>
      </c>
      <c r="E488" s="10" t="str">
        <f aca="false">IF(B488="","",IFERROR(INDEX(Products!$C$5:$C$54,MATCH(B488,Products!$A$5:$A$54,0)),0))</f>
        <v/>
      </c>
      <c r="F488" s="10"/>
      <c r="G488" s="10"/>
      <c r="H488" s="10" t="str">
        <f aca="false">IF(A488="","",Settings!$B$5)</f>
        <v/>
      </c>
      <c r="I488" s="11" t="str">
        <f aca="false">IF(A488="","",ROUND(K488*(Settings!$B$2+Settings!$B$3)/100+Settings!$B$4,2))</f>
        <v/>
      </c>
      <c r="J488" s="11" t="str">
        <f aca="false">IF(A488="","",ROUND(K488-E488*C488-H488-G488-I488,2))</f>
        <v/>
      </c>
      <c r="K488" s="11" t="str">
        <f aca="false">IF(A488="","",D488*C488+F488)</f>
        <v/>
      </c>
      <c r="L488" s="12" t="str">
        <f aca="false">IF(OR(A488="",K488=0),"",ROUND(J488/K488*100,2))</f>
        <v/>
      </c>
      <c r="M488" s="3" t="str">
        <f aca="false">IF(A488="","",TEXT(A488,"yyyy-mm"))</f>
        <v/>
      </c>
    </row>
    <row r="489" customFormat="false" ht="15" hidden="false" customHeight="false" outlineLevel="0" collapsed="false">
      <c r="A489" s="17"/>
      <c r="B489" s="9"/>
      <c r="C489" s="9"/>
      <c r="D489" s="10" t="str">
        <f aca="false">IF(B489="","",IFERROR(INDEX(Products!$D$5:$D$54,MATCH(B489,Products!$A$5:$A$54,0)),0))</f>
        <v/>
      </c>
      <c r="E489" s="10" t="str">
        <f aca="false">IF(B489="","",IFERROR(INDEX(Products!$C$5:$C$54,MATCH(B489,Products!$A$5:$A$54,0)),0))</f>
        <v/>
      </c>
      <c r="F489" s="10"/>
      <c r="G489" s="10"/>
      <c r="H489" s="10" t="str">
        <f aca="false">IF(A489="","",Settings!$B$5)</f>
        <v/>
      </c>
      <c r="I489" s="11" t="str">
        <f aca="false">IF(A489="","",ROUND(K489*(Settings!$B$2+Settings!$B$3)/100+Settings!$B$4,2))</f>
        <v/>
      </c>
      <c r="J489" s="11" t="str">
        <f aca="false">IF(A489="","",ROUND(K489-E489*C489-H489-G489-I489,2))</f>
        <v/>
      </c>
      <c r="K489" s="11" t="str">
        <f aca="false">IF(A489="","",D489*C489+F489)</f>
        <v/>
      </c>
      <c r="L489" s="12" t="str">
        <f aca="false">IF(OR(A489="",K489=0),"",ROUND(J489/K489*100,2))</f>
        <v/>
      </c>
      <c r="M489" s="3" t="str">
        <f aca="false">IF(A489="","",TEXT(A489,"yyyy-mm"))</f>
        <v/>
      </c>
    </row>
    <row r="490" customFormat="false" ht="15" hidden="false" customHeight="false" outlineLevel="0" collapsed="false">
      <c r="A490" s="17"/>
      <c r="B490" s="9"/>
      <c r="C490" s="9"/>
      <c r="D490" s="10" t="str">
        <f aca="false">IF(B490="","",IFERROR(INDEX(Products!$D$5:$D$54,MATCH(B490,Products!$A$5:$A$54,0)),0))</f>
        <v/>
      </c>
      <c r="E490" s="10" t="str">
        <f aca="false">IF(B490="","",IFERROR(INDEX(Products!$C$5:$C$54,MATCH(B490,Products!$A$5:$A$54,0)),0))</f>
        <v/>
      </c>
      <c r="F490" s="10"/>
      <c r="G490" s="10"/>
      <c r="H490" s="10" t="str">
        <f aca="false">IF(A490="","",Settings!$B$5)</f>
        <v/>
      </c>
      <c r="I490" s="11" t="str">
        <f aca="false">IF(A490="","",ROUND(K490*(Settings!$B$2+Settings!$B$3)/100+Settings!$B$4,2))</f>
        <v/>
      </c>
      <c r="J490" s="11" t="str">
        <f aca="false">IF(A490="","",ROUND(K490-E490*C490-H490-G490-I490,2))</f>
        <v/>
      </c>
      <c r="K490" s="11" t="str">
        <f aca="false">IF(A490="","",D490*C490+F490)</f>
        <v/>
      </c>
      <c r="L490" s="12" t="str">
        <f aca="false">IF(OR(A490="",K490=0),"",ROUND(J490/K490*100,2))</f>
        <v/>
      </c>
      <c r="M490" s="3" t="str">
        <f aca="false">IF(A490="","",TEXT(A490,"yyyy-mm"))</f>
        <v/>
      </c>
    </row>
    <row r="491" customFormat="false" ht="15" hidden="false" customHeight="false" outlineLevel="0" collapsed="false">
      <c r="A491" s="17"/>
      <c r="B491" s="9"/>
      <c r="C491" s="9"/>
      <c r="D491" s="10" t="str">
        <f aca="false">IF(B491="","",IFERROR(INDEX(Products!$D$5:$D$54,MATCH(B491,Products!$A$5:$A$54,0)),0))</f>
        <v/>
      </c>
      <c r="E491" s="10" t="str">
        <f aca="false">IF(B491="","",IFERROR(INDEX(Products!$C$5:$C$54,MATCH(B491,Products!$A$5:$A$54,0)),0))</f>
        <v/>
      </c>
      <c r="F491" s="10"/>
      <c r="G491" s="10"/>
      <c r="H491" s="10" t="str">
        <f aca="false">IF(A491="","",Settings!$B$5)</f>
        <v/>
      </c>
      <c r="I491" s="11" t="str">
        <f aca="false">IF(A491="","",ROUND(K491*(Settings!$B$2+Settings!$B$3)/100+Settings!$B$4,2))</f>
        <v/>
      </c>
      <c r="J491" s="11" t="str">
        <f aca="false">IF(A491="","",ROUND(K491-E491*C491-H491-G491-I491,2))</f>
        <v/>
      </c>
      <c r="K491" s="11" t="str">
        <f aca="false">IF(A491="","",D491*C491+F491)</f>
        <v/>
      </c>
      <c r="L491" s="12" t="str">
        <f aca="false">IF(OR(A491="",K491=0),"",ROUND(J491/K491*100,2))</f>
        <v/>
      </c>
      <c r="M491" s="3" t="str">
        <f aca="false">IF(A491="","",TEXT(A491,"yyyy-mm"))</f>
        <v/>
      </c>
    </row>
    <row r="492" customFormat="false" ht="15" hidden="false" customHeight="false" outlineLevel="0" collapsed="false">
      <c r="A492" s="17"/>
      <c r="B492" s="9"/>
      <c r="C492" s="9"/>
      <c r="D492" s="10" t="str">
        <f aca="false">IF(B492="","",IFERROR(INDEX(Products!$D$5:$D$54,MATCH(B492,Products!$A$5:$A$54,0)),0))</f>
        <v/>
      </c>
      <c r="E492" s="10" t="str">
        <f aca="false">IF(B492="","",IFERROR(INDEX(Products!$C$5:$C$54,MATCH(B492,Products!$A$5:$A$54,0)),0))</f>
        <v/>
      </c>
      <c r="F492" s="10"/>
      <c r="G492" s="10"/>
      <c r="H492" s="10" t="str">
        <f aca="false">IF(A492="","",Settings!$B$5)</f>
        <v/>
      </c>
      <c r="I492" s="11" t="str">
        <f aca="false">IF(A492="","",ROUND(K492*(Settings!$B$2+Settings!$B$3)/100+Settings!$B$4,2))</f>
        <v/>
      </c>
      <c r="J492" s="11" t="str">
        <f aca="false">IF(A492="","",ROUND(K492-E492*C492-H492-G492-I492,2))</f>
        <v/>
      </c>
      <c r="K492" s="11" t="str">
        <f aca="false">IF(A492="","",D492*C492+F492)</f>
        <v/>
      </c>
      <c r="L492" s="12" t="str">
        <f aca="false">IF(OR(A492="",K492=0),"",ROUND(J492/K492*100,2))</f>
        <v/>
      </c>
      <c r="M492" s="3" t="str">
        <f aca="false">IF(A492="","",TEXT(A492,"yyyy-mm"))</f>
        <v/>
      </c>
    </row>
    <row r="493" customFormat="false" ht="15" hidden="false" customHeight="false" outlineLevel="0" collapsed="false">
      <c r="A493" s="17"/>
      <c r="B493" s="9"/>
      <c r="C493" s="9"/>
      <c r="D493" s="10" t="str">
        <f aca="false">IF(B493="","",IFERROR(INDEX(Products!$D$5:$D$54,MATCH(B493,Products!$A$5:$A$54,0)),0))</f>
        <v/>
      </c>
      <c r="E493" s="10" t="str">
        <f aca="false">IF(B493="","",IFERROR(INDEX(Products!$C$5:$C$54,MATCH(B493,Products!$A$5:$A$54,0)),0))</f>
        <v/>
      </c>
      <c r="F493" s="10"/>
      <c r="G493" s="10"/>
      <c r="H493" s="10" t="str">
        <f aca="false">IF(A493="","",Settings!$B$5)</f>
        <v/>
      </c>
      <c r="I493" s="11" t="str">
        <f aca="false">IF(A493="","",ROUND(K493*(Settings!$B$2+Settings!$B$3)/100+Settings!$B$4,2))</f>
        <v/>
      </c>
      <c r="J493" s="11" t="str">
        <f aca="false">IF(A493="","",ROUND(K493-E493*C493-H493-G493-I493,2))</f>
        <v/>
      </c>
      <c r="K493" s="11" t="str">
        <f aca="false">IF(A493="","",D493*C493+F493)</f>
        <v/>
      </c>
      <c r="L493" s="12" t="str">
        <f aca="false">IF(OR(A493="",K493=0),"",ROUND(J493/K493*100,2))</f>
        <v/>
      </c>
      <c r="M493" s="3" t="str">
        <f aca="false">IF(A493="","",TEXT(A493,"yyyy-mm"))</f>
        <v/>
      </c>
    </row>
    <row r="494" customFormat="false" ht="15" hidden="false" customHeight="false" outlineLevel="0" collapsed="false">
      <c r="A494" s="17"/>
      <c r="B494" s="9"/>
      <c r="C494" s="9"/>
      <c r="D494" s="10" t="str">
        <f aca="false">IF(B494="","",IFERROR(INDEX(Products!$D$5:$D$54,MATCH(B494,Products!$A$5:$A$54,0)),0))</f>
        <v/>
      </c>
      <c r="E494" s="10" t="str">
        <f aca="false">IF(B494="","",IFERROR(INDEX(Products!$C$5:$C$54,MATCH(B494,Products!$A$5:$A$54,0)),0))</f>
        <v/>
      </c>
      <c r="F494" s="10"/>
      <c r="G494" s="10"/>
      <c r="H494" s="10" t="str">
        <f aca="false">IF(A494="","",Settings!$B$5)</f>
        <v/>
      </c>
      <c r="I494" s="11" t="str">
        <f aca="false">IF(A494="","",ROUND(K494*(Settings!$B$2+Settings!$B$3)/100+Settings!$B$4,2))</f>
        <v/>
      </c>
      <c r="J494" s="11" t="str">
        <f aca="false">IF(A494="","",ROUND(K494-E494*C494-H494-G494-I494,2))</f>
        <v/>
      </c>
      <c r="K494" s="11" t="str">
        <f aca="false">IF(A494="","",D494*C494+F494)</f>
        <v/>
      </c>
      <c r="L494" s="12" t="str">
        <f aca="false">IF(OR(A494="",K494=0),"",ROUND(J494/K494*100,2))</f>
        <v/>
      </c>
      <c r="M494" s="3" t="str">
        <f aca="false">IF(A494="","",TEXT(A494,"yyyy-mm"))</f>
        <v/>
      </c>
    </row>
    <row r="495" customFormat="false" ht="15" hidden="false" customHeight="false" outlineLevel="0" collapsed="false">
      <c r="A495" s="17"/>
      <c r="B495" s="9"/>
      <c r="C495" s="9"/>
      <c r="D495" s="10" t="str">
        <f aca="false">IF(B495="","",IFERROR(INDEX(Products!$D$5:$D$54,MATCH(B495,Products!$A$5:$A$54,0)),0))</f>
        <v/>
      </c>
      <c r="E495" s="10" t="str">
        <f aca="false">IF(B495="","",IFERROR(INDEX(Products!$C$5:$C$54,MATCH(B495,Products!$A$5:$A$54,0)),0))</f>
        <v/>
      </c>
      <c r="F495" s="10"/>
      <c r="G495" s="10"/>
      <c r="H495" s="10" t="str">
        <f aca="false">IF(A495="","",Settings!$B$5)</f>
        <v/>
      </c>
      <c r="I495" s="11" t="str">
        <f aca="false">IF(A495="","",ROUND(K495*(Settings!$B$2+Settings!$B$3)/100+Settings!$B$4,2))</f>
        <v/>
      </c>
      <c r="J495" s="11" t="str">
        <f aca="false">IF(A495="","",ROUND(K495-E495*C495-H495-G495-I495,2))</f>
        <v/>
      </c>
      <c r="K495" s="11" t="str">
        <f aca="false">IF(A495="","",D495*C495+F495)</f>
        <v/>
      </c>
      <c r="L495" s="12" t="str">
        <f aca="false">IF(OR(A495="",K495=0),"",ROUND(J495/K495*100,2))</f>
        <v/>
      </c>
      <c r="M495" s="3" t="str">
        <f aca="false">IF(A495="","",TEXT(A495,"yyyy-mm"))</f>
        <v/>
      </c>
    </row>
    <row r="496" customFormat="false" ht="15" hidden="false" customHeight="false" outlineLevel="0" collapsed="false">
      <c r="A496" s="17"/>
      <c r="B496" s="9"/>
      <c r="C496" s="9"/>
      <c r="D496" s="10" t="str">
        <f aca="false">IF(B496="","",IFERROR(INDEX(Products!$D$5:$D$54,MATCH(B496,Products!$A$5:$A$54,0)),0))</f>
        <v/>
      </c>
      <c r="E496" s="10" t="str">
        <f aca="false">IF(B496="","",IFERROR(INDEX(Products!$C$5:$C$54,MATCH(B496,Products!$A$5:$A$54,0)),0))</f>
        <v/>
      </c>
      <c r="F496" s="10"/>
      <c r="G496" s="10"/>
      <c r="H496" s="10" t="str">
        <f aca="false">IF(A496="","",Settings!$B$5)</f>
        <v/>
      </c>
      <c r="I496" s="11" t="str">
        <f aca="false">IF(A496="","",ROUND(K496*(Settings!$B$2+Settings!$B$3)/100+Settings!$B$4,2))</f>
        <v/>
      </c>
      <c r="J496" s="11" t="str">
        <f aca="false">IF(A496="","",ROUND(K496-E496*C496-H496-G496-I496,2))</f>
        <v/>
      </c>
      <c r="K496" s="11" t="str">
        <f aca="false">IF(A496="","",D496*C496+F496)</f>
        <v/>
      </c>
      <c r="L496" s="12" t="str">
        <f aca="false">IF(OR(A496="",K496=0),"",ROUND(J496/K496*100,2))</f>
        <v/>
      </c>
      <c r="M496" s="3" t="str">
        <f aca="false">IF(A496="","",TEXT(A496,"yyyy-mm"))</f>
        <v/>
      </c>
    </row>
    <row r="497" customFormat="false" ht="15" hidden="false" customHeight="false" outlineLevel="0" collapsed="false">
      <c r="A497" s="17"/>
      <c r="B497" s="9"/>
      <c r="C497" s="9"/>
      <c r="D497" s="10" t="str">
        <f aca="false">IF(B497="","",IFERROR(INDEX(Products!$D$5:$D$54,MATCH(B497,Products!$A$5:$A$54,0)),0))</f>
        <v/>
      </c>
      <c r="E497" s="10" t="str">
        <f aca="false">IF(B497="","",IFERROR(INDEX(Products!$C$5:$C$54,MATCH(B497,Products!$A$5:$A$54,0)),0))</f>
        <v/>
      </c>
      <c r="F497" s="10"/>
      <c r="G497" s="10"/>
      <c r="H497" s="10" t="str">
        <f aca="false">IF(A497="","",Settings!$B$5)</f>
        <v/>
      </c>
      <c r="I497" s="11" t="str">
        <f aca="false">IF(A497="","",ROUND(K497*(Settings!$B$2+Settings!$B$3)/100+Settings!$B$4,2))</f>
        <v/>
      </c>
      <c r="J497" s="11" t="str">
        <f aca="false">IF(A497="","",ROUND(K497-E497*C497-H497-G497-I497,2))</f>
        <v/>
      </c>
      <c r="K497" s="11" t="str">
        <f aca="false">IF(A497="","",D497*C497+F497)</f>
        <v/>
      </c>
      <c r="L497" s="12" t="str">
        <f aca="false">IF(OR(A497="",K497=0),"",ROUND(J497/K497*100,2))</f>
        <v/>
      </c>
      <c r="M497" s="3" t="str">
        <f aca="false">IF(A497="","",TEXT(A497,"yyyy-mm"))</f>
        <v/>
      </c>
    </row>
    <row r="498" customFormat="false" ht="15" hidden="false" customHeight="false" outlineLevel="0" collapsed="false">
      <c r="A498" s="17"/>
      <c r="B498" s="9"/>
      <c r="C498" s="9"/>
      <c r="D498" s="10" t="str">
        <f aca="false">IF(B498="","",IFERROR(INDEX(Products!$D$5:$D$54,MATCH(B498,Products!$A$5:$A$54,0)),0))</f>
        <v/>
      </c>
      <c r="E498" s="10" t="str">
        <f aca="false">IF(B498="","",IFERROR(INDEX(Products!$C$5:$C$54,MATCH(B498,Products!$A$5:$A$54,0)),0))</f>
        <v/>
      </c>
      <c r="F498" s="10"/>
      <c r="G498" s="10"/>
      <c r="H498" s="10" t="str">
        <f aca="false">IF(A498="","",Settings!$B$5)</f>
        <v/>
      </c>
      <c r="I498" s="11" t="str">
        <f aca="false">IF(A498="","",ROUND(K498*(Settings!$B$2+Settings!$B$3)/100+Settings!$B$4,2))</f>
        <v/>
      </c>
      <c r="J498" s="11" t="str">
        <f aca="false">IF(A498="","",ROUND(K498-E498*C498-H498-G498-I498,2))</f>
        <v/>
      </c>
      <c r="K498" s="11" t="str">
        <f aca="false">IF(A498="","",D498*C498+F498)</f>
        <v/>
      </c>
      <c r="L498" s="12" t="str">
        <f aca="false">IF(OR(A498="",K498=0),"",ROUND(J498/K498*100,2))</f>
        <v/>
      </c>
      <c r="M498" s="3" t="str">
        <f aca="false">IF(A498="","",TEXT(A498,"yyyy-mm"))</f>
        <v/>
      </c>
    </row>
    <row r="499" customFormat="false" ht="15" hidden="false" customHeight="false" outlineLevel="0" collapsed="false">
      <c r="A499" s="17"/>
      <c r="B499" s="9"/>
      <c r="C499" s="9"/>
      <c r="D499" s="10" t="str">
        <f aca="false">IF(B499="","",IFERROR(INDEX(Products!$D$5:$D$54,MATCH(B499,Products!$A$5:$A$54,0)),0))</f>
        <v/>
      </c>
      <c r="E499" s="10" t="str">
        <f aca="false">IF(B499="","",IFERROR(INDEX(Products!$C$5:$C$54,MATCH(B499,Products!$A$5:$A$54,0)),0))</f>
        <v/>
      </c>
      <c r="F499" s="10"/>
      <c r="G499" s="10"/>
      <c r="H499" s="10" t="str">
        <f aca="false">IF(A499="","",Settings!$B$5)</f>
        <v/>
      </c>
      <c r="I499" s="11" t="str">
        <f aca="false">IF(A499="","",ROUND(K499*(Settings!$B$2+Settings!$B$3)/100+Settings!$B$4,2))</f>
        <v/>
      </c>
      <c r="J499" s="11" t="str">
        <f aca="false">IF(A499="","",ROUND(K499-E499*C499-H499-G499-I499,2))</f>
        <v/>
      </c>
      <c r="K499" s="11" t="str">
        <f aca="false">IF(A499="","",D499*C499+F499)</f>
        <v/>
      </c>
      <c r="L499" s="12" t="str">
        <f aca="false">IF(OR(A499="",K499=0),"",ROUND(J499/K499*100,2))</f>
        <v/>
      </c>
      <c r="M499" s="3" t="str">
        <f aca="false">IF(A499="","",TEXT(A499,"yyyy-mm"))</f>
        <v/>
      </c>
    </row>
    <row r="500" customFormat="false" ht="15" hidden="false" customHeight="false" outlineLevel="0" collapsed="false">
      <c r="A500" s="17"/>
      <c r="B500" s="9"/>
      <c r="C500" s="9"/>
      <c r="D500" s="10" t="str">
        <f aca="false">IF(B500="","",IFERROR(INDEX(Products!$D$5:$D$54,MATCH(B500,Products!$A$5:$A$54,0)),0))</f>
        <v/>
      </c>
      <c r="E500" s="10" t="str">
        <f aca="false">IF(B500="","",IFERROR(INDEX(Products!$C$5:$C$54,MATCH(B500,Products!$A$5:$A$54,0)),0))</f>
        <v/>
      </c>
      <c r="F500" s="10"/>
      <c r="G500" s="10"/>
      <c r="H500" s="10" t="str">
        <f aca="false">IF(A500="","",Settings!$B$5)</f>
        <v/>
      </c>
      <c r="I500" s="11" t="str">
        <f aca="false">IF(A500="","",ROUND(K500*(Settings!$B$2+Settings!$B$3)/100+Settings!$B$4,2))</f>
        <v/>
      </c>
      <c r="J500" s="11" t="str">
        <f aca="false">IF(A500="","",ROUND(K500-E500*C500-H500-G500-I500,2))</f>
        <v/>
      </c>
      <c r="K500" s="11" t="str">
        <f aca="false">IF(A500="","",D500*C500+F500)</f>
        <v/>
      </c>
      <c r="L500" s="12" t="str">
        <f aca="false">IF(OR(A500="",K500=0),"",ROUND(J500/K500*100,2))</f>
        <v/>
      </c>
      <c r="M500" s="3" t="str">
        <f aca="false">IF(A500="","",TEXT(A500,"yyyy-mm"))</f>
        <v/>
      </c>
    </row>
    <row r="501" customFormat="false" ht="15" hidden="false" customHeight="false" outlineLevel="0" collapsed="false">
      <c r="A501" s="17"/>
      <c r="B501" s="9"/>
      <c r="C501" s="9"/>
      <c r="D501" s="10" t="str">
        <f aca="false">IF(B501="","",IFERROR(INDEX(Products!$D$5:$D$54,MATCH(B501,Products!$A$5:$A$54,0)),0))</f>
        <v/>
      </c>
      <c r="E501" s="10" t="str">
        <f aca="false">IF(B501="","",IFERROR(INDEX(Products!$C$5:$C$54,MATCH(B501,Products!$A$5:$A$54,0)),0))</f>
        <v/>
      </c>
      <c r="F501" s="10"/>
      <c r="G501" s="10"/>
      <c r="H501" s="10" t="str">
        <f aca="false">IF(A501="","",Settings!$B$5)</f>
        <v/>
      </c>
      <c r="I501" s="11" t="str">
        <f aca="false">IF(A501="","",ROUND(K501*(Settings!$B$2+Settings!$B$3)/100+Settings!$B$4,2))</f>
        <v/>
      </c>
      <c r="J501" s="11" t="str">
        <f aca="false">IF(A501="","",ROUND(K501-E501*C501-H501-G501-I501,2))</f>
        <v/>
      </c>
      <c r="K501" s="11" t="str">
        <f aca="false">IF(A501="","",D501*C501+F501)</f>
        <v/>
      </c>
      <c r="L501" s="12" t="str">
        <f aca="false">IF(OR(A501="",K501=0),"",ROUND(J501/K501*100,2))</f>
        <v/>
      </c>
      <c r="M501" s="3" t="str">
        <f aca="false">IF(A501="","",TEXT(A501,"yyyy-mm"))</f>
        <v/>
      </c>
    </row>
    <row r="502" customFormat="false" ht="15" hidden="false" customHeight="false" outlineLevel="0" collapsed="false">
      <c r="A502" s="17"/>
      <c r="B502" s="9"/>
      <c r="C502" s="9"/>
      <c r="D502" s="10" t="str">
        <f aca="false">IF(B502="","",IFERROR(INDEX(Products!$D$5:$D$54,MATCH(B502,Products!$A$5:$A$54,0)),0))</f>
        <v/>
      </c>
      <c r="E502" s="10" t="str">
        <f aca="false">IF(B502="","",IFERROR(INDEX(Products!$C$5:$C$54,MATCH(B502,Products!$A$5:$A$54,0)),0))</f>
        <v/>
      </c>
      <c r="F502" s="10"/>
      <c r="G502" s="10"/>
      <c r="H502" s="10" t="str">
        <f aca="false">IF(A502="","",Settings!$B$5)</f>
        <v/>
      </c>
      <c r="I502" s="11" t="str">
        <f aca="false">IF(A502="","",ROUND(K502*(Settings!$B$2+Settings!$B$3)/100+Settings!$B$4,2))</f>
        <v/>
      </c>
      <c r="J502" s="11" t="str">
        <f aca="false">IF(A502="","",ROUND(K502-E502*C502-H502-G502-I502,2))</f>
        <v/>
      </c>
      <c r="K502" s="11" t="str">
        <f aca="false">IF(A502="","",D502*C502+F502)</f>
        <v/>
      </c>
      <c r="L502" s="12" t="str">
        <f aca="false">IF(OR(A502="",K502=0),"",ROUND(J502/K502*100,2))</f>
        <v/>
      </c>
      <c r="M502" s="3" t="str">
        <f aca="false">IF(A502="","",TEXT(A502,"yyyy-mm"))</f>
        <v/>
      </c>
    </row>
    <row r="503" customFormat="false" ht="15" hidden="false" customHeight="false" outlineLevel="0" collapsed="false">
      <c r="A503" s="17"/>
      <c r="B503" s="9"/>
      <c r="C503" s="9"/>
      <c r="D503" s="10" t="str">
        <f aca="false">IF(B503="","",IFERROR(INDEX(Products!$D$5:$D$54,MATCH(B503,Products!$A$5:$A$54,0)),0))</f>
        <v/>
      </c>
      <c r="E503" s="10" t="str">
        <f aca="false">IF(B503="","",IFERROR(INDEX(Products!$C$5:$C$54,MATCH(B503,Products!$A$5:$A$54,0)),0))</f>
        <v/>
      </c>
      <c r="F503" s="10"/>
      <c r="G503" s="10"/>
      <c r="H503" s="10" t="str">
        <f aca="false">IF(A503="","",Settings!$B$5)</f>
        <v/>
      </c>
      <c r="I503" s="11" t="str">
        <f aca="false">IF(A503="","",ROUND(K503*(Settings!$B$2+Settings!$B$3)/100+Settings!$B$4,2))</f>
        <v/>
      </c>
      <c r="J503" s="11" t="str">
        <f aca="false">IF(A503="","",ROUND(K503-E503*C503-H503-G503-I503,2))</f>
        <v/>
      </c>
      <c r="K503" s="11" t="str">
        <f aca="false">IF(A503="","",D503*C503+F503)</f>
        <v/>
      </c>
      <c r="L503" s="12" t="str">
        <f aca="false">IF(OR(A503="",K503=0),"",ROUND(J503/K503*100,2))</f>
        <v/>
      </c>
      <c r="M503" s="3" t="str">
        <f aca="false">IF(A503="","",TEXT(A503,"yyyy-mm"))</f>
        <v/>
      </c>
    </row>
    <row r="504" customFormat="false" ht="15" hidden="false" customHeight="false" outlineLevel="0" collapsed="false">
      <c r="A504" s="17"/>
      <c r="B504" s="9"/>
      <c r="C504" s="9"/>
      <c r="D504" s="10" t="str">
        <f aca="false">IF(B504="","",IFERROR(INDEX(Products!$D$5:$D$54,MATCH(B504,Products!$A$5:$A$54,0)),0))</f>
        <v/>
      </c>
      <c r="E504" s="10" t="str">
        <f aca="false">IF(B504="","",IFERROR(INDEX(Products!$C$5:$C$54,MATCH(B504,Products!$A$5:$A$54,0)),0))</f>
        <v/>
      </c>
      <c r="F504" s="10"/>
      <c r="G504" s="10"/>
      <c r="H504" s="10" t="str">
        <f aca="false">IF(A504="","",Settings!$B$5)</f>
        <v/>
      </c>
      <c r="I504" s="11" t="str">
        <f aca="false">IF(A504="","",ROUND(K504*(Settings!$B$2+Settings!$B$3)/100+Settings!$B$4,2))</f>
        <v/>
      </c>
      <c r="J504" s="11" t="str">
        <f aca="false">IF(A504="","",ROUND(K504-E504*C504-H504-G504-I504,2))</f>
        <v/>
      </c>
      <c r="K504" s="11" t="str">
        <f aca="false">IF(A504="","",D504*C504+F504)</f>
        <v/>
      </c>
      <c r="L504" s="12" t="str">
        <f aca="false">IF(OR(A504="",K504=0),"",ROUND(J504/K504*100,2))</f>
        <v/>
      </c>
      <c r="M504" s="3" t="str">
        <f aca="false">IF(A504="","",TEXT(A504,"yyyy-mm"))</f>
        <v/>
      </c>
    </row>
  </sheetData>
  <dataValidations count="1">
    <dataValidation allowBlank="true" errorStyle="stop" operator="between" showDropDown="false" showErrorMessage="false" showInputMessage="false" sqref="B5:B504" type="list">
      <formula1>Products!$A$5:$A$54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3" t="s">
        <v>49</v>
      </c>
      <c r="B2" s="15" t="n">
        <v>46266</v>
      </c>
    </row>
    <row r="4" customFormat="false" ht="26.85" hidden="false" customHeight="false" outlineLevel="0" collapsed="false">
      <c r="A4" s="8" t="s">
        <v>47</v>
      </c>
      <c r="B4" s="8" t="s">
        <v>36</v>
      </c>
      <c r="C4" s="8" t="s">
        <v>45</v>
      </c>
      <c r="D4" s="8" t="s">
        <v>43</v>
      </c>
      <c r="E4" s="8" t="s">
        <v>41</v>
      </c>
      <c r="F4" s="8" t="s">
        <v>44</v>
      </c>
      <c r="G4" s="8" t="s">
        <v>46</v>
      </c>
    </row>
    <row r="5" customFormat="false" ht="15" hidden="false" customHeight="false" outlineLevel="0" collapsed="false">
      <c r="A5" s="3" t="str">
        <f aca="false">TEXT(EDATE($B$2,0),"yyyy-mm")</f>
        <v>2026-09</v>
      </c>
      <c r="B5" s="18" t="n">
        <f aca="false">COUNTIF(Orders!$M$5:$M$504,A5)</f>
        <v>2</v>
      </c>
      <c r="C5" s="11" t="n">
        <f aca="false">SUMIF(Orders!$M$5:$M$504,A5,Orders!$K$5:$K$504)</f>
        <v>89</v>
      </c>
      <c r="D5" s="11" t="n">
        <f aca="false">SUMIF(Orders!$M$5:$M$504,A5,Orders!$I$5:$I$504)</f>
        <v>12.17</v>
      </c>
      <c r="E5" s="11" t="n">
        <f aca="false">SUMIF(Orders!$M$5:$M$504,A5,Orders!$G$5:$G$504)</f>
        <v>10.5</v>
      </c>
      <c r="F5" s="11" t="n">
        <f aca="false">SUMIF(Orders!$M$5:$M$504,A5,Orders!$J$5:$J$504)</f>
        <v>33.33</v>
      </c>
      <c r="G5" s="12" t="n">
        <f aca="false">IF(C5=0,"",ROUND(F5/C5*100,2))</f>
        <v>37.45</v>
      </c>
    </row>
    <row r="6" customFormat="false" ht="15" hidden="false" customHeight="false" outlineLevel="0" collapsed="false">
      <c r="A6" s="3" t="str">
        <f aca="false">TEXT(EDATE($B$2,1),"yyyy-mm")</f>
        <v>2026-10</v>
      </c>
      <c r="B6" s="18" t="n">
        <f aca="false">COUNTIF(Orders!$M$5:$M$504,A6)</f>
        <v>0</v>
      </c>
      <c r="C6" s="11" t="n">
        <f aca="false">SUMIF(Orders!$M$5:$M$504,A6,Orders!$K$5:$K$504)</f>
        <v>0</v>
      </c>
      <c r="D6" s="11" t="n">
        <f aca="false">SUMIF(Orders!$M$5:$M$504,A6,Orders!$I$5:$I$504)</f>
        <v>0</v>
      </c>
      <c r="E6" s="11" t="n">
        <f aca="false">SUMIF(Orders!$M$5:$M$504,A6,Orders!$G$5:$G$504)</f>
        <v>0</v>
      </c>
      <c r="F6" s="11" t="n">
        <f aca="false">SUMIF(Orders!$M$5:$M$504,A6,Orders!$J$5:$J$504)</f>
        <v>0</v>
      </c>
      <c r="G6" s="12" t="str">
        <f aca="false">IF(C6=0,"",ROUND(F6/C6*100,2))</f>
        <v/>
      </c>
    </row>
    <row r="7" customFormat="false" ht="15" hidden="false" customHeight="false" outlineLevel="0" collapsed="false">
      <c r="A7" s="3" t="str">
        <f aca="false">TEXT(EDATE($B$2,2),"yyyy-mm")</f>
        <v>2026-11</v>
      </c>
      <c r="B7" s="18" t="n">
        <f aca="false">COUNTIF(Orders!$M$5:$M$504,A7)</f>
        <v>0</v>
      </c>
      <c r="C7" s="11" t="n">
        <f aca="false">SUMIF(Orders!$M$5:$M$504,A7,Orders!$K$5:$K$504)</f>
        <v>0</v>
      </c>
      <c r="D7" s="11" t="n">
        <f aca="false">SUMIF(Orders!$M$5:$M$504,A7,Orders!$I$5:$I$504)</f>
        <v>0</v>
      </c>
      <c r="E7" s="11" t="n">
        <f aca="false">SUMIF(Orders!$M$5:$M$504,A7,Orders!$G$5:$G$504)</f>
        <v>0</v>
      </c>
      <c r="F7" s="11" t="n">
        <f aca="false">SUMIF(Orders!$M$5:$M$504,A7,Orders!$J$5:$J$504)</f>
        <v>0</v>
      </c>
      <c r="G7" s="12" t="str">
        <f aca="false">IF(C7=0,"",ROUND(F7/C7*100,2))</f>
        <v/>
      </c>
    </row>
    <row r="8" customFormat="false" ht="15" hidden="false" customHeight="false" outlineLevel="0" collapsed="false">
      <c r="A8" s="3" t="str">
        <f aca="false">TEXT(EDATE($B$2,3),"yyyy-mm")</f>
        <v>2026-12</v>
      </c>
      <c r="B8" s="18" t="n">
        <f aca="false">COUNTIF(Orders!$M$5:$M$504,A8)</f>
        <v>0</v>
      </c>
      <c r="C8" s="11" t="n">
        <f aca="false">SUMIF(Orders!$M$5:$M$504,A8,Orders!$K$5:$K$504)</f>
        <v>0</v>
      </c>
      <c r="D8" s="11" t="n">
        <f aca="false">SUMIF(Orders!$M$5:$M$504,A8,Orders!$I$5:$I$504)</f>
        <v>0</v>
      </c>
      <c r="E8" s="11" t="n">
        <f aca="false">SUMIF(Orders!$M$5:$M$504,A8,Orders!$G$5:$G$504)</f>
        <v>0</v>
      </c>
      <c r="F8" s="11" t="n">
        <f aca="false">SUMIF(Orders!$M$5:$M$504,A8,Orders!$J$5:$J$504)</f>
        <v>0</v>
      </c>
      <c r="G8" s="12" t="str">
        <f aca="false">IF(C8=0,"",ROUND(F8/C8*100,2))</f>
        <v/>
      </c>
    </row>
    <row r="9" customFormat="false" ht="15" hidden="false" customHeight="false" outlineLevel="0" collapsed="false">
      <c r="A9" s="3" t="str">
        <f aca="false">TEXT(EDATE($B$2,4),"yyyy-mm")</f>
        <v>2027-01</v>
      </c>
      <c r="B9" s="18" t="n">
        <f aca="false">COUNTIF(Orders!$M$5:$M$504,A9)</f>
        <v>0</v>
      </c>
      <c r="C9" s="11" t="n">
        <f aca="false">SUMIF(Orders!$M$5:$M$504,A9,Orders!$K$5:$K$504)</f>
        <v>0</v>
      </c>
      <c r="D9" s="11" t="n">
        <f aca="false">SUMIF(Orders!$M$5:$M$504,A9,Orders!$I$5:$I$504)</f>
        <v>0</v>
      </c>
      <c r="E9" s="11" t="n">
        <f aca="false">SUMIF(Orders!$M$5:$M$504,A9,Orders!$G$5:$G$504)</f>
        <v>0</v>
      </c>
      <c r="F9" s="11" t="n">
        <f aca="false">SUMIF(Orders!$M$5:$M$504,A9,Orders!$J$5:$J$504)</f>
        <v>0</v>
      </c>
      <c r="G9" s="12" t="str">
        <f aca="false">IF(C9=0,"",ROUND(F9/C9*100,2))</f>
        <v/>
      </c>
    </row>
    <row r="10" customFormat="false" ht="15" hidden="false" customHeight="false" outlineLevel="0" collapsed="false">
      <c r="A10" s="3" t="str">
        <f aca="false">TEXT(EDATE($B$2,5),"yyyy-mm")</f>
        <v>2027-02</v>
      </c>
      <c r="B10" s="18" t="n">
        <f aca="false">COUNTIF(Orders!$M$5:$M$504,A10)</f>
        <v>0</v>
      </c>
      <c r="C10" s="11" t="n">
        <f aca="false">SUMIF(Orders!$M$5:$M$504,A10,Orders!$K$5:$K$504)</f>
        <v>0</v>
      </c>
      <c r="D10" s="11" t="n">
        <f aca="false">SUMIF(Orders!$M$5:$M$504,A10,Orders!$I$5:$I$504)</f>
        <v>0</v>
      </c>
      <c r="E10" s="11" t="n">
        <f aca="false">SUMIF(Orders!$M$5:$M$504,A10,Orders!$G$5:$G$504)</f>
        <v>0</v>
      </c>
      <c r="F10" s="11" t="n">
        <f aca="false">SUMIF(Orders!$M$5:$M$504,A10,Orders!$J$5:$J$504)</f>
        <v>0</v>
      </c>
      <c r="G10" s="12" t="str">
        <f aca="false">IF(C10=0,"",ROUND(F10/C10*100,2))</f>
        <v/>
      </c>
    </row>
    <row r="11" customFormat="false" ht="15" hidden="false" customHeight="false" outlineLevel="0" collapsed="false">
      <c r="A11" s="3" t="str">
        <f aca="false">TEXT(EDATE($B$2,6),"yyyy-mm")</f>
        <v>2027-03</v>
      </c>
      <c r="B11" s="18" t="n">
        <f aca="false">COUNTIF(Orders!$M$5:$M$504,A11)</f>
        <v>0</v>
      </c>
      <c r="C11" s="11" t="n">
        <f aca="false">SUMIF(Orders!$M$5:$M$504,A11,Orders!$K$5:$K$504)</f>
        <v>0</v>
      </c>
      <c r="D11" s="11" t="n">
        <f aca="false">SUMIF(Orders!$M$5:$M$504,A11,Orders!$I$5:$I$504)</f>
        <v>0</v>
      </c>
      <c r="E11" s="11" t="n">
        <f aca="false">SUMIF(Orders!$M$5:$M$504,A11,Orders!$G$5:$G$504)</f>
        <v>0</v>
      </c>
      <c r="F11" s="11" t="n">
        <f aca="false">SUMIF(Orders!$M$5:$M$504,A11,Orders!$J$5:$J$504)</f>
        <v>0</v>
      </c>
      <c r="G11" s="12" t="str">
        <f aca="false">IF(C11=0,"",ROUND(F11/C11*100,2))</f>
        <v/>
      </c>
    </row>
    <row r="12" customFormat="false" ht="15" hidden="false" customHeight="false" outlineLevel="0" collapsed="false">
      <c r="A12" s="3" t="str">
        <f aca="false">TEXT(EDATE($B$2,7),"yyyy-mm")</f>
        <v>2027-04</v>
      </c>
      <c r="B12" s="18" t="n">
        <f aca="false">COUNTIF(Orders!$M$5:$M$504,A12)</f>
        <v>0</v>
      </c>
      <c r="C12" s="11" t="n">
        <f aca="false">SUMIF(Orders!$M$5:$M$504,A12,Orders!$K$5:$K$504)</f>
        <v>0</v>
      </c>
      <c r="D12" s="11" t="n">
        <f aca="false">SUMIF(Orders!$M$5:$M$504,A12,Orders!$I$5:$I$504)</f>
        <v>0</v>
      </c>
      <c r="E12" s="11" t="n">
        <f aca="false">SUMIF(Orders!$M$5:$M$504,A12,Orders!$G$5:$G$504)</f>
        <v>0</v>
      </c>
      <c r="F12" s="11" t="n">
        <f aca="false">SUMIF(Orders!$M$5:$M$504,A12,Orders!$J$5:$J$504)</f>
        <v>0</v>
      </c>
      <c r="G12" s="12" t="str">
        <f aca="false">IF(C12=0,"",ROUND(F12/C12*100,2))</f>
        <v/>
      </c>
    </row>
    <row r="13" customFormat="false" ht="15" hidden="false" customHeight="false" outlineLevel="0" collapsed="false">
      <c r="A13" s="3" t="str">
        <f aca="false">TEXT(EDATE($B$2,8),"yyyy-mm")</f>
        <v>2027-05</v>
      </c>
      <c r="B13" s="18" t="n">
        <f aca="false">COUNTIF(Orders!$M$5:$M$504,A13)</f>
        <v>0</v>
      </c>
      <c r="C13" s="11" t="n">
        <f aca="false">SUMIF(Orders!$M$5:$M$504,A13,Orders!$K$5:$K$504)</f>
        <v>0</v>
      </c>
      <c r="D13" s="11" t="n">
        <f aca="false">SUMIF(Orders!$M$5:$M$504,A13,Orders!$I$5:$I$504)</f>
        <v>0</v>
      </c>
      <c r="E13" s="11" t="n">
        <f aca="false">SUMIF(Orders!$M$5:$M$504,A13,Orders!$G$5:$G$504)</f>
        <v>0</v>
      </c>
      <c r="F13" s="11" t="n">
        <f aca="false">SUMIF(Orders!$M$5:$M$504,A13,Orders!$J$5:$J$504)</f>
        <v>0</v>
      </c>
      <c r="G13" s="12" t="str">
        <f aca="false">IF(C13=0,"",ROUND(F13/C13*100,2))</f>
        <v/>
      </c>
    </row>
    <row r="14" customFormat="false" ht="15" hidden="false" customHeight="false" outlineLevel="0" collapsed="false">
      <c r="A14" s="3" t="str">
        <f aca="false">TEXT(EDATE($B$2,9),"yyyy-mm")</f>
        <v>2027-06</v>
      </c>
      <c r="B14" s="18" t="n">
        <f aca="false">COUNTIF(Orders!$M$5:$M$504,A14)</f>
        <v>0</v>
      </c>
      <c r="C14" s="11" t="n">
        <f aca="false">SUMIF(Orders!$M$5:$M$504,A14,Orders!$K$5:$K$504)</f>
        <v>0</v>
      </c>
      <c r="D14" s="11" t="n">
        <f aca="false">SUMIF(Orders!$M$5:$M$504,A14,Orders!$I$5:$I$504)</f>
        <v>0</v>
      </c>
      <c r="E14" s="11" t="n">
        <f aca="false">SUMIF(Orders!$M$5:$M$504,A14,Orders!$G$5:$G$504)</f>
        <v>0</v>
      </c>
      <c r="F14" s="11" t="n">
        <f aca="false">SUMIF(Orders!$M$5:$M$504,A14,Orders!$J$5:$J$504)</f>
        <v>0</v>
      </c>
      <c r="G14" s="12" t="str">
        <f aca="false">IF(C14=0,"",ROUND(F14/C14*100,2))</f>
        <v/>
      </c>
    </row>
    <row r="15" customFormat="false" ht="15" hidden="false" customHeight="false" outlineLevel="0" collapsed="false">
      <c r="A15" s="3" t="str">
        <f aca="false">TEXT(EDATE($B$2,10),"yyyy-mm")</f>
        <v>2027-07</v>
      </c>
      <c r="B15" s="18" t="n">
        <f aca="false">COUNTIF(Orders!$M$5:$M$504,A15)</f>
        <v>0</v>
      </c>
      <c r="C15" s="11" t="n">
        <f aca="false">SUMIF(Orders!$M$5:$M$504,A15,Orders!$K$5:$K$504)</f>
        <v>0</v>
      </c>
      <c r="D15" s="11" t="n">
        <f aca="false">SUMIF(Orders!$M$5:$M$504,A15,Orders!$I$5:$I$504)</f>
        <v>0</v>
      </c>
      <c r="E15" s="11" t="n">
        <f aca="false">SUMIF(Orders!$M$5:$M$504,A15,Orders!$G$5:$G$504)</f>
        <v>0</v>
      </c>
      <c r="F15" s="11" t="n">
        <f aca="false">SUMIF(Orders!$M$5:$M$504,A15,Orders!$J$5:$J$504)</f>
        <v>0</v>
      </c>
      <c r="G15" s="12" t="str">
        <f aca="false">IF(C15=0,"",ROUND(F15/C15*100,2))</f>
        <v/>
      </c>
    </row>
    <row r="16" customFormat="false" ht="15" hidden="false" customHeight="false" outlineLevel="0" collapsed="false">
      <c r="A16" s="3" t="str">
        <f aca="false">TEXT(EDATE($B$2,11),"yyyy-mm")</f>
        <v>2027-08</v>
      </c>
      <c r="B16" s="18" t="n">
        <f aca="false">COUNTIF(Orders!$M$5:$M$504,A16)</f>
        <v>0</v>
      </c>
      <c r="C16" s="11" t="n">
        <f aca="false">SUMIF(Orders!$M$5:$M$504,A16,Orders!$K$5:$K$504)</f>
        <v>0</v>
      </c>
      <c r="D16" s="11" t="n">
        <f aca="false">SUMIF(Orders!$M$5:$M$504,A16,Orders!$I$5:$I$504)</f>
        <v>0</v>
      </c>
      <c r="E16" s="11" t="n">
        <f aca="false">SUMIF(Orders!$M$5:$M$504,A16,Orders!$G$5:$G$504)</f>
        <v>0</v>
      </c>
      <c r="F16" s="11" t="n">
        <f aca="false">SUMIF(Orders!$M$5:$M$504,A16,Orders!$J$5:$J$504)</f>
        <v>0</v>
      </c>
      <c r="G16" s="12" t="str">
        <f aca="false">IF(C16=0,"",ROUND(F16/C16*100,2))</f>
        <v/>
      </c>
    </row>
    <row r="17" customFormat="false" ht="15" hidden="false" customHeight="false" outlineLevel="0" collapsed="false">
      <c r="A17" s="4" t="s">
        <v>50</v>
      </c>
      <c r="B17" s="14" t="n">
        <f aca="false">SUM(B5:B16)</f>
        <v>2</v>
      </c>
      <c r="C17" s="13" t="n">
        <f aca="false">SUM(C5:C16)</f>
        <v>89</v>
      </c>
      <c r="D17" s="13" t="n">
        <f aca="false">SUM(D5:D16)</f>
        <v>12.17</v>
      </c>
      <c r="E17" s="13" t="n">
        <f aca="false">SUM(E5:E16)</f>
        <v>10.5</v>
      </c>
      <c r="F17" s="13" t="n">
        <f aca="false">SUM(F5:F16)</f>
        <v>33.33</v>
      </c>
      <c r="G17" s="19" t="n">
        <f aca="false">IF(C17=0,"",ROUND(F17/C17*100,2))</f>
        <v>37.45</v>
      </c>
    </row>
    <row r="20" customFormat="false" ht="15" hidden="false" customHeight="false" outlineLevel="0" collapsed="false">
      <c r="A20" s="8" t="s">
        <v>26</v>
      </c>
      <c r="B20" s="8" t="s">
        <v>27</v>
      </c>
      <c r="C20" s="8" t="s">
        <v>51</v>
      </c>
      <c r="D20" s="8" t="s">
        <v>45</v>
      </c>
      <c r="E20" s="8" t="s">
        <v>44</v>
      </c>
      <c r="F20" s="8" t="s">
        <v>46</v>
      </c>
    </row>
    <row r="21" customFormat="false" ht="15" hidden="false" customHeight="false" outlineLevel="0" collapsed="false">
      <c r="A21" s="3" t="str">
        <f aca="false">IF(Products!A5="","",Products!A5)</f>
        <v>SKU-001</v>
      </c>
      <c r="B21" s="3" t="str">
        <f aca="false">IF(Products!A5="","",Products!B5)</f>
        <v>Example candle, large</v>
      </c>
      <c r="C21" s="18" t="n">
        <f aca="false">IF(A21="","",SUMIF(Orders!$B$5:$B$504,A21,Orders!$C$5:$C$504))</f>
        <v>1</v>
      </c>
      <c r="D21" s="11" t="n">
        <f aca="false">IF(A21="","",SUMIF(Orders!$B$5:$B$504,A21,Orders!$K$5:$K$504))</f>
        <v>45</v>
      </c>
      <c r="E21" s="11" t="n">
        <f aca="false">IF(A21="","",SUMIF(Orders!$B$5:$B$504,A21,Orders!$J$5:$J$504))</f>
        <v>16.85</v>
      </c>
      <c r="F21" s="12" t="n">
        <f aca="false">IF(OR(A21="",D21=0),"",ROUND(E21/D21*100,2))</f>
        <v>37.44</v>
      </c>
    </row>
    <row r="22" customFormat="false" ht="15" hidden="false" customHeight="false" outlineLevel="0" collapsed="false">
      <c r="A22" s="3" t="str">
        <f aca="false">IF(Products!A6="","",Products!A6)</f>
        <v>SKU-002</v>
      </c>
      <c r="B22" s="3" t="str">
        <f aca="false">IF(Products!A6="","",Products!B6)</f>
        <v>Example candle, small</v>
      </c>
      <c r="C22" s="18" t="n">
        <f aca="false">IF(A22="","",SUMIF(Orders!$B$5:$B$504,A22,Orders!$C$5:$C$504))</f>
        <v>2</v>
      </c>
      <c r="D22" s="11" t="n">
        <f aca="false">IF(A22="","",SUMIF(Orders!$B$5:$B$504,A22,Orders!$K$5:$K$504))</f>
        <v>44</v>
      </c>
      <c r="E22" s="11" t="n">
        <f aca="false">IF(A22="","",SUMIF(Orders!$B$5:$B$504,A22,Orders!$J$5:$J$504))</f>
        <v>16.48</v>
      </c>
      <c r="F22" s="12" t="n">
        <f aca="false">IF(OR(A22="",D22=0),"",ROUND(E22/D22*100,2))</f>
        <v>37.45</v>
      </c>
    </row>
    <row r="23" customFormat="false" ht="15" hidden="false" customHeight="false" outlineLevel="0" collapsed="false">
      <c r="A23" s="3" t="str">
        <f aca="false">IF(Products!A7="","",Products!A7)</f>
        <v/>
      </c>
      <c r="B23" s="3" t="str">
        <f aca="false">IF(Products!A7="","",Products!B7)</f>
        <v/>
      </c>
      <c r="C23" s="18" t="str">
        <f aca="false">IF(A23="","",SUMIF(Orders!$B$5:$B$504,A23,Orders!$C$5:$C$504))</f>
        <v/>
      </c>
      <c r="D23" s="11" t="str">
        <f aca="false">IF(A23="","",SUMIF(Orders!$B$5:$B$504,A23,Orders!$K$5:$K$504))</f>
        <v/>
      </c>
      <c r="E23" s="11" t="str">
        <f aca="false">IF(A23="","",SUMIF(Orders!$B$5:$B$504,A23,Orders!$J$5:$J$504))</f>
        <v/>
      </c>
      <c r="F23" s="12" t="str">
        <f aca="false">IF(OR(A23="",D23=0),"",ROUND(E23/D23*100,2))</f>
        <v/>
      </c>
    </row>
    <row r="24" customFormat="false" ht="15" hidden="false" customHeight="false" outlineLevel="0" collapsed="false">
      <c r="A24" s="3" t="str">
        <f aca="false">IF(Products!A8="","",Products!A8)</f>
        <v/>
      </c>
      <c r="B24" s="3" t="str">
        <f aca="false">IF(Products!A8="","",Products!B8)</f>
        <v/>
      </c>
      <c r="C24" s="18" t="str">
        <f aca="false">IF(A24="","",SUMIF(Orders!$B$5:$B$504,A24,Orders!$C$5:$C$504))</f>
        <v/>
      </c>
      <c r="D24" s="11" t="str">
        <f aca="false">IF(A24="","",SUMIF(Orders!$B$5:$B$504,A24,Orders!$K$5:$K$504))</f>
        <v/>
      </c>
      <c r="E24" s="11" t="str">
        <f aca="false">IF(A24="","",SUMIF(Orders!$B$5:$B$504,A24,Orders!$J$5:$J$504))</f>
        <v/>
      </c>
      <c r="F24" s="12" t="str">
        <f aca="false">IF(OR(A24="",D24=0),"",ROUND(E24/D24*100,2))</f>
        <v/>
      </c>
    </row>
    <row r="25" customFormat="false" ht="15" hidden="false" customHeight="false" outlineLevel="0" collapsed="false">
      <c r="A25" s="3" t="str">
        <f aca="false">IF(Products!A9="","",Products!A9)</f>
        <v/>
      </c>
      <c r="B25" s="3" t="str">
        <f aca="false">IF(Products!A9="","",Products!B9)</f>
        <v/>
      </c>
      <c r="C25" s="18" t="str">
        <f aca="false">IF(A25="","",SUMIF(Orders!$B$5:$B$504,A25,Orders!$C$5:$C$504))</f>
        <v/>
      </c>
      <c r="D25" s="11" t="str">
        <f aca="false">IF(A25="","",SUMIF(Orders!$B$5:$B$504,A25,Orders!$K$5:$K$504))</f>
        <v/>
      </c>
      <c r="E25" s="11" t="str">
        <f aca="false">IF(A25="","",SUMIF(Orders!$B$5:$B$504,A25,Orders!$J$5:$J$504))</f>
        <v/>
      </c>
      <c r="F25" s="12" t="str">
        <f aca="false">IF(OR(A25="",D25=0),"",ROUND(E25/D25*100,2))</f>
        <v/>
      </c>
    </row>
    <row r="26" customFormat="false" ht="15" hidden="false" customHeight="false" outlineLevel="0" collapsed="false">
      <c r="A26" s="3" t="str">
        <f aca="false">IF(Products!A10="","",Products!A10)</f>
        <v/>
      </c>
      <c r="B26" s="3" t="str">
        <f aca="false">IF(Products!A10="","",Products!B10)</f>
        <v/>
      </c>
      <c r="C26" s="18" t="str">
        <f aca="false">IF(A26="","",SUMIF(Orders!$B$5:$B$504,A26,Orders!$C$5:$C$504))</f>
        <v/>
      </c>
      <c r="D26" s="11" t="str">
        <f aca="false">IF(A26="","",SUMIF(Orders!$B$5:$B$504,A26,Orders!$K$5:$K$504))</f>
        <v/>
      </c>
      <c r="E26" s="11" t="str">
        <f aca="false">IF(A26="","",SUMIF(Orders!$B$5:$B$504,A26,Orders!$J$5:$J$504))</f>
        <v/>
      </c>
      <c r="F26" s="12" t="str">
        <f aca="false">IF(OR(A26="",D26=0),"",ROUND(E26/D26*100,2))</f>
        <v/>
      </c>
    </row>
    <row r="27" customFormat="false" ht="15" hidden="false" customHeight="false" outlineLevel="0" collapsed="false">
      <c r="A27" s="3" t="str">
        <f aca="false">IF(Products!A11="","",Products!A11)</f>
        <v/>
      </c>
      <c r="B27" s="3" t="str">
        <f aca="false">IF(Products!A11="","",Products!B11)</f>
        <v/>
      </c>
      <c r="C27" s="18" t="str">
        <f aca="false">IF(A27="","",SUMIF(Orders!$B$5:$B$504,A27,Orders!$C$5:$C$504))</f>
        <v/>
      </c>
      <c r="D27" s="11" t="str">
        <f aca="false">IF(A27="","",SUMIF(Orders!$B$5:$B$504,A27,Orders!$K$5:$K$504))</f>
        <v/>
      </c>
      <c r="E27" s="11" t="str">
        <f aca="false">IF(A27="","",SUMIF(Orders!$B$5:$B$504,A27,Orders!$J$5:$J$504))</f>
        <v/>
      </c>
      <c r="F27" s="12" t="str">
        <f aca="false">IF(OR(A27="",D27=0),"",ROUND(E27/D27*100,2))</f>
        <v/>
      </c>
    </row>
    <row r="28" customFormat="false" ht="15" hidden="false" customHeight="false" outlineLevel="0" collapsed="false">
      <c r="A28" s="3" t="str">
        <f aca="false">IF(Products!A12="","",Products!A12)</f>
        <v/>
      </c>
      <c r="B28" s="3" t="str">
        <f aca="false">IF(Products!A12="","",Products!B12)</f>
        <v/>
      </c>
      <c r="C28" s="18" t="str">
        <f aca="false">IF(A28="","",SUMIF(Orders!$B$5:$B$504,A28,Orders!$C$5:$C$504))</f>
        <v/>
      </c>
      <c r="D28" s="11" t="str">
        <f aca="false">IF(A28="","",SUMIF(Orders!$B$5:$B$504,A28,Orders!$K$5:$K$504))</f>
        <v/>
      </c>
      <c r="E28" s="11" t="str">
        <f aca="false">IF(A28="","",SUMIF(Orders!$B$5:$B$504,A28,Orders!$J$5:$J$504))</f>
        <v/>
      </c>
      <c r="F28" s="12" t="str">
        <f aca="false">IF(OR(A28="",D28=0),"",ROUND(E28/D28*100,2))</f>
        <v/>
      </c>
    </row>
    <row r="29" customFormat="false" ht="15" hidden="false" customHeight="false" outlineLevel="0" collapsed="false">
      <c r="A29" s="3" t="str">
        <f aca="false">IF(Products!A13="","",Products!A13)</f>
        <v/>
      </c>
      <c r="B29" s="3" t="str">
        <f aca="false">IF(Products!A13="","",Products!B13)</f>
        <v/>
      </c>
      <c r="C29" s="18" t="str">
        <f aca="false">IF(A29="","",SUMIF(Orders!$B$5:$B$504,A29,Orders!$C$5:$C$504))</f>
        <v/>
      </c>
      <c r="D29" s="11" t="str">
        <f aca="false">IF(A29="","",SUMIF(Orders!$B$5:$B$504,A29,Orders!$K$5:$K$504))</f>
        <v/>
      </c>
      <c r="E29" s="11" t="str">
        <f aca="false">IF(A29="","",SUMIF(Orders!$B$5:$B$504,A29,Orders!$J$5:$J$504))</f>
        <v/>
      </c>
      <c r="F29" s="12" t="str">
        <f aca="false">IF(OR(A29="",D29=0),"",ROUND(E29/D29*100,2))</f>
        <v/>
      </c>
    </row>
    <row r="30" customFormat="false" ht="15" hidden="false" customHeight="false" outlineLevel="0" collapsed="false">
      <c r="A30" s="3" t="str">
        <f aca="false">IF(Products!A14="","",Products!A14)</f>
        <v/>
      </c>
      <c r="B30" s="3" t="str">
        <f aca="false">IF(Products!A14="","",Products!B14)</f>
        <v/>
      </c>
      <c r="C30" s="18" t="str">
        <f aca="false">IF(A30="","",SUMIF(Orders!$B$5:$B$504,A30,Orders!$C$5:$C$504))</f>
        <v/>
      </c>
      <c r="D30" s="11" t="str">
        <f aca="false">IF(A30="","",SUMIF(Orders!$B$5:$B$504,A30,Orders!$K$5:$K$504))</f>
        <v/>
      </c>
      <c r="E30" s="11" t="str">
        <f aca="false">IF(A30="","",SUMIF(Orders!$B$5:$B$504,A30,Orders!$J$5:$J$504))</f>
        <v/>
      </c>
      <c r="F30" s="12" t="str">
        <f aca="false">IF(OR(A30="",D30=0),"",ROUND(E30/D30*100,2))</f>
        <v/>
      </c>
    </row>
    <row r="31" customFormat="false" ht="15" hidden="false" customHeight="false" outlineLevel="0" collapsed="false">
      <c r="A31" s="3" t="str">
        <f aca="false">IF(Products!A15="","",Products!A15)</f>
        <v/>
      </c>
      <c r="B31" s="3" t="str">
        <f aca="false">IF(Products!A15="","",Products!B15)</f>
        <v/>
      </c>
      <c r="C31" s="18" t="str">
        <f aca="false">IF(A31="","",SUMIF(Orders!$B$5:$B$504,A31,Orders!$C$5:$C$504))</f>
        <v/>
      </c>
      <c r="D31" s="11" t="str">
        <f aca="false">IF(A31="","",SUMIF(Orders!$B$5:$B$504,A31,Orders!$K$5:$K$504))</f>
        <v/>
      </c>
      <c r="E31" s="11" t="str">
        <f aca="false">IF(A31="","",SUMIF(Orders!$B$5:$B$504,A31,Orders!$J$5:$J$504))</f>
        <v/>
      </c>
      <c r="F31" s="12" t="str">
        <f aca="false">IF(OR(A31="",D31=0),"",ROUND(E31/D31*100,2))</f>
        <v/>
      </c>
    </row>
    <row r="32" customFormat="false" ht="15" hidden="false" customHeight="false" outlineLevel="0" collapsed="false">
      <c r="A32" s="3" t="str">
        <f aca="false">IF(Products!A16="","",Products!A16)</f>
        <v/>
      </c>
      <c r="B32" s="3" t="str">
        <f aca="false">IF(Products!A16="","",Products!B16)</f>
        <v/>
      </c>
      <c r="C32" s="18" t="str">
        <f aca="false">IF(A32="","",SUMIF(Orders!$B$5:$B$504,A32,Orders!$C$5:$C$504))</f>
        <v/>
      </c>
      <c r="D32" s="11" t="str">
        <f aca="false">IF(A32="","",SUMIF(Orders!$B$5:$B$504,A32,Orders!$K$5:$K$504))</f>
        <v/>
      </c>
      <c r="E32" s="11" t="str">
        <f aca="false">IF(A32="","",SUMIF(Orders!$B$5:$B$504,A32,Orders!$J$5:$J$504))</f>
        <v/>
      </c>
      <c r="F32" s="12" t="str">
        <f aca="false">IF(OR(A32="",D32=0),"",ROUND(E32/D32*100,2))</f>
        <v/>
      </c>
    </row>
    <row r="33" customFormat="false" ht="15" hidden="false" customHeight="false" outlineLevel="0" collapsed="false">
      <c r="A33" s="3" t="str">
        <f aca="false">IF(Products!A17="","",Products!A17)</f>
        <v/>
      </c>
      <c r="B33" s="3" t="str">
        <f aca="false">IF(Products!A17="","",Products!B17)</f>
        <v/>
      </c>
      <c r="C33" s="18" t="str">
        <f aca="false">IF(A33="","",SUMIF(Orders!$B$5:$B$504,A33,Orders!$C$5:$C$504))</f>
        <v/>
      </c>
      <c r="D33" s="11" t="str">
        <f aca="false">IF(A33="","",SUMIF(Orders!$B$5:$B$504,A33,Orders!$K$5:$K$504))</f>
        <v/>
      </c>
      <c r="E33" s="11" t="str">
        <f aca="false">IF(A33="","",SUMIF(Orders!$B$5:$B$504,A33,Orders!$J$5:$J$504))</f>
        <v/>
      </c>
      <c r="F33" s="12" t="str">
        <f aca="false">IF(OR(A33="",D33=0),"",ROUND(E33/D33*100,2))</f>
        <v/>
      </c>
    </row>
    <row r="34" customFormat="false" ht="15" hidden="false" customHeight="false" outlineLevel="0" collapsed="false">
      <c r="A34" s="3" t="str">
        <f aca="false">IF(Products!A18="","",Products!A18)</f>
        <v/>
      </c>
      <c r="B34" s="3" t="str">
        <f aca="false">IF(Products!A18="","",Products!B18)</f>
        <v/>
      </c>
      <c r="C34" s="18" t="str">
        <f aca="false">IF(A34="","",SUMIF(Orders!$B$5:$B$504,A34,Orders!$C$5:$C$504))</f>
        <v/>
      </c>
      <c r="D34" s="11" t="str">
        <f aca="false">IF(A34="","",SUMIF(Orders!$B$5:$B$504,A34,Orders!$K$5:$K$504))</f>
        <v/>
      </c>
      <c r="E34" s="11" t="str">
        <f aca="false">IF(A34="","",SUMIF(Orders!$B$5:$B$504,A34,Orders!$J$5:$J$504))</f>
        <v/>
      </c>
      <c r="F34" s="12" t="str">
        <f aca="false">IF(OR(A34="",D34=0),"",ROUND(E34/D34*100,2))</f>
        <v/>
      </c>
    </row>
    <row r="35" customFormat="false" ht="15" hidden="false" customHeight="false" outlineLevel="0" collapsed="false">
      <c r="A35" s="3" t="str">
        <f aca="false">IF(Products!A19="","",Products!A19)</f>
        <v/>
      </c>
      <c r="B35" s="3" t="str">
        <f aca="false">IF(Products!A19="","",Products!B19)</f>
        <v/>
      </c>
      <c r="C35" s="18" t="str">
        <f aca="false">IF(A35="","",SUMIF(Orders!$B$5:$B$504,A35,Orders!$C$5:$C$504))</f>
        <v/>
      </c>
      <c r="D35" s="11" t="str">
        <f aca="false">IF(A35="","",SUMIF(Orders!$B$5:$B$504,A35,Orders!$K$5:$K$504))</f>
        <v/>
      </c>
      <c r="E35" s="11" t="str">
        <f aca="false">IF(A35="","",SUMIF(Orders!$B$5:$B$504,A35,Orders!$J$5:$J$504))</f>
        <v/>
      </c>
      <c r="F35" s="12" t="str">
        <f aca="false">IF(OR(A35="",D35=0),"",ROUND(E35/D35*100,2))</f>
        <v/>
      </c>
    </row>
    <row r="36" customFormat="false" ht="15" hidden="false" customHeight="false" outlineLevel="0" collapsed="false">
      <c r="A36" s="3" t="str">
        <f aca="false">IF(Products!A20="","",Products!A20)</f>
        <v/>
      </c>
      <c r="B36" s="3" t="str">
        <f aca="false">IF(Products!A20="","",Products!B20)</f>
        <v/>
      </c>
      <c r="C36" s="18" t="str">
        <f aca="false">IF(A36="","",SUMIF(Orders!$B$5:$B$504,A36,Orders!$C$5:$C$504))</f>
        <v/>
      </c>
      <c r="D36" s="11" t="str">
        <f aca="false">IF(A36="","",SUMIF(Orders!$B$5:$B$504,A36,Orders!$K$5:$K$504))</f>
        <v/>
      </c>
      <c r="E36" s="11" t="str">
        <f aca="false">IF(A36="","",SUMIF(Orders!$B$5:$B$504,A36,Orders!$J$5:$J$504))</f>
        <v/>
      </c>
      <c r="F36" s="12" t="str">
        <f aca="false">IF(OR(A36="",D36=0),"",ROUND(E36/D36*100,2))</f>
        <v/>
      </c>
    </row>
    <row r="37" customFormat="false" ht="15" hidden="false" customHeight="false" outlineLevel="0" collapsed="false">
      <c r="A37" s="3" t="str">
        <f aca="false">IF(Products!A21="","",Products!A21)</f>
        <v/>
      </c>
      <c r="B37" s="3" t="str">
        <f aca="false">IF(Products!A21="","",Products!B21)</f>
        <v/>
      </c>
      <c r="C37" s="18" t="str">
        <f aca="false">IF(A37="","",SUMIF(Orders!$B$5:$B$504,A37,Orders!$C$5:$C$504))</f>
        <v/>
      </c>
      <c r="D37" s="11" t="str">
        <f aca="false">IF(A37="","",SUMIF(Orders!$B$5:$B$504,A37,Orders!$K$5:$K$504))</f>
        <v/>
      </c>
      <c r="E37" s="11" t="str">
        <f aca="false">IF(A37="","",SUMIF(Orders!$B$5:$B$504,A37,Orders!$J$5:$J$504))</f>
        <v/>
      </c>
      <c r="F37" s="12" t="str">
        <f aca="false">IF(OR(A37="",D37=0),"",ROUND(E37/D37*100,2))</f>
        <v/>
      </c>
    </row>
    <row r="38" customFormat="false" ht="15" hidden="false" customHeight="false" outlineLevel="0" collapsed="false">
      <c r="A38" s="3" t="str">
        <f aca="false">IF(Products!A22="","",Products!A22)</f>
        <v/>
      </c>
      <c r="B38" s="3" t="str">
        <f aca="false">IF(Products!A22="","",Products!B22)</f>
        <v/>
      </c>
      <c r="C38" s="18" t="str">
        <f aca="false">IF(A38="","",SUMIF(Orders!$B$5:$B$504,A38,Orders!$C$5:$C$504))</f>
        <v/>
      </c>
      <c r="D38" s="11" t="str">
        <f aca="false">IF(A38="","",SUMIF(Orders!$B$5:$B$504,A38,Orders!$K$5:$K$504))</f>
        <v/>
      </c>
      <c r="E38" s="11" t="str">
        <f aca="false">IF(A38="","",SUMIF(Orders!$B$5:$B$504,A38,Orders!$J$5:$J$504))</f>
        <v/>
      </c>
      <c r="F38" s="12" t="str">
        <f aca="false">IF(OR(A38="",D38=0),"",ROUND(E38/D38*100,2))</f>
        <v/>
      </c>
    </row>
    <row r="39" customFormat="false" ht="15" hidden="false" customHeight="false" outlineLevel="0" collapsed="false">
      <c r="A39" s="3" t="str">
        <f aca="false">IF(Products!A23="","",Products!A23)</f>
        <v/>
      </c>
      <c r="B39" s="3" t="str">
        <f aca="false">IF(Products!A23="","",Products!B23)</f>
        <v/>
      </c>
      <c r="C39" s="18" t="str">
        <f aca="false">IF(A39="","",SUMIF(Orders!$B$5:$B$504,A39,Orders!$C$5:$C$504))</f>
        <v/>
      </c>
      <c r="D39" s="11" t="str">
        <f aca="false">IF(A39="","",SUMIF(Orders!$B$5:$B$504,A39,Orders!$K$5:$K$504))</f>
        <v/>
      </c>
      <c r="E39" s="11" t="str">
        <f aca="false">IF(A39="","",SUMIF(Orders!$B$5:$B$504,A39,Orders!$J$5:$J$504))</f>
        <v/>
      </c>
      <c r="F39" s="12" t="str">
        <f aca="false">IF(OR(A39="",D39=0),"",ROUND(E39/D39*100,2))</f>
        <v/>
      </c>
    </row>
    <row r="40" customFormat="false" ht="15" hidden="false" customHeight="false" outlineLevel="0" collapsed="false">
      <c r="A40" s="3" t="str">
        <f aca="false">IF(Products!A24="","",Products!A24)</f>
        <v/>
      </c>
      <c r="B40" s="3" t="str">
        <f aca="false">IF(Products!A24="","",Products!B24)</f>
        <v/>
      </c>
      <c r="C40" s="18" t="str">
        <f aca="false">IF(A40="","",SUMIF(Orders!$B$5:$B$504,A40,Orders!$C$5:$C$504))</f>
        <v/>
      </c>
      <c r="D40" s="11" t="str">
        <f aca="false">IF(A40="","",SUMIF(Orders!$B$5:$B$504,A40,Orders!$K$5:$K$504))</f>
        <v/>
      </c>
      <c r="E40" s="11" t="str">
        <f aca="false">IF(A40="","",SUMIF(Orders!$B$5:$B$504,A40,Orders!$J$5:$J$504))</f>
        <v/>
      </c>
      <c r="F40" s="12" t="str">
        <f aca="false">IF(OR(A40="",D40=0),"",ROUND(E40/D40*100,2))</f>
        <v/>
      </c>
    </row>
    <row r="42" customFormat="false" ht="15" hidden="false" customHeight="false" outlineLevel="0" collapsed="false">
      <c r="A42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26.85" hidden="false" customHeight="false" outlineLevel="0" collapsed="false">
      <c r="A4" s="8" t="s">
        <v>47</v>
      </c>
      <c r="B4" s="8" t="s">
        <v>55</v>
      </c>
      <c r="C4" s="8" t="s">
        <v>45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60</v>
      </c>
    </row>
    <row r="5" customFormat="false" ht="15" hidden="false" customHeight="false" outlineLevel="0" collapsed="false">
      <c r="A5" s="3" t="str">
        <f aca="false">Summary!A5</f>
        <v>2026-09</v>
      </c>
      <c r="B5" s="6" t="n">
        <v>150</v>
      </c>
      <c r="C5" s="11" t="n">
        <f aca="false">Summary!C5</f>
        <v>89</v>
      </c>
      <c r="D5" s="11" t="n">
        <f aca="false">Summary!F5</f>
        <v>33.33</v>
      </c>
      <c r="E5" s="20" t="n">
        <f aca="false">IF(B5=0,"",ROUND(C5/B5,2))</f>
        <v>0.59</v>
      </c>
      <c r="F5" s="20" t="n">
        <f aca="false">IF(OR(C5=0,D5&lt;=0),"",ROUND(C5/D5,2))</f>
        <v>2.67</v>
      </c>
      <c r="G5" s="11" t="n">
        <f aca="false">D5-B5</f>
        <v>-116.67</v>
      </c>
      <c r="H5" s="3" t="str">
        <f aca="false">IF(B5=0,"",IF(G5&gt;=0,"Profitable","Loss after ads"))</f>
        <v>Loss after ads</v>
      </c>
    </row>
    <row r="6" customFormat="false" ht="15" hidden="false" customHeight="false" outlineLevel="0" collapsed="false">
      <c r="A6" s="3" t="str">
        <f aca="false">Summary!A6</f>
        <v>2026-10</v>
      </c>
      <c r="B6" s="10" t="n">
        <v>0</v>
      </c>
      <c r="C6" s="11" t="n">
        <f aca="false">Summary!C6</f>
        <v>0</v>
      </c>
      <c r="D6" s="11" t="n">
        <f aca="false">Summary!F6</f>
        <v>0</v>
      </c>
      <c r="E6" s="20" t="str">
        <f aca="false">IF(B6=0,"",ROUND(C6/B6,2))</f>
        <v/>
      </c>
      <c r="F6" s="20" t="str">
        <f aca="false">IF(OR(C6=0,D6&lt;=0),"",ROUND(C6/D6,2))</f>
        <v/>
      </c>
      <c r="G6" s="11" t="n">
        <f aca="false">D6-B6</f>
        <v>0</v>
      </c>
      <c r="H6" s="3" t="str">
        <f aca="false">IF(B6=0,"",IF(G6&gt;=0,"Profitable","Loss after ads"))</f>
        <v/>
      </c>
    </row>
    <row r="7" customFormat="false" ht="15" hidden="false" customHeight="false" outlineLevel="0" collapsed="false">
      <c r="A7" s="3" t="str">
        <f aca="false">Summary!A7</f>
        <v>2026-11</v>
      </c>
      <c r="B7" s="10" t="n">
        <v>0</v>
      </c>
      <c r="C7" s="11" t="n">
        <f aca="false">Summary!C7</f>
        <v>0</v>
      </c>
      <c r="D7" s="11" t="n">
        <f aca="false">Summary!F7</f>
        <v>0</v>
      </c>
      <c r="E7" s="20" t="str">
        <f aca="false">IF(B7=0,"",ROUND(C7/B7,2))</f>
        <v/>
      </c>
      <c r="F7" s="20" t="str">
        <f aca="false">IF(OR(C7=0,D7&lt;=0),"",ROUND(C7/D7,2))</f>
        <v/>
      </c>
      <c r="G7" s="11" t="n">
        <f aca="false">D7-B7</f>
        <v>0</v>
      </c>
      <c r="H7" s="3" t="str">
        <f aca="false">IF(B7=0,"",IF(G7&gt;=0,"Profitable","Loss after ads"))</f>
        <v/>
      </c>
    </row>
    <row r="8" customFormat="false" ht="15" hidden="false" customHeight="false" outlineLevel="0" collapsed="false">
      <c r="A8" s="3" t="str">
        <f aca="false">Summary!A8</f>
        <v>2026-12</v>
      </c>
      <c r="B8" s="10" t="n">
        <v>0</v>
      </c>
      <c r="C8" s="11" t="n">
        <f aca="false">Summary!C8</f>
        <v>0</v>
      </c>
      <c r="D8" s="11" t="n">
        <f aca="false">Summary!F8</f>
        <v>0</v>
      </c>
      <c r="E8" s="20" t="str">
        <f aca="false">IF(B8=0,"",ROUND(C8/B8,2))</f>
        <v/>
      </c>
      <c r="F8" s="20" t="str">
        <f aca="false">IF(OR(C8=0,D8&lt;=0),"",ROUND(C8/D8,2))</f>
        <v/>
      </c>
      <c r="G8" s="11" t="n">
        <f aca="false">D8-B8</f>
        <v>0</v>
      </c>
      <c r="H8" s="3" t="str">
        <f aca="false">IF(B8=0,"",IF(G8&gt;=0,"Profitable","Loss after ads"))</f>
        <v/>
      </c>
    </row>
    <row r="9" customFormat="false" ht="15" hidden="false" customHeight="false" outlineLevel="0" collapsed="false">
      <c r="A9" s="3" t="str">
        <f aca="false">Summary!A9</f>
        <v>2027-01</v>
      </c>
      <c r="B9" s="10" t="n">
        <v>0</v>
      </c>
      <c r="C9" s="11" t="n">
        <f aca="false">Summary!C9</f>
        <v>0</v>
      </c>
      <c r="D9" s="11" t="n">
        <f aca="false">Summary!F9</f>
        <v>0</v>
      </c>
      <c r="E9" s="20" t="str">
        <f aca="false">IF(B9=0,"",ROUND(C9/B9,2))</f>
        <v/>
      </c>
      <c r="F9" s="20" t="str">
        <f aca="false">IF(OR(C9=0,D9&lt;=0),"",ROUND(C9/D9,2))</f>
        <v/>
      </c>
      <c r="G9" s="11" t="n">
        <f aca="false">D9-B9</f>
        <v>0</v>
      </c>
      <c r="H9" s="3" t="str">
        <f aca="false">IF(B9=0,"",IF(G9&gt;=0,"Profitable","Loss after ads"))</f>
        <v/>
      </c>
    </row>
    <row r="10" customFormat="false" ht="15" hidden="false" customHeight="false" outlineLevel="0" collapsed="false">
      <c r="A10" s="3" t="str">
        <f aca="false">Summary!A10</f>
        <v>2027-02</v>
      </c>
      <c r="B10" s="10" t="n">
        <v>0</v>
      </c>
      <c r="C10" s="11" t="n">
        <f aca="false">Summary!C10</f>
        <v>0</v>
      </c>
      <c r="D10" s="11" t="n">
        <f aca="false">Summary!F10</f>
        <v>0</v>
      </c>
      <c r="E10" s="20" t="str">
        <f aca="false">IF(B10=0,"",ROUND(C10/B10,2))</f>
        <v/>
      </c>
      <c r="F10" s="20" t="str">
        <f aca="false">IF(OR(C10=0,D10&lt;=0),"",ROUND(C10/D10,2))</f>
        <v/>
      </c>
      <c r="G10" s="11" t="n">
        <f aca="false">D10-B10</f>
        <v>0</v>
      </c>
      <c r="H10" s="3" t="str">
        <f aca="false">IF(B10=0,"",IF(G10&gt;=0,"Profitable","Loss after ads"))</f>
        <v/>
      </c>
    </row>
    <row r="11" customFormat="false" ht="15" hidden="false" customHeight="false" outlineLevel="0" collapsed="false">
      <c r="A11" s="3" t="str">
        <f aca="false">Summary!A11</f>
        <v>2027-03</v>
      </c>
      <c r="B11" s="10" t="n">
        <v>0</v>
      </c>
      <c r="C11" s="11" t="n">
        <f aca="false">Summary!C11</f>
        <v>0</v>
      </c>
      <c r="D11" s="11" t="n">
        <f aca="false">Summary!F11</f>
        <v>0</v>
      </c>
      <c r="E11" s="20" t="str">
        <f aca="false">IF(B11=0,"",ROUND(C11/B11,2))</f>
        <v/>
      </c>
      <c r="F11" s="20" t="str">
        <f aca="false">IF(OR(C11=0,D11&lt;=0),"",ROUND(C11/D11,2))</f>
        <v/>
      </c>
      <c r="G11" s="11" t="n">
        <f aca="false">D11-B11</f>
        <v>0</v>
      </c>
      <c r="H11" s="3" t="str">
        <f aca="false">IF(B11=0,"",IF(G11&gt;=0,"Profitable","Loss after ads"))</f>
        <v/>
      </c>
    </row>
    <row r="12" customFormat="false" ht="15" hidden="false" customHeight="false" outlineLevel="0" collapsed="false">
      <c r="A12" s="3" t="str">
        <f aca="false">Summary!A12</f>
        <v>2027-04</v>
      </c>
      <c r="B12" s="10" t="n">
        <v>0</v>
      </c>
      <c r="C12" s="11" t="n">
        <f aca="false">Summary!C12</f>
        <v>0</v>
      </c>
      <c r="D12" s="11" t="n">
        <f aca="false">Summary!F12</f>
        <v>0</v>
      </c>
      <c r="E12" s="20" t="str">
        <f aca="false">IF(B12=0,"",ROUND(C12/B12,2))</f>
        <v/>
      </c>
      <c r="F12" s="20" t="str">
        <f aca="false">IF(OR(C12=0,D12&lt;=0),"",ROUND(C12/D12,2))</f>
        <v/>
      </c>
      <c r="G12" s="11" t="n">
        <f aca="false">D12-B12</f>
        <v>0</v>
      </c>
      <c r="H12" s="3" t="str">
        <f aca="false">IF(B12=0,"",IF(G12&gt;=0,"Profitable","Loss after ads"))</f>
        <v/>
      </c>
    </row>
    <row r="13" customFormat="false" ht="15" hidden="false" customHeight="false" outlineLevel="0" collapsed="false">
      <c r="A13" s="3" t="str">
        <f aca="false">Summary!A13</f>
        <v>2027-05</v>
      </c>
      <c r="B13" s="10" t="n">
        <v>0</v>
      </c>
      <c r="C13" s="11" t="n">
        <f aca="false">Summary!C13</f>
        <v>0</v>
      </c>
      <c r="D13" s="11" t="n">
        <f aca="false">Summary!F13</f>
        <v>0</v>
      </c>
      <c r="E13" s="20" t="str">
        <f aca="false">IF(B13=0,"",ROUND(C13/B13,2))</f>
        <v/>
      </c>
      <c r="F13" s="20" t="str">
        <f aca="false">IF(OR(C13=0,D13&lt;=0),"",ROUND(C13/D13,2))</f>
        <v/>
      </c>
      <c r="G13" s="11" t="n">
        <f aca="false">D13-B13</f>
        <v>0</v>
      </c>
      <c r="H13" s="3" t="str">
        <f aca="false">IF(B13=0,"",IF(G13&gt;=0,"Profitable","Loss after ads"))</f>
        <v/>
      </c>
    </row>
    <row r="14" customFormat="false" ht="15" hidden="false" customHeight="false" outlineLevel="0" collapsed="false">
      <c r="A14" s="3" t="str">
        <f aca="false">Summary!A14</f>
        <v>2027-06</v>
      </c>
      <c r="B14" s="10" t="n">
        <v>0</v>
      </c>
      <c r="C14" s="11" t="n">
        <f aca="false">Summary!C14</f>
        <v>0</v>
      </c>
      <c r="D14" s="11" t="n">
        <f aca="false">Summary!F14</f>
        <v>0</v>
      </c>
      <c r="E14" s="20" t="str">
        <f aca="false">IF(B14=0,"",ROUND(C14/B14,2))</f>
        <v/>
      </c>
      <c r="F14" s="20" t="str">
        <f aca="false">IF(OR(C14=0,D14&lt;=0),"",ROUND(C14/D14,2))</f>
        <v/>
      </c>
      <c r="G14" s="11" t="n">
        <f aca="false">D14-B14</f>
        <v>0</v>
      </c>
      <c r="H14" s="3" t="str">
        <f aca="false">IF(B14=0,"",IF(G14&gt;=0,"Profitable","Loss after ads"))</f>
        <v/>
      </c>
    </row>
    <row r="15" customFormat="false" ht="15" hidden="false" customHeight="false" outlineLevel="0" collapsed="false">
      <c r="A15" s="3" t="str">
        <f aca="false">Summary!A15</f>
        <v>2027-07</v>
      </c>
      <c r="B15" s="10" t="n">
        <v>0</v>
      </c>
      <c r="C15" s="11" t="n">
        <f aca="false">Summary!C15</f>
        <v>0</v>
      </c>
      <c r="D15" s="11" t="n">
        <f aca="false">Summary!F15</f>
        <v>0</v>
      </c>
      <c r="E15" s="20" t="str">
        <f aca="false">IF(B15=0,"",ROUND(C15/B15,2))</f>
        <v/>
      </c>
      <c r="F15" s="20" t="str">
        <f aca="false">IF(OR(C15=0,D15&lt;=0),"",ROUND(C15/D15,2))</f>
        <v/>
      </c>
      <c r="G15" s="11" t="n">
        <f aca="false">D15-B15</f>
        <v>0</v>
      </c>
      <c r="H15" s="3" t="str">
        <f aca="false">IF(B15=0,"",IF(G15&gt;=0,"Profitable","Loss after ads"))</f>
        <v/>
      </c>
    </row>
    <row r="16" customFormat="false" ht="15" hidden="false" customHeight="false" outlineLevel="0" collapsed="false">
      <c r="A16" s="3" t="str">
        <f aca="false">Summary!A16</f>
        <v>2027-08</v>
      </c>
      <c r="B16" s="10" t="n">
        <v>0</v>
      </c>
      <c r="C16" s="11" t="n">
        <f aca="false">Summary!C16</f>
        <v>0</v>
      </c>
      <c r="D16" s="11" t="n">
        <f aca="false">Summary!F16</f>
        <v>0</v>
      </c>
      <c r="E16" s="20" t="str">
        <f aca="false">IF(B16=0,"",ROUND(C16/B16,2))</f>
        <v/>
      </c>
      <c r="F16" s="20" t="str">
        <f aca="false">IF(OR(C16=0,D16&lt;=0),"",ROUND(C16/D16,2))</f>
        <v/>
      </c>
      <c r="G16" s="11" t="n">
        <f aca="false">D16-B16</f>
        <v>0</v>
      </c>
      <c r="H16" s="3" t="str">
        <f aca="false">IF(B16=0,"",IF(G16&gt;=0,"Profitable","Loss after ads"))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2026-10-01T08:26:25Z</dcterms:created>
  <dc:creator>openpyxl</dc:creator>
  <dc:description/>
  <dc:language>en-US</dc:language>
  <cp:lastModifiedBy/>
  <dcterms:modified xsi:type="dcterms:W3CDTF">2026-10-01T08:26:25Z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