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comments4.xml" ContentType="application/vnd.openxmlformats-officedocument.spreadsheetml.comments+xml"/>
  <Override PartName="/xl/theme/theme1.xml" ContentType="application/vnd.openxmlformats-officedocument.theme+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Settings" sheetId="2" state="visible" r:id="rId4"/>
    <sheet name="Quote" sheetId="3" state="visible" r:id="rId5"/>
    <sheet name="Change Orders" sheetId="4" state="visible" r:id="rId6"/>
    <sheet name="Jobs"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Knackdesk</author>
  </authors>
  <commentList>
    <comment ref="B2" authorId="0">
      <text>
        <r>
          <rPr>
            <sz val="10"/>
            <rFont val="Arial"/>
            <family val="2"/>
          </rPr>
          <t xml:space="preserve">Defaults to the Quote sheet; overwrite with the signed contract figure.</t>
        </r>
      </text>
    </comment>
  </commentList>
</comments>
</file>

<file path=xl/sharedStrings.xml><?xml version="1.0" encoding="utf-8"?>
<sst xmlns="http://schemas.openxmlformats.org/spreadsheetml/2006/main" count="127" uniqueCount="108">
  <si>
    <t xml:space="preserve">Trade Job Quote &amp; Change Order Workbook</t>
  </si>
  <si>
    <t xml:space="preserve">by Knackdesk · knackdesk.com</t>
  </si>
  <si>
    <t xml:space="preserve">HOW TO USE</t>
  </si>
  <si>
    <t xml:space="preserve">1. Settings: your labour cost rate, overhead percentage, target profit margin, markups for change orders and subcontractors, and the deposit share.</t>
  </si>
  <si>
    <t xml:space="preserve">2. Quote: list materials (quantity × unit cost), labour tasks (hours at your cost rate) and subcontractors. Overhead and margin roll up into the quote price, profit, markup and deposit. Copy the sheet for each new quote.</t>
  </si>
  <si>
    <t xml:space="preserve">3. Change Orders: one row per change with materials, hours and subcontractor cost. Your markups give the change price; the revised contract total updates after every row.</t>
  </si>
  <si>
    <t xml:space="preserve">4. Jobs: one row per job with quoted price, change orders, actual materials, hours and subs, invoiced and paid. Cost, overhead, profit, margin and outstanding are calculated.</t>
  </si>
  <si>
    <t xml:space="preserve">5. Summary: totals and margins across jobs, outstanding balances and how many jobs fell below the target margin.</t>
  </si>
  <si>
    <t xml:space="preserve">LEGEND</t>
  </si>
  <si>
    <t xml:space="preserve">Blue text = a cell you type into.   Black text = a formula, leave it alone.   Yellow fill = key inputs.</t>
  </si>
  <si>
    <t xml:space="preserve">Blue cells that already contain a formula (rates and markups pulled from Settings) may be overwritten per line.</t>
  </si>
  <si>
    <t xml:space="preserve">DEFINITIONS</t>
  </si>
  <si>
    <t xml:space="preserve">Direct cost = materials + labour hours × cost rate + subcontractors. Overhead = direct cost × overhead %. Total cost = direct + overhead.</t>
  </si>
  <si>
    <t xml:space="preserve">Quote price = total cost ÷ (1 − margin %). Profit = price − total cost. Markup = profit ÷ total cost.</t>
  </si>
  <si>
    <t xml:space="preserve">Change price = (materials + hours × rate) × (1 + markup) + subs × (1 + sub markup). Revised total = original + all change orders.</t>
  </si>
  <si>
    <t xml:space="preserve">Fixed figures, before tax. Arithmetic only; not legal, contract or tax advice. Support: hello@knackdesk.com</t>
  </si>
  <si>
    <t xml:space="preserve">Settings</t>
  </si>
  <si>
    <t xml:space="preserve">Labour cost rate per hour</t>
  </si>
  <si>
    <t xml:space="preserve">What an hour costs you: wages, contributions, paid downtime. Not what you charge.</t>
  </si>
  <si>
    <t xml:space="preserve">Overhead (% of direct cost)</t>
  </si>
  <si>
    <t xml:space="preserve">A year of overhead ÷ a year of direct job cost.</t>
  </si>
  <si>
    <t xml:space="preserve">Target profit margin (% of price)</t>
  </si>
  <si>
    <t xml:space="preserve">Profit as a share of the quote price.</t>
  </si>
  <si>
    <t xml:space="preserve">Subcontractor markup (%)</t>
  </si>
  <si>
    <t xml:space="preserve">Applied to subcontractor cost on quotes and change orders.</t>
  </si>
  <si>
    <t xml:space="preserve">Change-order markup on own work (%)</t>
  </si>
  <si>
    <t xml:space="preserve">Markup on materials and labour in change orders; usually your standard markup.</t>
  </si>
  <si>
    <t xml:space="preserve">Deposit (% of quote)</t>
  </si>
  <si>
    <t xml:space="preserve">Shown on the quote as the deposit to request.</t>
  </si>
  <si>
    <t xml:space="preserve">Quote</t>
  </si>
  <si>
    <t xml:space="preserve">Client</t>
  </si>
  <si>
    <t xml:space="preserve">Example Homeowner</t>
  </si>
  <si>
    <t xml:space="preserve">Job</t>
  </si>
  <si>
    <t xml:space="preserve">Kitchen refit</t>
  </si>
  <si>
    <t xml:space="preserve">Material</t>
  </si>
  <si>
    <t xml:space="preserve">Quantity</t>
  </si>
  <si>
    <t xml:space="preserve">Unit cost</t>
  </si>
  <si>
    <t xml:space="preserve">Line cost</t>
  </si>
  <si>
    <t xml:space="preserve">Base units</t>
  </si>
  <si>
    <t xml:space="preserve">Worktop (m)</t>
  </si>
  <si>
    <t xml:space="preserve">Fixings and sundries</t>
  </si>
  <si>
    <t xml:space="preserve">Labour task</t>
  </si>
  <si>
    <t xml:space="preserve">Hours</t>
  </si>
  <si>
    <t xml:space="preserve">Cost rate</t>
  </si>
  <si>
    <t xml:space="preserve">Labour cost</t>
  </si>
  <si>
    <t xml:space="preserve">Strip out</t>
  </si>
  <si>
    <t xml:space="preserve">Fit units and worktop</t>
  </si>
  <si>
    <t xml:space="preserve">Finishing</t>
  </si>
  <si>
    <t xml:space="preserve">Subcontractor</t>
  </si>
  <si>
    <t xml:space="preserve">Cost</t>
  </si>
  <si>
    <t xml:space="preserve">Electrician</t>
  </si>
  <si>
    <t xml:space="preserve">Materials</t>
  </si>
  <si>
    <t xml:space="preserve">Labour</t>
  </si>
  <si>
    <t xml:space="preserve">Subcontractors (at cost)</t>
  </si>
  <si>
    <t xml:space="preserve">Direct cost</t>
  </si>
  <si>
    <t xml:space="preserve">Overhead</t>
  </si>
  <si>
    <t xml:space="preserve">Total cost</t>
  </si>
  <si>
    <t xml:space="preserve">QUOTE PRICE</t>
  </si>
  <si>
    <t xml:space="preserve">Profit</t>
  </si>
  <si>
    <t xml:space="preserve">Markup on total cost %</t>
  </si>
  <si>
    <t xml:space="preserve">Deposit to request</t>
  </si>
  <si>
    <t xml:space="preserve">Subcontractors are priced at cost here and covered by the margin; apply a separate sub markup on change orders.</t>
  </si>
  <si>
    <t xml:space="preserve">Change Orders</t>
  </si>
  <si>
    <t xml:space="preserve">Original contract price</t>
  </si>
  <si>
    <t xml:space="preserve">#</t>
  </si>
  <si>
    <t xml:space="preserve">Description</t>
  </si>
  <si>
    <t xml:space="preserve">Subcontractors</t>
  </si>
  <si>
    <t xml:space="preserve">Own cost</t>
  </si>
  <si>
    <t xml:space="preserve">Own markup</t>
  </si>
  <si>
    <t xml:space="preserve">Sub markup</t>
  </si>
  <si>
    <t xml:space="preserve">Change price</t>
  </si>
  <si>
    <t xml:space="preserve">Revised contract total</t>
  </si>
  <si>
    <t xml:space="preserve">% of original</t>
  </si>
  <si>
    <t xml:space="preserve">Extra double socket</t>
  </si>
  <si>
    <t xml:space="preserve">Upgrade worktop</t>
  </si>
  <si>
    <t xml:space="preserve">Totals</t>
  </si>
  <si>
    <t xml:space="preserve">All changes as % of original</t>
  </si>
  <si>
    <t xml:space="preserve">Jobs</t>
  </si>
  <si>
    <t xml:space="preserve">One row per job. Enter actual materials, hours and subcontractor cost as the job runs; profit and margin update.</t>
  </si>
  <si>
    <t xml:space="preserve">Status</t>
  </si>
  <si>
    <t xml:space="preserve">Quoted price</t>
  </si>
  <si>
    <t xml:space="preserve">Change orders</t>
  </si>
  <si>
    <t xml:space="preserve">Contract total</t>
  </si>
  <si>
    <t xml:space="preserve">Actual materials</t>
  </si>
  <si>
    <t xml:space="preserve">Actual hours</t>
  </si>
  <si>
    <t xml:space="preserve">Actual subs</t>
  </si>
  <si>
    <t xml:space="preserve">Margin %</t>
  </si>
  <si>
    <t xml:space="preserve">Invoiced</t>
  </si>
  <si>
    <t xml:space="preserve">Paid</t>
  </si>
  <si>
    <t xml:space="preserve">Outstanding</t>
  </si>
  <si>
    <t xml:space="preserve">active</t>
  </si>
  <si>
    <t xml:space="preserve">Bathroom tiling</t>
  </si>
  <si>
    <t xml:space="preserve">Sample Ltd</t>
  </si>
  <si>
    <t xml:space="preserve">done</t>
  </si>
  <si>
    <t xml:space="preserve">Garden wall</t>
  </si>
  <si>
    <t xml:space="preserve">Demo Client</t>
  </si>
  <si>
    <t xml:space="preserve">Summary</t>
  </si>
  <si>
    <t xml:space="preserve">Jobs tracked</t>
  </si>
  <si>
    <t xml:space="preserve">Contract value (quotes + change orders)</t>
  </si>
  <si>
    <t xml:space="preserve">Total cost including overhead</t>
  </si>
  <si>
    <t xml:space="preserve">Overall margin %</t>
  </si>
  <si>
    <t xml:space="preserve">profit ÷ contract value</t>
  </si>
  <si>
    <t xml:space="preserve">Target margin % (Settings)</t>
  </si>
  <si>
    <t xml:space="preserve">Jobs below the target margin</t>
  </si>
  <si>
    <t xml:space="preserve">Change orders as % of quoted prices</t>
  </si>
  <si>
    <t xml:space="preserve">Hours worked</t>
  </si>
  <si>
    <t xml:space="preserve">Average profit per hour</t>
  </si>
  <si>
    <t xml:space="preserve">profit ÷ hours</t>
  </si>
</sst>
</file>

<file path=xl/styles.xml><?xml version="1.0" encoding="utf-8"?>
<styleSheet xmlns="http://schemas.openxmlformats.org/spreadsheetml/2006/main">
  <numFmts count="6">
    <numFmt numFmtId="164" formatCode="General"/>
    <numFmt numFmtId="165" formatCode="#,##0.00;\(#,##0.00\);\-"/>
    <numFmt numFmtId="166" formatCode="0.00"/>
    <numFmt numFmtId="167" formatCode="0.00\%"/>
    <numFmt numFmtId="168" formatCode="0"/>
    <numFmt numFmtId="169"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666666"/>
      <name val="Arial"/>
      <family val="0"/>
      <charset val="1"/>
    </font>
    <font>
      <sz val="11"/>
      <name val="Arial"/>
      <family val="0"/>
      <charset val="1"/>
    </font>
    <font>
      <b val="true"/>
      <sz val="11"/>
      <name val="Arial"/>
      <family val="0"/>
      <charset val="1"/>
    </font>
    <font>
      <sz val="11"/>
      <color rgb="FF0000FF"/>
      <name val="Arial"/>
      <family val="0"/>
      <charset val="1"/>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E7E6E6"/>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row>
    <row r="11" customFormat="false" ht="15" hidden="false" customHeight="false" outlineLevel="0" collapsed="false">
      <c r="A11" s="4"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4" t="s">
        <v>11</v>
      </c>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t="s">
        <v>14</v>
      </c>
    </row>
    <row r="19" customFormat="false" ht="15" hidden="false" customHeight="false" outlineLevel="0" collapsed="false">
      <c r="A19"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3" min="3" style="0" width="64"/>
  </cols>
  <sheetData>
    <row r="1" customFormat="false" ht="17.35" hidden="false" customHeight="false" outlineLevel="0" collapsed="false">
      <c r="A1" s="1" t="s">
        <v>16</v>
      </c>
    </row>
    <row r="2" customFormat="false" ht="15" hidden="false" customHeight="false" outlineLevel="0" collapsed="false">
      <c r="A2" s="3" t="s">
        <v>17</v>
      </c>
      <c r="B2" s="5" t="n">
        <v>45</v>
      </c>
      <c r="C2" s="2" t="s">
        <v>18</v>
      </c>
    </row>
    <row r="3" customFormat="false" ht="15" hidden="false" customHeight="false" outlineLevel="0" collapsed="false">
      <c r="A3" s="3" t="s">
        <v>19</v>
      </c>
      <c r="B3" s="6" t="n">
        <v>15</v>
      </c>
      <c r="C3" s="2" t="s">
        <v>20</v>
      </c>
    </row>
    <row r="4" customFormat="false" ht="15" hidden="false" customHeight="false" outlineLevel="0" collapsed="false">
      <c r="A4" s="3" t="s">
        <v>21</v>
      </c>
      <c r="B4" s="6" t="n">
        <v>20</v>
      </c>
      <c r="C4" s="2" t="s">
        <v>22</v>
      </c>
    </row>
    <row r="5" customFormat="false" ht="15" hidden="false" customHeight="false" outlineLevel="0" collapsed="false">
      <c r="A5" s="3" t="s">
        <v>23</v>
      </c>
      <c r="B5" s="6" t="n">
        <v>10</v>
      </c>
      <c r="C5" s="2" t="s">
        <v>24</v>
      </c>
    </row>
    <row r="6" customFormat="false" ht="15" hidden="false" customHeight="false" outlineLevel="0" collapsed="false">
      <c r="A6" s="3" t="s">
        <v>25</v>
      </c>
      <c r="B6" s="6" t="n">
        <v>35</v>
      </c>
      <c r="C6" s="2" t="s">
        <v>26</v>
      </c>
    </row>
    <row r="7" customFormat="false" ht="15" hidden="false" customHeight="false" outlineLevel="0" collapsed="false">
      <c r="A7" s="3" t="s">
        <v>27</v>
      </c>
      <c r="B7" s="6" t="n">
        <v>30</v>
      </c>
      <c r="C7" s="2"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3" min="2" style="0" width="12"/>
    <col collapsed="false" customWidth="true" hidden="false" outlineLevel="0" max="4" min="4" style="0" width="14"/>
  </cols>
  <sheetData>
    <row r="1" customFormat="false" ht="17.35" hidden="false" customHeight="false" outlineLevel="0" collapsed="false">
      <c r="A1" s="1" t="s">
        <v>29</v>
      </c>
    </row>
    <row r="2" customFormat="false" ht="15" hidden="false" customHeight="false" outlineLevel="0" collapsed="false">
      <c r="A2" s="3" t="s">
        <v>30</v>
      </c>
      <c r="B2" s="7" t="s">
        <v>31</v>
      </c>
    </row>
    <row r="3" customFormat="false" ht="15" hidden="false" customHeight="false" outlineLevel="0" collapsed="false">
      <c r="A3" s="3" t="s">
        <v>32</v>
      </c>
      <c r="B3" s="7" t="s">
        <v>33</v>
      </c>
    </row>
    <row r="5" customFormat="false" ht="15" hidden="false" customHeight="false" outlineLevel="0" collapsed="false">
      <c r="A5" s="8" t="s">
        <v>34</v>
      </c>
      <c r="B5" s="8" t="s">
        <v>35</v>
      </c>
      <c r="C5" s="8" t="s">
        <v>36</v>
      </c>
      <c r="D5" s="8" t="s">
        <v>37</v>
      </c>
    </row>
    <row r="6" customFormat="false" ht="15" hidden="false" customHeight="false" outlineLevel="0" collapsed="false">
      <c r="A6" s="7" t="s">
        <v>38</v>
      </c>
      <c r="B6" s="6" t="n">
        <v>6</v>
      </c>
      <c r="C6" s="5" t="n">
        <v>95</v>
      </c>
      <c r="D6" s="9" t="n">
        <f aca="false">IF(A6="","",ROUND(B6*C6,2))</f>
        <v>570</v>
      </c>
    </row>
    <row r="7" customFormat="false" ht="15" hidden="false" customHeight="false" outlineLevel="0" collapsed="false">
      <c r="A7" s="10" t="s">
        <v>39</v>
      </c>
      <c r="B7" s="11" t="n">
        <v>4</v>
      </c>
      <c r="C7" s="12" t="n">
        <v>60</v>
      </c>
      <c r="D7" s="9" t="n">
        <f aca="false">IF(A7="","",ROUND(B7*C7,2))</f>
        <v>240</v>
      </c>
    </row>
    <row r="8" customFormat="false" ht="15" hidden="false" customHeight="false" outlineLevel="0" collapsed="false">
      <c r="A8" s="10" t="s">
        <v>40</v>
      </c>
      <c r="B8" s="11" t="n">
        <v>1</v>
      </c>
      <c r="C8" s="12" t="n">
        <v>120</v>
      </c>
      <c r="D8" s="9" t="n">
        <f aca="false">IF(A8="","",ROUND(B8*C8,2))</f>
        <v>120</v>
      </c>
    </row>
    <row r="9" customFormat="false" ht="15" hidden="false" customHeight="false" outlineLevel="0" collapsed="false">
      <c r="A9" s="10"/>
      <c r="B9" s="11"/>
      <c r="C9" s="12"/>
      <c r="D9" s="9" t="str">
        <f aca="false">IF(A9="","",ROUND(B9*C9,2))</f>
        <v/>
      </c>
    </row>
    <row r="10" customFormat="false" ht="15" hidden="false" customHeight="false" outlineLevel="0" collapsed="false">
      <c r="A10" s="10"/>
      <c r="B10" s="11"/>
      <c r="C10" s="12"/>
      <c r="D10" s="9" t="str">
        <f aca="false">IF(A10="","",ROUND(B10*C10,2))</f>
        <v/>
      </c>
    </row>
    <row r="11" customFormat="false" ht="15" hidden="false" customHeight="false" outlineLevel="0" collapsed="false">
      <c r="A11" s="10"/>
      <c r="B11" s="11"/>
      <c r="C11" s="12"/>
      <c r="D11" s="9" t="str">
        <f aca="false">IF(A11="","",ROUND(B11*C11,2))</f>
        <v/>
      </c>
    </row>
    <row r="12" customFormat="false" ht="15" hidden="false" customHeight="false" outlineLevel="0" collapsed="false">
      <c r="A12" s="10"/>
      <c r="B12" s="11"/>
      <c r="C12" s="12"/>
      <c r="D12" s="9" t="str">
        <f aca="false">IF(A12="","",ROUND(B12*C12,2))</f>
        <v/>
      </c>
    </row>
    <row r="13" customFormat="false" ht="15" hidden="false" customHeight="false" outlineLevel="0" collapsed="false">
      <c r="A13" s="10"/>
      <c r="B13" s="11"/>
      <c r="C13" s="12"/>
      <c r="D13" s="9" t="str">
        <f aca="false">IF(A13="","",ROUND(B13*C13,2))</f>
        <v/>
      </c>
    </row>
    <row r="14" customFormat="false" ht="15" hidden="false" customHeight="false" outlineLevel="0" collapsed="false">
      <c r="A14" s="10"/>
      <c r="B14" s="11"/>
      <c r="C14" s="12"/>
      <c r="D14" s="9" t="str">
        <f aca="false">IF(A14="","",ROUND(B14*C14,2))</f>
        <v/>
      </c>
    </row>
    <row r="15" customFormat="false" ht="15" hidden="false" customHeight="false" outlineLevel="0" collapsed="false">
      <c r="A15" s="10"/>
      <c r="B15" s="11"/>
      <c r="C15" s="12"/>
      <c r="D15" s="9" t="str">
        <f aca="false">IF(A15="","",ROUND(B15*C15,2))</f>
        <v/>
      </c>
    </row>
    <row r="16" customFormat="false" ht="15" hidden="false" customHeight="false" outlineLevel="0" collapsed="false">
      <c r="A16" s="10"/>
      <c r="B16" s="11"/>
      <c r="C16" s="12"/>
      <c r="D16" s="9" t="str">
        <f aca="false">IF(A16="","",ROUND(B16*C16,2))</f>
        <v/>
      </c>
    </row>
    <row r="17" customFormat="false" ht="15" hidden="false" customHeight="false" outlineLevel="0" collapsed="false">
      <c r="A17" s="10"/>
      <c r="B17" s="11"/>
      <c r="C17" s="12"/>
      <c r="D17" s="9" t="str">
        <f aca="false">IF(A17="","",ROUND(B17*C17,2))</f>
        <v/>
      </c>
    </row>
    <row r="18" customFormat="false" ht="15" hidden="false" customHeight="false" outlineLevel="0" collapsed="false">
      <c r="A18" s="10"/>
      <c r="B18" s="11"/>
      <c r="C18" s="12"/>
      <c r="D18" s="9" t="str">
        <f aca="false">IF(A18="","",ROUND(B18*C18,2))</f>
        <v/>
      </c>
    </row>
    <row r="19" customFormat="false" ht="15" hidden="false" customHeight="false" outlineLevel="0" collapsed="false">
      <c r="A19" s="10"/>
      <c r="B19" s="11"/>
      <c r="C19" s="12"/>
      <c r="D19" s="9" t="str">
        <f aca="false">IF(A19="","",ROUND(B19*C19,2))</f>
        <v/>
      </c>
    </row>
    <row r="20" customFormat="false" ht="15" hidden="false" customHeight="false" outlineLevel="0" collapsed="false">
      <c r="A20" s="10"/>
      <c r="B20" s="11"/>
      <c r="C20" s="12"/>
      <c r="D20" s="9" t="str">
        <f aca="false">IF(A20="","",ROUND(B20*C20,2))</f>
        <v/>
      </c>
    </row>
    <row r="22" customFormat="false" ht="15" hidden="false" customHeight="false" outlineLevel="0" collapsed="false">
      <c r="A22" s="8" t="s">
        <v>41</v>
      </c>
      <c r="B22" s="8" t="s">
        <v>42</v>
      </c>
      <c r="C22" s="8" t="s">
        <v>43</v>
      </c>
      <c r="D22" s="8" t="s">
        <v>44</v>
      </c>
    </row>
    <row r="23" customFormat="false" ht="15" hidden="false" customHeight="false" outlineLevel="0" collapsed="false">
      <c r="A23" s="7" t="s">
        <v>45</v>
      </c>
      <c r="B23" s="6" t="n">
        <v>4</v>
      </c>
      <c r="C23" s="12" t="n">
        <f aca="false">IF(A23="","",Settings!$B$2)</f>
        <v>45</v>
      </c>
      <c r="D23" s="9" t="n">
        <f aca="false">IF(A23="","",ROUND(B23*C23,2))</f>
        <v>180</v>
      </c>
    </row>
    <row r="24" customFormat="false" ht="15" hidden="false" customHeight="false" outlineLevel="0" collapsed="false">
      <c r="A24" s="10" t="s">
        <v>46</v>
      </c>
      <c r="B24" s="11" t="n">
        <v>10</v>
      </c>
      <c r="C24" s="12" t="n">
        <f aca="false">IF(A24="","",Settings!$B$2)</f>
        <v>45</v>
      </c>
      <c r="D24" s="9" t="n">
        <f aca="false">IF(A24="","",ROUND(B24*C24,2))</f>
        <v>450</v>
      </c>
    </row>
    <row r="25" customFormat="false" ht="15" hidden="false" customHeight="false" outlineLevel="0" collapsed="false">
      <c r="A25" s="10" t="s">
        <v>47</v>
      </c>
      <c r="B25" s="11" t="n">
        <v>2</v>
      </c>
      <c r="C25" s="12" t="n">
        <f aca="false">IF(A25="","",Settings!$B$2)</f>
        <v>45</v>
      </c>
      <c r="D25" s="9" t="n">
        <f aca="false">IF(A25="","",ROUND(B25*C25,2))</f>
        <v>90</v>
      </c>
    </row>
    <row r="26" customFormat="false" ht="15" hidden="false" customHeight="false" outlineLevel="0" collapsed="false">
      <c r="A26" s="10"/>
      <c r="B26" s="11"/>
      <c r="C26" s="12" t="str">
        <f aca="false">IF(A26="","",Settings!$B$2)</f>
        <v/>
      </c>
      <c r="D26" s="9" t="str">
        <f aca="false">IF(A26="","",ROUND(B26*C26,2))</f>
        <v/>
      </c>
    </row>
    <row r="27" customFormat="false" ht="15" hidden="false" customHeight="false" outlineLevel="0" collapsed="false">
      <c r="A27" s="10"/>
      <c r="B27" s="11"/>
      <c r="C27" s="12" t="str">
        <f aca="false">IF(A27="","",Settings!$B$2)</f>
        <v/>
      </c>
      <c r="D27" s="9" t="str">
        <f aca="false">IF(A27="","",ROUND(B27*C27,2))</f>
        <v/>
      </c>
    </row>
    <row r="28" customFormat="false" ht="15" hidden="false" customHeight="false" outlineLevel="0" collapsed="false">
      <c r="A28" s="10"/>
      <c r="B28" s="11"/>
      <c r="C28" s="12" t="str">
        <f aca="false">IF(A28="","",Settings!$B$2)</f>
        <v/>
      </c>
      <c r="D28" s="9" t="str">
        <f aca="false">IF(A28="","",ROUND(B28*C28,2))</f>
        <v/>
      </c>
    </row>
    <row r="29" customFormat="false" ht="15" hidden="false" customHeight="false" outlineLevel="0" collapsed="false">
      <c r="A29" s="10"/>
      <c r="B29" s="11"/>
      <c r="C29" s="12" t="str">
        <f aca="false">IF(A29="","",Settings!$B$2)</f>
        <v/>
      </c>
      <c r="D29" s="9" t="str">
        <f aca="false">IF(A29="","",ROUND(B29*C29,2))</f>
        <v/>
      </c>
    </row>
    <row r="30" customFormat="false" ht="15" hidden="false" customHeight="false" outlineLevel="0" collapsed="false">
      <c r="A30" s="10"/>
      <c r="B30" s="11"/>
      <c r="C30" s="12" t="str">
        <f aca="false">IF(A30="","",Settings!$B$2)</f>
        <v/>
      </c>
      <c r="D30" s="9" t="str">
        <f aca="false">IF(A30="","",ROUND(B30*C30,2))</f>
        <v/>
      </c>
    </row>
    <row r="31" customFormat="false" ht="15" hidden="false" customHeight="false" outlineLevel="0" collapsed="false">
      <c r="A31" s="10"/>
      <c r="B31" s="11"/>
      <c r="C31" s="12" t="str">
        <f aca="false">IF(A31="","",Settings!$B$2)</f>
        <v/>
      </c>
      <c r="D31" s="9" t="str">
        <f aca="false">IF(A31="","",ROUND(B31*C31,2))</f>
        <v/>
      </c>
    </row>
    <row r="32" customFormat="false" ht="15" hidden="false" customHeight="false" outlineLevel="0" collapsed="false">
      <c r="A32" s="10"/>
      <c r="B32" s="11"/>
      <c r="C32" s="12" t="str">
        <f aca="false">IF(A32="","",Settings!$B$2)</f>
        <v/>
      </c>
      <c r="D32" s="9" t="str">
        <f aca="false">IF(A32="","",ROUND(B32*C32,2))</f>
        <v/>
      </c>
    </row>
    <row r="34" customFormat="false" ht="15" hidden="false" customHeight="false" outlineLevel="0" collapsed="false">
      <c r="A34" s="8" t="s">
        <v>48</v>
      </c>
      <c r="B34" s="8" t="s">
        <v>49</v>
      </c>
    </row>
    <row r="35" customFormat="false" ht="15" hidden="false" customHeight="false" outlineLevel="0" collapsed="false">
      <c r="A35" s="7" t="s">
        <v>50</v>
      </c>
      <c r="B35" s="5" t="n">
        <v>300</v>
      </c>
    </row>
    <row r="36" customFormat="false" ht="15" hidden="false" customHeight="false" outlineLevel="0" collapsed="false">
      <c r="A36" s="10"/>
      <c r="B36" s="12"/>
    </row>
    <row r="37" customFormat="false" ht="15" hidden="false" customHeight="false" outlineLevel="0" collapsed="false">
      <c r="A37" s="10"/>
      <c r="B37" s="12"/>
    </row>
    <row r="38" customFormat="false" ht="15" hidden="false" customHeight="false" outlineLevel="0" collapsed="false">
      <c r="A38" s="10"/>
      <c r="B38" s="12"/>
    </row>
    <row r="39" customFormat="false" ht="15" hidden="false" customHeight="false" outlineLevel="0" collapsed="false">
      <c r="A39" s="10"/>
      <c r="B39" s="12"/>
    </row>
    <row r="40" customFormat="false" ht="15" hidden="false" customHeight="false" outlineLevel="0" collapsed="false">
      <c r="A40" s="10"/>
      <c r="B40" s="12"/>
    </row>
    <row r="43" customFormat="false" ht="15" hidden="false" customHeight="false" outlineLevel="0" collapsed="false">
      <c r="A43" s="3" t="s">
        <v>51</v>
      </c>
      <c r="B43" s="9" t="n">
        <f aca="false">SUM(D6:D20)</f>
        <v>930</v>
      </c>
    </row>
    <row r="44" customFormat="false" ht="15" hidden="false" customHeight="false" outlineLevel="0" collapsed="false">
      <c r="A44" s="3" t="s">
        <v>52</v>
      </c>
      <c r="B44" s="9" t="n">
        <f aca="false">SUM(D23:D32)</f>
        <v>720</v>
      </c>
    </row>
    <row r="45" customFormat="false" ht="15" hidden="false" customHeight="false" outlineLevel="0" collapsed="false">
      <c r="A45" s="3" t="s">
        <v>53</v>
      </c>
      <c r="B45" s="9" t="n">
        <f aca="false">SUM(B35:B40)</f>
        <v>300</v>
      </c>
    </row>
    <row r="46" customFormat="false" ht="15" hidden="false" customHeight="false" outlineLevel="0" collapsed="false">
      <c r="A46" s="3" t="s">
        <v>54</v>
      </c>
      <c r="B46" s="9" t="n">
        <f aca="false">B43+B44+B45</f>
        <v>1950</v>
      </c>
    </row>
    <row r="47" customFormat="false" ht="15" hidden="false" customHeight="false" outlineLevel="0" collapsed="false">
      <c r="A47" s="3" t="s">
        <v>55</v>
      </c>
      <c r="B47" s="9" t="n">
        <f aca="false">ROUND(B46*Settings!$B$3/100,2)</f>
        <v>292.5</v>
      </c>
    </row>
    <row r="48" customFormat="false" ht="15" hidden="false" customHeight="false" outlineLevel="0" collapsed="false">
      <c r="A48" s="4" t="s">
        <v>56</v>
      </c>
      <c r="B48" s="13" t="n">
        <f aca="false">B46+B47</f>
        <v>2242.5</v>
      </c>
    </row>
    <row r="49" customFormat="false" ht="15" hidden="false" customHeight="false" outlineLevel="0" collapsed="false">
      <c r="A49" s="4" t="s">
        <v>57</v>
      </c>
      <c r="B49" s="13" t="n">
        <f aca="false">ROUND(B48/(1-Settings!$B$4/100),2)</f>
        <v>2803.13</v>
      </c>
    </row>
    <row r="50" customFormat="false" ht="15" hidden="false" customHeight="false" outlineLevel="0" collapsed="false">
      <c r="A50" s="4" t="s">
        <v>58</v>
      </c>
      <c r="B50" s="13" t="n">
        <f aca="false">B49-B48</f>
        <v>560.63</v>
      </c>
    </row>
    <row r="51" customFormat="false" ht="15" hidden="false" customHeight="false" outlineLevel="0" collapsed="false">
      <c r="A51" s="3" t="s">
        <v>59</v>
      </c>
      <c r="B51" s="14" t="n">
        <f aca="false">IFERROR(ROUND(B50/B48*100,2),"")</f>
        <v>25</v>
      </c>
    </row>
    <row r="52" customFormat="false" ht="15" hidden="false" customHeight="false" outlineLevel="0" collapsed="false">
      <c r="A52" s="4" t="s">
        <v>60</v>
      </c>
      <c r="B52" s="13" t="n">
        <f aca="false">ROUND(B49*Settings!$B$7/100,2)</f>
        <v>840.94</v>
      </c>
    </row>
    <row r="53" customFormat="false" ht="15" hidden="false" customHeight="false" outlineLevel="0" collapsed="false">
      <c r="A53" s="2" t="s">
        <v>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12"/>
    <col collapsed="false" customWidth="true" hidden="false" outlineLevel="0" max="4" min="4" style="0" width="9"/>
    <col collapsed="false" customWidth="true" hidden="false" outlineLevel="0" max="5" min="5" style="0" width="11"/>
    <col collapsed="false" customWidth="true" hidden="false" outlineLevel="0" max="6" min="6" style="0" width="14"/>
    <col collapsed="false" customWidth="true" hidden="false" outlineLevel="0" max="8" min="7" style="0" width="12"/>
    <col collapsed="false" customWidth="true" hidden="false" outlineLevel="0" max="9" min="9" style="0" width="11"/>
    <col collapsed="false" customWidth="true" hidden="false" outlineLevel="0" max="10" min="10" style="0" width="13"/>
    <col collapsed="false" customWidth="true" hidden="false" outlineLevel="0" max="11" min="11" style="0" width="16"/>
    <col collapsed="false" customWidth="true" hidden="false" outlineLevel="0" max="12" min="12" style="0" width="11"/>
  </cols>
  <sheetData>
    <row r="1" customFormat="false" ht="17.35" hidden="false" customHeight="false" outlineLevel="0" collapsed="false">
      <c r="A1" s="1" t="s">
        <v>62</v>
      </c>
    </row>
    <row r="2" customFormat="false" ht="15" hidden="false" customHeight="false" outlineLevel="0" collapsed="false">
      <c r="A2" s="3" t="s">
        <v>63</v>
      </c>
      <c r="B2" s="5" t="n">
        <f aca="false">Quote!B49</f>
        <v>2803.13</v>
      </c>
    </row>
    <row r="4" customFormat="false" ht="26.85" hidden="false" customHeight="false" outlineLevel="0" collapsed="false">
      <c r="A4" s="8" t="s">
        <v>64</v>
      </c>
      <c r="B4" s="8" t="s">
        <v>65</v>
      </c>
      <c r="C4" s="8" t="s">
        <v>51</v>
      </c>
      <c r="D4" s="8" t="s">
        <v>42</v>
      </c>
      <c r="E4" s="8" t="s">
        <v>43</v>
      </c>
      <c r="F4" s="8" t="s">
        <v>66</v>
      </c>
      <c r="G4" s="8" t="s">
        <v>67</v>
      </c>
      <c r="H4" s="8" t="s">
        <v>68</v>
      </c>
      <c r="I4" s="8" t="s">
        <v>69</v>
      </c>
      <c r="J4" s="8" t="s">
        <v>70</v>
      </c>
      <c r="K4" s="8" t="s">
        <v>71</v>
      </c>
      <c r="L4" s="8" t="s">
        <v>72</v>
      </c>
    </row>
    <row r="5" customFormat="false" ht="15" hidden="false" customHeight="false" outlineLevel="0" collapsed="false">
      <c r="A5" s="15" t="n">
        <f aca="false">IF(B5="","",1)</f>
        <v>1</v>
      </c>
      <c r="B5" s="7" t="s">
        <v>73</v>
      </c>
      <c r="C5" s="12" t="n">
        <v>40</v>
      </c>
      <c r="D5" s="11" t="n">
        <v>1.5</v>
      </c>
      <c r="E5" s="12" t="n">
        <f aca="false">IF(B5="","",Settings!$B$2)</f>
        <v>45</v>
      </c>
      <c r="F5" s="12" t="n">
        <v>120</v>
      </c>
      <c r="G5" s="9" t="n">
        <f aca="false">IF(B5="","",ROUND(C5+D5*E5,2))</f>
        <v>107.5</v>
      </c>
      <c r="H5" s="9" t="n">
        <f aca="false">IF(B5="","",ROUND(G5*Settings!$B$6/100,2))</f>
        <v>37.63</v>
      </c>
      <c r="I5" s="9" t="n">
        <f aca="false">IF(B5="","",ROUND(F5*Settings!$B$5/100,2))</f>
        <v>12</v>
      </c>
      <c r="J5" s="9" t="n">
        <f aca="false">IF(B5="","",G5+H5+F5+I5)</f>
        <v>277.13</v>
      </c>
      <c r="K5" s="9" t="n">
        <f aca="false">IF(B5="","",$B$2+J5)</f>
        <v>3080.26</v>
      </c>
      <c r="L5" s="14" t="n">
        <f aca="false">IF(B5="","",IFERROR(ROUND(J5/$B$2*100,2),""))</f>
        <v>9.89</v>
      </c>
    </row>
    <row r="6" customFormat="false" ht="15" hidden="false" customHeight="false" outlineLevel="0" collapsed="false">
      <c r="A6" s="15" t="n">
        <f aca="false">IF(B6="","",2)</f>
        <v>2</v>
      </c>
      <c r="B6" s="10" t="s">
        <v>74</v>
      </c>
      <c r="C6" s="12" t="n">
        <v>260</v>
      </c>
      <c r="D6" s="11" t="n">
        <v>2</v>
      </c>
      <c r="E6" s="12" t="n">
        <f aca="false">IF(B6="","",Settings!$B$2)</f>
        <v>45</v>
      </c>
      <c r="F6" s="12" t="n">
        <v>0</v>
      </c>
      <c r="G6" s="9" t="n">
        <f aca="false">IF(B6="","",ROUND(C6+D6*E6,2))</f>
        <v>350</v>
      </c>
      <c r="H6" s="9" t="n">
        <f aca="false">IF(B6="","",ROUND(G6*Settings!$B$6/100,2))</f>
        <v>122.5</v>
      </c>
      <c r="I6" s="9" t="n">
        <f aca="false">IF(B6="","",ROUND(F6*Settings!$B$5/100,2))</f>
        <v>0</v>
      </c>
      <c r="J6" s="9" t="n">
        <f aca="false">IF(B6="","",G6+H6+F6+I6)</f>
        <v>472.5</v>
      </c>
      <c r="K6" s="9" t="n">
        <f aca="false">IF(B6="","",K5+J6)</f>
        <v>3552.76</v>
      </c>
      <c r="L6" s="14" t="n">
        <f aca="false">IF(B6="","",IFERROR(ROUND(J6/$B$2*100,2),""))</f>
        <v>16.86</v>
      </c>
    </row>
    <row r="7" customFormat="false" ht="15" hidden="false" customHeight="false" outlineLevel="0" collapsed="false">
      <c r="A7" s="15" t="str">
        <f aca="false">IF(B7="","",3)</f>
        <v/>
      </c>
      <c r="B7" s="10"/>
      <c r="C7" s="12"/>
      <c r="D7" s="11"/>
      <c r="E7" s="12" t="str">
        <f aca="false">IF(B7="","",Settings!$B$2)</f>
        <v/>
      </c>
      <c r="F7" s="12"/>
      <c r="G7" s="9" t="str">
        <f aca="false">IF(B7="","",ROUND(C7+D7*E7,2))</f>
        <v/>
      </c>
      <c r="H7" s="9" t="str">
        <f aca="false">IF(B7="","",ROUND(G7*Settings!$B$6/100,2))</f>
        <v/>
      </c>
      <c r="I7" s="9" t="str">
        <f aca="false">IF(B7="","",ROUND(F7*Settings!$B$5/100,2))</f>
        <v/>
      </c>
      <c r="J7" s="9" t="str">
        <f aca="false">IF(B7="","",G7+H7+F7+I7)</f>
        <v/>
      </c>
      <c r="K7" s="9" t="str">
        <f aca="false">IF(B7="","",K6+J7)</f>
        <v/>
      </c>
      <c r="L7" s="14" t="str">
        <f aca="false">IF(B7="","",IFERROR(ROUND(J7/$B$2*100,2),""))</f>
        <v/>
      </c>
    </row>
    <row r="8" customFormat="false" ht="15" hidden="false" customHeight="false" outlineLevel="0" collapsed="false">
      <c r="A8" s="15" t="str">
        <f aca="false">IF(B8="","",4)</f>
        <v/>
      </c>
      <c r="B8" s="10"/>
      <c r="C8" s="12"/>
      <c r="D8" s="11"/>
      <c r="E8" s="12" t="str">
        <f aca="false">IF(B8="","",Settings!$B$2)</f>
        <v/>
      </c>
      <c r="F8" s="12"/>
      <c r="G8" s="9" t="str">
        <f aca="false">IF(B8="","",ROUND(C8+D8*E8,2))</f>
        <v/>
      </c>
      <c r="H8" s="9" t="str">
        <f aca="false">IF(B8="","",ROUND(G8*Settings!$B$6/100,2))</f>
        <v/>
      </c>
      <c r="I8" s="9" t="str">
        <f aca="false">IF(B8="","",ROUND(F8*Settings!$B$5/100,2))</f>
        <v/>
      </c>
      <c r="J8" s="9" t="str">
        <f aca="false">IF(B8="","",G8+H8+F8+I8)</f>
        <v/>
      </c>
      <c r="K8" s="9" t="str">
        <f aca="false">IF(B8="","",K7+J8)</f>
        <v/>
      </c>
      <c r="L8" s="14" t="str">
        <f aca="false">IF(B8="","",IFERROR(ROUND(J8/$B$2*100,2),""))</f>
        <v/>
      </c>
    </row>
    <row r="9" customFormat="false" ht="15" hidden="false" customHeight="false" outlineLevel="0" collapsed="false">
      <c r="A9" s="15" t="str">
        <f aca="false">IF(B9="","",5)</f>
        <v/>
      </c>
      <c r="B9" s="10"/>
      <c r="C9" s="12"/>
      <c r="D9" s="11"/>
      <c r="E9" s="12" t="str">
        <f aca="false">IF(B9="","",Settings!$B$2)</f>
        <v/>
      </c>
      <c r="F9" s="12"/>
      <c r="G9" s="9" t="str">
        <f aca="false">IF(B9="","",ROUND(C9+D9*E9,2))</f>
        <v/>
      </c>
      <c r="H9" s="9" t="str">
        <f aca="false">IF(B9="","",ROUND(G9*Settings!$B$6/100,2))</f>
        <v/>
      </c>
      <c r="I9" s="9" t="str">
        <f aca="false">IF(B9="","",ROUND(F9*Settings!$B$5/100,2))</f>
        <v/>
      </c>
      <c r="J9" s="9" t="str">
        <f aca="false">IF(B9="","",G9+H9+F9+I9)</f>
        <v/>
      </c>
      <c r="K9" s="9" t="str">
        <f aca="false">IF(B9="","",K8+J9)</f>
        <v/>
      </c>
      <c r="L9" s="14" t="str">
        <f aca="false">IF(B9="","",IFERROR(ROUND(J9/$B$2*100,2),""))</f>
        <v/>
      </c>
    </row>
    <row r="10" customFormat="false" ht="15" hidden="false" customHeight="false" outlineLevel="0" collapsed="false">
      <c r="A10" s="15" t="str">
        <f aca="false">IF(B10="","",6)</f>
        <v/>
      </c>
      <c r="B10" s="10"/>
      <c r="C10" s="12"/>
      <c r="D10" s="11"/>
      <c r="E10" s="12" t="str">
        <f aca="false">IF(B10="","",Settings!$B$2)</f>
        <v/>
      </c>
      <c r="F10" s="12"/>
      <c r="G10" s="9" t="str">
        <f aca="false">IF(B10="","",ROUND(C10+D10*E10,2))</f>
        <v/>
      </c>
      <c r="H10" s="9" t="str">
        <f aca="false">IF(B10="","",ROUND(G10*Settings!$B$6/100,2))</f>
        <v/>
      </c>
      <c r="I10" s="9" t="str">
        <f aca="false">IF(B10="","",ROUND(F10*Settings!$B$5/100,2))</f>
        <v/>
      </c>
      <c r="J10" s="9" t="str">
        <f aca="false">IF(B10="","",G10+H10+F10+I10)</f>
        <v/>
      </c>
      <c r="K10" s="9" t="str">
        <f aca="false">IF(B10="","",K9+J10)</f>
        <v/>
      </c>
      <c r="L10" s="14" t="str">
        <f aca="false">IF(B10="","",IFERROR(ROUND(J10/$B$2*100,2),""))</f>
        <v/>
      </c>
    </row>
    <row r="11" customFormat="false" ht="15" hidden="false" customHeight="false" outlineLevel="0" collapsed="false">
      <c r="A11" s="15" t="str">
        <f aca="false">IF(B11="","",7)</f>
        <v/>
      </c>
      <c r="B11" s="10"/>
      <c r="C11" s="12"/>
      <c r="D11" s="11"/>
      <c r="E11" s="12" t="str">
        <f aca="false">IF(B11="","",Settings!$B$2)</f>
        <v/>
      </c>
      <c r="F11" s="12"/>
      <c r="G11" s="9" t="str">
        <f aca="false">IF(B11="","",ROUND(C11+D11*E11,2))</f>
        <v/>
      </c>
      <c r="H11" s="9" t="str">
        <f aca="false">IF(B11="","",ROUND(G11*Settings!$B$6/100,2))</f>
        <v/>
      </c>
      <c r="I11" s="9" t="str">
        <f aca="false">IF(B11="","",ROUND(F11*Settings!$B$5/100,2))</f>
        <v/>
      </c>
      <c r="J11" s="9" t="str">
        <f aca="false">IF(B11="","",G11+H11+F11+I11)</f>
        <v/>
      </c>
      <c r="K11" s="9" t="str">
        <f aca="false">IF(B11="","",K10+J11)</f>
        <v/>
      </c>
      <c r="L11" s="14" t="str">
        <f aca="false">IF(B11="","",IFERROR(ROUND(J11/$B$2*100,2),""))</f>
        <v/>
      </c>
    </row>
    <row r="12" customFormat="false" ht="15" hidden="false" customHeight="false" outlineLevel="0" collapsed="false">
      <c r="A12" s="15" t="str">
        <f aca="false">IF(B12="","",8)</f>
        <v/>
      </c>
      <c r="B12" s="10"/>
      <c r="C12" s="12"/>
      <c r="D12" s="11"/>
      <c r="E12" s="12" t="str">
        <f aca="false">IF(B12="","",Settings!$B$2)</f>
        <v/>
      </c>
      <c r="F12" s="12"/>
      <c r="G12" s="9" t="str">
        <f aca="false">IF(B12="","",ROUND(C12+D12*E12,2))</f>
        <v/>
      </c>
      <c r="H12" s="9" t="str">
        <f aca="false">IF(B12="","",ROUND(G12*Settings!$B$6/100,2))</f>
        <v/>
      </c>
      <c r="I12" s="9" t="str">
        <f aca="false">IF(B12="","",ROUND(F12*Settings!$B$5/100,2))</f>
        <v/>
      </c>
      <c r="J12" s="9" t="str">
        <f aca="false">IF(B12="","",G12+H12+F12+I12)</f>
        <v/>
      </c>
      <c r="K12" s="9" t="str">
        <f aca="false">IF(B12="","",K11+J12)</f>
        <v/>
      </c>
      <c r="L12" s="14" t="str">
        <f aca="false">IF(B12="","",IFERROR(ROUND(J12/$B$2*100,2),""))</f>
        <v/>
      </c>
    </row>
    <row r="13" customFormat="false" ht="15" hidden="false" customHeight="false" outlineLevel="0" collapsed="false">
      <c r="A13" s="15" t="str">
        <f aca="false">IF(B13="","",9)</f>
        <v/>
      </c>
      <c r="B13" s="10"/>
      <c r="C13" s="12"/>
      <c r="D13" s="11"/>
      <c r="E13" s="12" t="str">
        <f aca="false">IF(B13="","",Settings!$B$2)</f>
        <v/>
      </c>
      <c r="F13" s="12"/>
      <c r="G13" s="9" t="str">
        <f aca="false">IF(B13="","",ROUND(C13+D13*E13,2))</f>
        <v/>
      </c>
      <c r="H13" s="9" t="str">
        <f aca="false">IF(B13="","",ROUND(G13*Settings!$B$6/100,2))</f>
        <v/>
      </c>
      <c r="I13" s="9" t="str">
        <f aca="false">IF(B13="","",ROUND(F13*Settings!$B$5/100,2))</f>
        <v/>
      </c>
      <c r="J13" s="9" t="str">
        <f aca="false">IF(B13="","",G13+H13+F13+I13)</f>
        <v/>
      </c>
      <c r="K13" s="9" t="str">
        <f aca="false">IF(B13="","",K12+J13)</f>
        <v/>
      </c>
      <c r="L13" s="14" t="str">
        <f aca="false">IF(B13="","",IFERROR(ROUND(J13/$B$2*100,2),""))</f>
        <v/>
      </c>
    </row>
    <row r="14" customFormat="false" ht="15" hidden="false" customHeight="false" outlineLevel="0" collapsed="false">
      <c r="A14" s="15" t="str">
        <f aca="false">IF(B14="","",10)</f>
        <v/>
      </c>
      <c r="B14" s="10"/>
      <c r="C14" s="12"/>
      <c r="D14" s="11"/>
      <c r="E14" s="12" t="str">
        <f aca="false">IF(B14="","",Settings!$B$2)</f>
        <v/>
      </c>
      <c r="F14" s="12"/>
      <c r="G14" s="9" t="str">
        <f aca="false">IF(B14="","",ROUND(C14+D14*E14,2))</f>
        <v/>
      </c>
      <c r="H14" s="9" t="str">
        <f aca="false">IF(B14="","",ROUND(G14*Settings!$B$6/100,2))</f>
        <v/>
      </c>
      <c r="I14" s="9" t="str">
        <f aca="false">IF(B14="","",ROUND(F14*Settings!$B$5/100,2))</f>
        <v/>
      </c>
      <c r="J14" s="9" t="str">
        <f aca="false">IF(B14="","",G14+H14+F14+I14)</f>
        <v/>
      </c>
      <c r="K14" s="9" t="str">
        <f aca="false">IF(B14="","",K13+J14)</f>
        <v/>
      </c>
      <c r="L14" s="14" t="str">
        <f aca="false">IF(B14="","",IFERROR(ROUND(J14/$B$2*100,2),""))</f>
        <v/>
      </c>
    </row>
    <row r="15" customFormat="false" ht="15" hidden="false" customHeight="false" outlineLevel="0" collapsed="false">
      <c r="A15" s="15" t="str">
        <f aca="false">IF(B15="","",11)</f>
        <v/>
      </c>
      <c r="B15" s="10"/>
      <c r="C15" s="12"/>
      <c r="D15" s="11"/>
      <c r="E15" s="12" t="str">
        <f aca="false">IF(B15="","",Settings!$B$2)</f>
        <v/>
      </c>
      <c r="F15" s="12"/>
      <c r="G15" s="9" t="str">
        <f aca="false">IF(B15="","",ROUND(C15+D15*E15,2))</f>
        <v/>
      </c>
      <c r="H15" s="9" t="str">
        <f aca="false">IF(B15="","",ROUND(G15*Settings!$B$6/100,2))</f>
        <v/>
      </c>
      <c r="I15" s="9" t="str">
        <f aca="false">IF(B15="","",ROUND(F15*Settings!$B$5/100,2))</f>
        <v/>
      </c>
      <c r="J15" s="9" t="str">
        <f aca="false">IF(B15="","",G15+H15+F15+I15)</f>
        <v/>
      </c>
      <c r="K15" s="9" t="str">
        <f aca="false">IF(B15="","",K14+J15)</f>
        <v/>
      </c>
      <c r="L15" s="14" t="str">
        <f aca="false">IF(B15="","",IFERROR(ROUND(J15/$B$2*100,2),""))</f>
        <v/>
      </c>
    </row>
    <row r="16" customFormat="false" ht="15" hidden="false" customHeight="false" outlineLevel="0" collapsed="false">
      <c r="A16" s="15" t="str">
        <f aca="false">IF(B16="","",12)</f>
        <v/>
      </c>
      <c r="B16" s="10"/>
      <c r="C16" s="12"/>
      <c r="D16" s="11"/>
      <c r="E16" s="12" t="str">
        <f aca="false">IF(B16="","",Settings!$B$2)</f>
        <v/>
      </c>
      <c r="F16" s="12"/>
      <c r="G16" s="9" t="str">
        <f aca="false">IF(B16="","",ROUND(C16+D16*E16,2))</f>
        <v/>
      </c>
      <c r="H16" s="9" t="str">
        <f aca="false">IF(B16="","",ROUND(G16*Settings!$B$6/100,2))</f>
        <v/>
      </c>
      <c r="I16" s="9" t="str">
        <f aca="false">IF(B16="","",ROUND(F16*Settings!$B$5/100,2))</f>
        <v/>
      </c>
      <c r="J16" s="9" t="str">
        <f aca="false">IF(B16="","",G16+H16+F16+I16)</f>
        <v/>
      </c>
      <c r="K16" s="9" t="str">
        <f aca="false">IF(B16="","",K15+J16)</f>
        <v/>
      </c>
      <c r="L16" s="14" t="str">
        <f aca="false">IF(B16="","",IFERROR(ROUND(J16/$B$2*100,2),""))</f>
        <v/>
      </c>
    </row>
    <row r="17" customFormat="false" ht="15" hidden="false" customHeight="false" outlineLevel="0" collapsed="false">
      <c r="A17" s="15" t="str">
        <f aca="false">IF(B17="","",13)</f>
        <v/>
      </c>
      <c r="B17" s="10"/>
      <c r="C17" s="12"/>
      <c r="D17" s="11"/>
      <c r="E17" s="12" t="str">
        <f aca="false">IF(B17="","",Settings!$B$2)</f>
        <v/>
      </c>
      <c r="F17" s="12"/>
      <c r="G17" s="9" t="str">
        <f aca="false">IF(B17="","",ROUND(C17+D17*E17,2))</f>
        <v/>
      </c>
      <c r="H17" s="9" t="str">
        <f aca="false">IF(B17="","",ROUND(G17*Settings!$B$6/100,2))</f>
        <v/>
      </c>
      <c r="I17" s="9" t="str">
        <f aca="false">IF(B17="","",ROUND(F17*Settings!$B$5/100,2))</f>
        <v/>
      </c>
      <c r="J17" s="9" t="str">
        <f aca="false">IF(B17="","",G17+H17+F17+I17)</f>
        <v/>
      </c>
      <c r="K17" s="9" t="str">
        <f aca="false">IF(B17="","",K16+J17)</f>
        <v/>
      </c>
      <c r="L17" s="14" t="str">
        <f aca="false">IF(B17="","",IFERROR(ROUND(J17/$B$2*100,2),""))</f>
        <v/>
      </c>
    </row>
    <row r="18" customFormat="false" ht="15" hidden="false" customHeight="false" outlineLevel="0" collapsed="false">
      <c r="A18" s="15" t="str">
        <f aca="false">IF(B18="","",14)</f>
        <v/>
      </c>
      <c r="B18" s="10"/>
      <c r="C18" s="12"/>
      <c r="D18" s="11"/>
      <c r="E18" s="12" t="str">
        <f aca="false">IF(B18="","",Settings!$B$2)</f>
        <v/>
      </c>
      <c r="F18" s="12"/>
      <c r="G18" s="9" t="str">
        <f aca="false">IF(B18="","",ROUND(C18+D18*E18,2))</f>
        <v/>
      </c>
      <c r="H18" s="9" t="str">
        <f aca="false">IF(B18="","",ROUND(G18*Settings!$B$6/100,2))</f>
        <v/>
      </c>
      <c r="I18" s="9" t="str">
        <f aca="false">IF(B18="","",ROUND(F18*Settings!$B$5/100,2))</f>
        <v/>
      </c>
      <c r="J18" s="9" t="str">
        <f aca="false">IF(B18="","",G18+H18+F18+I18)</f>
        <v/>
      </c>
      <c r="K18" s="9" t="str">
        <f aca="false">IF(B18="","",K17+J18)</f>
        <v/>
      </c>
      <c r="L18" s="14" t="str">
        <f aca="false">IF(B18="","",IFERROR(ROUND(J18/$B$2*100,2),""))</f>
        <v/>
      </c>
    </row>
    <row r="19" customFormat="false" ht="15" hidden="false" customHeight="false" outlineLevel="0" collapsed="false">
      <c r="A19" s="15" t="str">
        <f aca="false">IF(B19="","",15)</f>
        <v/>
      </c>
      <c r="B19" s="10"/>
      <c r="C19" s="12"/>
      <c r="D19" s="11"/>
      <c r="E19" s="12" t="str">
        <f aca="false">IF(B19="","",Settings!$B$2)</f>
        <v/>
      </c>
      <c r="F19" s="12"/>
      <c r="G19" s="9" t="str">
        <f aca="false">IF(B19="","",ROUND(C19+D19*E19,2))</f>
        <v/>
      </c>
      <c r="H19" s="9" t="str">
        <f aca="false">IF(B19="","",ROUND(G19*Settings!$B$6/100,2))</f>
        <v/>
      </c>
      <c r="I19" s="9" t="str">
        <f aca="false">IF(B19="","",ROUND(F19*Settings!$B$5/100,2))</f>
        <v/>
      </c>
      <c r="J19" s="9" t="str">
        <f aca="false">IF(B19="","",G19+H19+F19+I19)</f>
        <v/>
      </c>
      <c r="K19" s="9" t="str">
        <f aca="false">IF(B19="","",K18+J19)</f>
        <v/>
      </c>
      <c r="L19" s="14" t="str">
        <f aca="false">IF(B19="","",IFERROR(ROUND(J19/$B$2*100,2),""))</f>
        <v/>
      </c>
    </row>
    <row r="20" customFormat="false" ht="15" hidden="false" customHeight="false" outlineLevel="0" collapsed="false">
      <c r="A20" s="15" t="str">
        <f aca="false">IF(B20="","",16)</f>
        <v/>
      </c>
      <c r="B20" s="10"/>
      <c r="C20" s="12"/>
      <c r="D20" s="11"/>
      <c r="E20" s="12" t="str">
        <f aca="false">IF(B20="","",Settings!$B$2)</f>
        <v/>
      </c>
      <c r="F20" s="12"/>
      <c r="G20" s="9" t="str">
        <f aca="false">IF(B20="","",ROUND(C20+D20*E20,2))</f>
        <v/>
      </c>
      <c r="H20" s="9" t="str">
        <f aca="false">IF(B20="","",ROUND(G20*Settings!$B$6/100,2))</f>
        <v/>
      </c>
      <c r="I20" s="9" t="str">
        <f aca="false">IF(B20="","",ROUND(F20*Settings!$B$5/100,2))</f>
        <v/>
      </c>
      <c r="J20" s="9" t="str">
        <f aca="false">IF(B20="","",G20+H20+F20+I20)</f>
        <v/>
      </c>
      <c r="K20" s="9" t="str">
        <f aca="false">IF(B20="","",K19+J20)</f>
        <v/>
      </c>
      <c r="L20" s="14" t="str">
        <f aca="false">IF(B20="","",IFERROR(ROUND(J20/$B$2*100,2),""))</f>
        <v/>
      </c>
    </row>
    <row r="21" customFormat="false" ht="15" hidden="false" customHeight="false" outlineLevel="0" collapsed="false">
      <c r="A21" s="15" t="str">
        <f aca="false">IF(B21="","",17)</f>
        <v/>
      </c>
      <c r="B21" s="10"/>
      <c r="C21" s="12"/>
      <c r="D21" s="11"/>
      <c r="E21" s="12" t="str">
        <f aca="false">IF(B21="","",Settings!$B$2)</f>
        <v/>
      </c>
      <c r="F21" s="12"/>
      <c r="G21" s="9" t="str">
        <f aca="false">IF(B21="","",ROUND(C21+D21*E21,2))</f>
        <v/>
      </c>
      <c r="H21" s="9" t="str">
        <f aca="false">IF(B21="","",ROUND(G21*Settings!$B$6/100,2))</f>
        <v/>
      </c>
      <c r="I21" s="9" t="str">
        <f aca="false">IF(B21="","",ROUND(F21*Settings!$B$5/100,2))</f>
        <v/>
      </c>
      <c r="J21" s="9" t="str">
        <f aca="false">IF(B21="","",G21+H21+F21+I21)</f>
        <v/>
      </c>
      <c r="K21" s="9" t="str">
        <f aca="false">IF(B21="","",K20+J21)</f>
        <v/>
      </c>
      <c r="L21" s="14" t="str">
        <f aca="false">IF(B21="","",IFERROR(ROUND(J21/$B$2*100,2),""))</f>
        <v/>
      </c>
    </row>
    <row r="22" customFormat="false" ht="15" hidden="false" customHeight="false" outlineLevel="0" collapsed="false">
      <c r="A22" s="15" t="str">
        <f aca="false">IF(B22="","",18)</f>
        <v/>
      </c>
      <c r="B22" s="10"/>
      <c r="C22" s="12"/>
      <c r="D22" s="11"/>
      <c r="E22" s="12" t="str">
        <f aca="false">IF(B22="","",Settings!$B$2)</f>
        <v/>
      </c>
      <c r="F22" s="12"/>
      <c r="G22" s="9" t="str">
        <f aca="false">IF(B22="","",ROUND(C22+D22*E22,2))</f>
        <v/>
      </c>
      <c r="H22" s="9" t="str">
        <f aca="false">IF(B22="","",ROUND(G22*Settings!$B$6/100,2))</f>
        <v/>
      </c>
      <c r="I22" s="9" t="str">
        <f aca="false">IF(B22="","",ROUND(F22*Settings!$B$5/100,2))</f>
        <v/>
      </c>
      <c r="J22" s="9" t="str">
        <f aca="false">IF(B22="","",G22+H22+F22+I22)</f>
        <v/>
      </c>
      <c r="K22" s="9" t="str">
        <f aca="false">IF(B22="","",K21+J22)</f>
        <v/>
      </c>
      <c r="L22" s="14" t="str">
        <f aca="false">IF(B22="","",IFERROR(ROUND(J22/$B$2*100,2),""))</f>
        <v/>
      </c>
    </row>
    <row r="23" customFormat="false" ht="15" hidden="false" customHeight="false" outlineLevel="0" collapsed="false">
      <c r="A23" s="15" t="str">
        <f aca="false">IF(B23="","",19)</f>
        <v/>
      </c>
      <c r="B23" s="10"/>
      <c r="C23" s="12"/>
      <c r="D23" s="11"/>
      <c r="E23" s="12" t="str">
        <f aca="false">IF(B23="","",Settings!$B$2)</f>
        <v/>
      </c>
      <c r="F23" s="12"/>
      <c r="G23" s="9" t="str">
        <f aca="false">IF(B23="","",ROUND(C23+D23*E23,2))</f>
        <v/>
      </c>
      <c r="H23" s="9" t="str">
        <f aca="false">IF(B23="","",ROUND(G23*Settings!$B$6/100,2))</f>
        <v/>
      </c>
      <c r="I23" s="9" t="str">
        <f aca="false">IF(B23="","",ROUND(F23*Settings!$B$5/100,2))</f>
        <v/>
      </c>
      <c r="J23" s="9" t="str">
        <f aca="false">IF(B23="","",G23+H23+F23+I23)</f>
        <v/>
      </c>
      <c r="K23" s="9" t="str">
        <f aca="false">IF(B23="","",K22+J23)</f>
        <v/>
      </c>
      <c r="L23" s="14" t="str">
        <f aca="false">IF(B23="","",IFERROR(ROUND(J23/$B$2*100,2),""))</f>
        <v/>
      </c>
    </row>
    <row r="24" customFormat="false" ht="15" hidden="false" customHeight="false" outlineLevel="0" collapsed="false">
      <c r="A24" s="15" t="str">
        <f aca="false">IF(B24="","",20)</f>
        <v/>
      </c>
      <c r="B24" s="10"/>
      <c r="C24" s="12"/>
      <c r="D24" s="11"/>
      <c r="E24" s="12" t="str">
        <f aca="false">IF(B24="","",Settings!$B$2)</f>
        <v/>
      </c>
      <c r="F24" s="12"/>
      <c r="G24" s="9" t="str">
        <f aca="false">IF(B24="","",ROUND(C24+D24*E24,2))</f>
        <v/>
      </c>
      <c r="H24" s="9" t="str">
        <f aca="false">IF(B24="","",ROUND(G24*Settings!$B$6/100,2))</f>
        <v/>
      </c>
      <c r="I24" s="9" t="str">
        <f aca="false">IF(B24="","",ROUND(F24*Settings!$B$5/100,2))</f>
        <v/>
      </c>
      <c r="J24" s="9" t="str">
        <f aca="false">IF(B24="","",G24+H24+F24+I24)</f>
        <v/>
      </c>
      <c r="K24" s="9" t="str">
        <f aca="false">IF(B24="","",K23+J24)</f>
        <v/>
      </c>
      <c r="L24" s="14" t="str">
        <f aca="false">IF(B24="","",IFERROR(ROUND(J24/$B$2*100,2),""))</f>
        <v/>
      </c>
    </row>
    <row r="25" customFormat="false" ht="15" hidden="false" customHeight="false" outlineLevel="0" collapsed="false">
      <c r="A25" s="4" t="s">
        <v>75</v>
      </c>
      <c r="J25" s="13" t="n">
        <f aca="false">SUM(J5:J24)</f>
        <v>749.63</v>
      </c>
    </row>
    <row r="26" customFormat="false" ht="15" hidden="false" customHeight="false" outlineLevel="0" collapsed="false">
      <c r="A26" s="4" t="s">
        <v>71</v>
      </c>
      <c r="J26" s="13" t="n">
        <f aca="false">$B$2+J25</f>
        <v>3552.76</v>
      </c>
    </row>
    <row r="27" customFormat="false" ht="15" hidden="false" customHeight="false" outlineLevel="0" collapsed="false">
      <c r="A27" s="4" t="s">
        <v>76</v>
      </c>
      <c r="J27" s="16" t="n">
        <f aca="false">IFERROR(ROUND(J25/$B$2*100,2),"")</f>
        <v>26.74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1"/>
    <col collapsed="false" customWidth="true" hidden="false" outlineLevel="0" max="9" min="9" style="0" width="10"/>
    <col collapsed="false" customWidth="true" hidden="false" outlineLevel="0" max="11" min="10" style="0" width="12"/>
    <col collapsed="false" customWidth="true" hidden="false" outlineLevel="0" max="12" min="12" style="0" width="11"/>
    <col collapsed="false" customWidth="true" hidden="false" outlineLevel="0" max="14" min="13" style="0" width="12"/>
    <col collapsed="false" customWidth="true" hidden="false" outlineLevel="0" max="15" min="15" style="0" width="10"/>
    <col collapsed="false" customWidth="true" hidden="false" outlineLevel="0" max="18" min="16" style="0" width="12"/>
  </cols>
  <sheetData>
    <row r="1" customFormat="false" ht="17.35" hidden="false" customHeight="false" outlineLevel="0" collapsed="false">
      <c r="A1" s="1" t="s">
        <v>77</v>
      </c>
    </row>
    <row r="2" customFormat="false" ht="15" hidden="false" customHeight="false" outlineLevel="0" collapsed="false">
      <c r="A2" s="2" t="s">
        <v>78</v>
      </c>
    </row>
    <row r="4" customFormat="false" ht="26.85" hidden="false" customHeight="false" outlineLevel="0" collapsed="false">
      <c r="A4" s="8" t="s">
        <v>32</v>
      </c>
      <c r="B4" s="8" t="s">
        <v>30</v>
      </c>
      <c r="C4" s="8" t="s">
        <v>79</v>
      </c>
      <c r="D4" s="8" t="s">
        <v>80</v>
      </c>
      <c r="E4" s="8" t="s">
        <v>81</v>
      </c>
      <c r="F4" s="8" t="s">
        <v>82</v>
      </c>
      <c r="G4" s="8" t="s">
        <v>83</v>
      </c>
      <c r="H4" s="8" t="s">
        <v>84</v>
      </c>
      <c r="I4" s="8" t="s">
        <v>43</v>
      </c>
      <c r="J4" s="8" t="s">
        <v>85</v>
      </c>
      <c r="K4" s="8" t="s">
        <v>54</v>
      </c>
      <c r="L4" s="8" t="s">
        <v>55</v>
      </c>
      <c r="M4" s="8" t="s">
        <v>56</v>
      </c>
      <c r="N4" s="8" t="s">
        <v>58</v>
      </c>
      <c r="O4" s="8" t="s">
        <v>86</v>
      </c>
      <c r="P4" s="8" t="s">
        <v>87</v>
      </c>
      <c r="Q4" s="8" t="s">
        <v>88</v>
      </c>
      <c r="R4" s="8" t="s">
        <v>89</v>
      </c>
    </row>
    <row r="5" customFormat="false" ht="15" hidden="false" customHeight="false" outlineLevel="0" collapsed="false">
      <c r="A5" s="7" t="s">
        <v>33</v>
      </c>
      <c r="B5" s="10" t="s">
        <v>31</v>
      </c>
      <c r="C5" s="10" t="s">
        <v>90</v>
      </c>
      <c r="D5" s="5" t="n">
        <v>3000</v>
      </c>
      <c r="E5" s="12" t="n">
        <v>450</v>
      </c>
      <c r="F5" s="9" t="n">
        <f aca="false">IF(A5="","",D5+E5)</f>
        <v>3450</v>
      </c>
      <c r="G5" s="5" t="n">
        <v>980</v>
      </c>
      <c r="H5" s="17" t="n">
        <v>18</v>
      </c>
      <c r="I5" s="12" t="n">
        <f aca="false">IF(A5="","",Settings!$B$2)</f>
        <v>45</v>
      </c>
      <c r="J5" s="12" t="n">
        <v>300</v>
      </c>
      <c r="K5" s="9" t="n">
        <f aca="false">IF(A5="","",ROUND(G5+H5*I5+J5,2))</f>
        <v>2090</v>
      </c>
      <c r="L5" s="9" t="n">
        <f aca="false">IF(A5="","",ROUND(K5*Settings!$B$3/100,2))</f>
        <v>313.5</v>
      </c>
      <c r="M5" s="9" t="n">
        <f aca="false">IF(A5="","",K5+L5)</f>
        <v>2403.5</v>
      </c>
      <c r="N5" s="9" t="n">
        <f aca="false">IF(A5="","",F5-M5)</f>
        <v>1046.5</v>
      </c>
      <c r="O5" s="14" t="n">
        <f aca="false">IF(A5="","",IFERROR(ROUND(N5/F5*100,2),""))</f>
        <v>30.33</v>
      </c>
      <c r="P5" s="12" t="n">
        <v>3450</v>
      </c>
      <c r="Q5" s="12" t="n">
        <v>1035</v>
      </c>
      <c r="R5" s="9" t="n">
        <f aca="false">IF(A5="","",P5-Q5)</f>
        <v>2415</v>
      </c>
    </row>
    <row r="6" customFormat="false" ht="15" hidden="false" customHeight="false" outlineLevel="0" collapsed="false">
      <c r="A6" s="10" t="s">
        <v>91</v>
      </c>
      <c r="B6" s="10" t="s">
        <v>92</v>
      </c>
      <c r="C6" s="10" t="s">
        <v>93</v>
      </c>
      <c r="D6" s="12" t="n">
        <v>1800</v>
      </c>
      <c r="E6" s="12" t="n">
        <v>0</v>
      </c>
      <c r="F6" s="9" t="n">
        <f aca="false">IF(A6="","",D6+E6)</f>
        <v>1800</v>
      </c>
      <c r="G6" s="12" t="n">
        <v>520</v>
      </c>
      <c r="H6" s="17" t="n">
        <v>14</v>
      </c>
      <c r="I6" s="12" t="n">
        <f aca="false">IF(A6="","",Settings!$B$2)</f>
        <v>45</v>
      </c>
      <c r="J6" s="12" t="n">
        <v>0</v>
      </c>
      <c r="K6" s="9" t="n">
        <f aca="false">IF(A6="","",ROUND(G6+H6*I6+J6,2))</f>
        <v>1150</v>
      </c>
      <c r="L6" s="9" t="n">
        <f aca="false">IF(A6="","",ROUND(K6*Settings!$B$3/100,2))</f>
        <v>172.5</v>
      </c>
      <c r="M6" s="9" t="n">
        <f aca="false">IF(A6="","",K6+L6)</f>
        <v>1322.5</v>
      </c>
      <c r="N6" s="9" t="n">
        <f aca="false">IF(A6="","",F6-M6)</f>
        <v>477.5</v>
      </c>
      <c r="O6" s="14" t="n">
        <f aca="false">IF(A6="","",IFERROR(ROUND(N6/F6*100,2),""))</f>
        <v>26.53</v>
      </c>
      <c r="P6" s="12" t="n">
        <v>1800</v>
      </c>
      <c r="Q6" s="12" t="n">
        <v>1800</v>
      </c>
      <c r="R6" s="9" t="n">
        <f aca="false">IF(A6="","",P6-Q6)</f>
        <v>0</v>
      </c>
    </row>
    <row r="7" customFormat="false" ht="15" hidden="false" customHeight="false" outlineLevel="0" collapsed="false">
      <c r="A7" s="10" t="s">
        <v>94</v>
      </c>
      <c r="B7" s="10" t="s">
        <v>95</v>
      </c>
      <c r="C7" s="10" t="s">
        <v>93</v>
      </c>
      <c r="D7" s="12" t="n">
        <v>2400</v>
      </c>
      <c r="E7" s="12" t="n">
        <v>200</v>
      </c>
      <c r="F7" s="9" t="n">
        <f aca="false">IF(A7="","",D7+E7)</f>
        <v>2600</v>
      </c>
      <c r="G7" s="12" t="n">
        <v>900</v>
      </c>
      <c r="H7" s="17" t="n">
        <v>20</v>
      </c>
      <c r="I7" s="12" t="n">
        <f aca="false">IF(A7="","",Settings!$B$2)</f>
        <v>45</v>
      </c>
      <c r="J7" s="12" t="n">
        <v>250</v>
      </c>
      <c r="K7" s="9" t="n">
        <f aca="false">IF(A7="","",ROUND(G7+H7*I7+J7,2))</f>
        <v>2050</v>
      </c>
      <c r="L7" s="9" t="n">
        <f aca="false">IF(A7="","",ROUND(K7*Settings!$B$3/100,2))</f>
        <v>307.5</v>
      </c>
      <c r="M7" s="9" t="n">
        <f aca="false">IF(A7="","",K7+L7)</f>
        <v>2357.5</v>
      </c>
      <c r="N7" s="9" t="n">
        <f aca="false">IF(A7="","",F7-M7)</f>
        <v>242.5</v>
      </c>
      <c r="O7" s="14" t="n">
        <f aca="false">IF(A7="","",IFERROR(ROUND(N7/F7*100,2),""))</f>
        <v>9.33</v>
      </c>
      <c r="P7" s="12" t="n">
        <v>2600</v>
      </c>
      <c r="Q7" s="12" t="n">
        <v>2600</v>
      </c>
      <c r="R7" s="9" t="n">
        <f aca="false">IF(A7="","",P7-Q7)</f>
        <v>0</v>
      </c>
    </row>
    <row r="8" customFormat="false" ht="15" hidden="false" customHeight="false" outlineLevel="0" collapsed="false">
      <c r="A8" s="10"/>
      <c r="B8" s="10"/>
      <c r="C8" s="10"/>
      <c r="D8" s="12"/>
      <c r="E8" s="12"/>
      <c r="F8" s="9" t="str">
        <f aca="false">IF(A8="","",D8+E8)</f>
        <v/>
      </c>
      <c r="G8" s="12"/>
      <c r="H8" s="17"/>
      <c r="I8" s="12" t="str">
        <f aca="false">IF(A8="","",Settings!$B$2)</f>
        <v/>
      </c>
      <c r="J8" s="12"/>
      <c r="K8" s="9" t="str">
        <f aca="false">IF(A8="","",ROUND(G8+H8*I8+J8,2))</f>
        <v/>
      </c>
      <c r="L8" s="9" t="str">
        <f aca="false">IF(A8="","",ROUND(K8*Settings!$B$3/100,2))</f>
        <v/>
      </c>
      <c r="M8" s="9" t="str">
        <f aca="false">IF(A8="","",K8+L8)</f>
        <v/>
      </c>
      <c r="N8" s="9" t="str">
        <f aca="false">IF(A8="","",F8-M8)</f>
        <v/>
      </c>
      <c r="O8" s="14" t="str">
        <f aca="false">IF(A8="","",IFERROR(ROUND(N8/F8*100,2),""))</f>
        <v/>
      </c>
      <c r="P8" s="12"/>
      <c r="Q8" s="12"/>
      <c r="R8" s="9" t="str">
        <f aca="false">IF(A8="","",P8-Q8)</f>
        <v/>
      </c>
    </row>
    <row r="9" customFormat="false" ht="15" hidden="false" customHeight="false" outlineLevel="0" collapsed="false">
      <c r="A9" s="10"/>
      <c r="B9" s="10"/>
      <c r="C9" s="10"/>
      <c r="D9" s="12"/>
      <c r="E9" s="12"/>
      <c r="F9" s="9" t="str">
        <f aca="false">IF(A9="","",D9+E9)</f>
        <v/>
      </c>
      <c r="G9" s="12"/>
      <c r="H9" s="17"/>
      <c r="I9" s="12" t="str">
        <f aca="false">IF(A9="","",Settings!$B$2)</f>
        <v/>
      </c>
      <c r="J9" s="12"/>
      <c r="K9" s="9" t="str">
        <f aca="false">IF(A9="","",ROUND(G9+H9*I9+J9,2))</f>
        <v/>
      </c>
      <c r="L9" s="9" t="str">
        <f aca="false">IF(A9="","",ROUND(K9*Settings!$B$3/100,2))</f>
        <v/>
      </c>
      <c r="M9" s="9" t="str">
        <f aca="false">IF(A9="","",K9+L9)</f>
        <v/>
      </c>
      <c r="N9" s="9" t="str">
        <f aca="false">IF(A9="","",F9-M9)</f>
        <v/>
      </c>
      <c r="O9" s="14" t="str">
        <f aca="false">IF(A9="","",IFERROR(ROUND(N9/F9*100,2),""))</f>
        <v/>
      </c>
      <c r="P9" s="12"/>
      <c r="Q9" s="12"/>
      <c r="R9" s="9" t="str">
        <f aca="false">IF(A9="","",P9-Q9)</f>
        <v/>
      </c>
    </row>
    <row r="10" customFormat="false" ht="15" hidden="false" customHeight="false" outlineLevel="0" collapsed="false">
      <c r="A10" s="10"/>
      <c r="B10" s="10"/>
      <c r="C10" s="10"/>
      <c r="D10" s="12"/>
      <c r="E10" s="12"/>
      <c r="F10" s="9" t="str">
        <f aca="false">IF(A10="","",D10+E10)</f>
        <v/>
      </c>
      <c r="G10" s="12"/>
      <c r="H10" s="17"/>
      <c r="I10" s="12" t="str">
        <f aca="false">IF(A10="","",Settings!$B$2)</f>
        <v/>
      </c>
      <c r="J10" s="12"/>
      <c r="K10" s="9" t="str">
        <f aca="false">IF(A10="","",ROUND(G10+H10*I10+J10,2))</f>
        <v/>
      </c>
      <c r="L10" s="9" t="str">
        <f aca="false">IF(A10="","",ROUND(K10*Settings!$B$3/100,2))</f>
        <v/>
      </c>
      <c r="M10" s="9" t="str">
        <f aca="false">IF(A10="","",K10+L10)</f>
        <v/>
      </c>
      <c r="N10" s="9" t="str">
        <f aca="false">IF(A10="","",F10-M10)</f>
        <v/>
      </c>
      <c r="O10" s="14" t="str">
        <f aca="false">IF(A10="","",IFERROR(ROUND(N10/F10*100,2),""))</f>
        <v/>
      </c>
      <c r="P10" s="12"/>
      <c r="Q10" s="12"/>
      <c r="R10" s="9" t="str">
        <f aca="false">IF(A10="","",P10-Q10)</f>
        <v/>
      </c>
    </row>
    <row r="11" customFormat="false" ht="15" hidden="false" customHeight="false" outlineLevel="0" collapsed="false">
      <c r="A11" s="10"/>
      <c r="B11" s="10"/>
      <c r="C11" s="10"/>
      <c r="D11" s="12"/>
      <c r="E11" s="12"/>
      <c r="F11" s="9" t="str">
        <f aca="false">IF(A11="","",D11+E11)</f>
        <v/>
      </c>
      <c r="G11" s="12"/>
      <c r="H11" s="17"/>
      <c r="I11" s="12" t="str">
        <f aca="false">IF(A11="","",Settings!$B$2)</f>
        <v/>
      </c>
      <c r="J11" s="12"/>
      <c r="K11" s="9" t="str">
        <f aca="false">IF(A11="","",ROUND(G11+H11*I11+J11,2))</f>
        <v/>
      </c>
      <c r="L11" s="9" t="str">
        <f aca="false">IF(A11="","",ROUND(K11*Settings!$B$3/100,2))</f>
        <v/>
      </c>
      <c r="M11" s="9" t="str">
        <f aca="false">IF(A11="","",K11+L11)</f>
        <v/>
      </c>
      <c r="N11" s="9" t="str">
        <f aca="false">IF(A11="","",F11-M11)</f>
        <v/>
      </c>
      <c r="O11" s="14" t="str">
        <f aca="false">IF(A11="","",IFERROR(ROUND(N11/F11*100,2),""))</f>
        <v/>
      </c>
      <c r="P11" s="12"/>
      <c r="Q11" s="12"/>
      <c r="R11" s="9" t="str">
        <f aca="false">IF(A11="","",P11-Q11)</f>
        <v/>
      </c>
    </row>
    <row r="12" customFormat="false" ht="15" hidden="false" customHeight="false" outlineLevel="0" collapsed="false">
      <c r="A12" s="10"/>
      <c r="B12" s="10"/>
      <c r="C12" s="10"/>
      <c r="D12" s="12"/>
      <c r="E12" s="12"/>
      <c r="F12" s="9" t="str">
        <f aca="false">IF(A12="","",D12+E12)</f>
        <v/>
      </c>
      <c r="G12" s="12"/>
      <c r="H12" s="17"/>
      <c r="I12" s="12" t="str">
        <f aca="false">IF(A12="","",Settings!$B$2)</f>
        <v/>
      </c>
      <c r="J12" s="12"/>
      <c r="K12" s="9" t="str">
        <f aca="false">IF(A12="","",ROUND(G12+H12*I12+J12,2))</f>
        <v/>
      </c>
      <c r="L12" s="9" t="str">
        <f aca="false">IF(A12="","",ROUND(K12*Settings!$B$3/100,2))</f>
        <v/>
      </c>
      <c r="M12" s="9" t="str">
        <f aca="false">IF(A12="","",K12+L12)</f>
        <v/>
      </c>
      <c r="N12" s="9" t="str">
        <f aca="false">IF(A12="","",F12-M12)</f>
        <v/>
      </c>
      <c r="O12" s="14" t="str">
        <f aca="false">IF(A12="","",IFERROR(ROUND(N12/F12*100,2),""))</f>
        <v/>
      </c>
      <c r="P12" s="12"/>
      <c r="Q12" s="12"/>
      <c r="R12" s="9" t="str">
        <f aca="false">IF(A12="","",P12-Q12)</f>
        <v/>
      </c>
    </row>
    <row r="13" customFormat="false" ht="15" hidden="false" customHeight="false" outlineLevel="0" collapsed="false">
      <c r="A13" s="10"/>
      <c r="B13" s="10"/>
      <c r="C13" s="10"/>
      <c r="D13" s="12"/>
      <c r="E13" s="12"/>
      <c r="F13" s="9" t="str">
        <f aca="false">IF(A13="","",D13+E13)</f>
        <v/>
      </c>
      <c r="G13" s="12"/>
      <c r="H13" s="17"/>
      <c r="I13" s="12" t="str">
        <f aca="false">IF(A13="","",Settings!$B$2)</f>
        <v/>
      </c>
      <c r="J13" s="12"/>
      <c r="K13" s="9" t="str">
        <f aca="false">IF(A13="","",ROUND(G13+H13*I13+J13,2))</f>
        <v/>
      </c>
      <c r="L13" s="9" t="str">
        <f aca="false">IF(A13="","",ROUND(K13*Settings!$B$3/100,2))</f>
        <v/>
      </c>
      <c r="M13" s="9" t="str">
        <f aca="false">IF(A13="","",K13+L13)</f>
        <v/>
      </c>
      <c r="N13" s="9" t="str">
        <f aca="false">IF(A13="","",F13-M13)</f>
        <v/>
      </c>
      <c r="O13" s="14" t="str">
        <f aca="false">IF(A13="","",IFERROR(ROUND(N13/F13*100,2),""))</f>
        <v/>
      </c>
      <c r="P13" s="12"/>
      <c r="Q13" s="12"/>
      <c r="R13" s="9" t="str">
        <f aca="false">IF(A13="","",P13-Q13)</f>
        <v/>
      </c>
    </row>
    <row r="14" customFormat="false" ht="15" hidden="false" customHeight="false" outlineLevel="0" collapsed="false">
      <c r="A14" s="10"/>
      <c r="B14" s="10"/>
      <c r="C14" s="10"/>
      <c r="D14" s="12"/>
      <c r="E14" s="12"/>
      <c r="F14" s="9" t="str">
        <f aca="false">IF(A14="","",D14+E14)</f>
        <v/>
      </c>
      <c r="G14" s="12"/>
      <c r="H14" s="17"/>
      <c r="I14" s="12" t="str">
        <f aca="false">IF(A14="","",Settings!$B$2)</f>
        <v/>
      </c>
      <c r="J14" s="12"/>
      <c r="K14" s="9" t="str">
        <f aca="false">IF(A14="","",ROUND(G14+H14*I14+J14,2))</f>
        <v/>
      </c>
      <c r="L14" s="9" t="str">
        <f aca="false">IF(A14="","",ROUND(K14*Settings!$B$3/100,2))</f>
        <v/>
      </c>
      <c r="M14" s="9" t="str">
        <f aca="false">IF(A14="","",K14+L14)</f>
        <v/>
      </c>
      <c r="N14" s="9" t="str">
        <f aca="false">IF(A14="","",F14-M14)</f>
        <v/>
      </c>
      <c r="O14" s="14" t="str">
        <f aca="false">IF(A14="","",IFERROR(ROUND(N14/F14*100,2),""))</f>
        <v/>
      </c>
      <c r="P14" s="12"/>
      <c r="Q14" s="12"/>
      <c r="R14" s="9" t="str">
        <f aca="false">IF(A14="","",P14-Q14)</f>
        <v/>
      </c>
    </row>
    <row r="15" customFormat="false" ht="15" hidden="false" customHeight="false" outlineLevel="0" collapsed="false">
      <c r="A15" s="10"/>
      <c r="B15" s="10"/>
      <c r="C15" s="10"/>
      <c r="D15" s="12"/>
      <c r="E15" s="12"/>
      <c r="F15" s="9" t="str">
        <f aca="false">IF(A15="","",D15+E15)</f>
        <v/>
      </c>
      <c r="G15" s="12"/>
      <c r="H15" s="17"/>
      <c r="I15" s="12" t="str">
        <f aca="false">IF(A15="","",Settings!$B$2)</f>
        <v/>
      </c>
      <c r="J15" s="12"/>
      <c r="K15" s="9" t="str">
        <f aca="false">IF(A15="","",ROUND(G15+H15*I15+J15,2))</f>
        <v/>
      </c>
      <c r="L15" s="9" t="str">
        <f aca="false">IF(A15="","",ROUND(K15*Settings!$B$3/100,2))</f>
        <v/>
      </c>
      <c r="M15" s="9" t="str">
        <f aca="false">IF(A15="","",K15+L15)</f>
        <v/>
      </c>
      <c r="N15" s="9" t="str">
        <f aca="false">IF(A15="","",F15-M15)</f>
        <v/>
      </c>
      <c r="O15" s="14" t="str">
        <f aca="false">IF(A15="","",IFERROR(ROUND(N15/F15*100,2),""))</f>
        <v/>
      </c>
      <c r="P15" s="12"/>
      <c r="Q15" s="12"/>
      <c r="R15" s="9" t="str">
        <f aca="false">IF(A15="","",P15-Q15)</f>
        <v/>
      </c>
    </row>
    <row r="16" customFormat="false" ht="15" hidden="false" customHeight="false" outlineLevel="0" collapsed="false">
      <c r="A16" s="10"/>
      <c r="B16" s="10"/>
      <c r="C16" s="10"/>
      <c r="D16" s="12"/>
      <c r="E16" s="12"/>
      <c r="F16" s="9" t="str">
        <f aca="false">IF(A16="","",D16+E16)</f>
        <v/>
      </c>
      <c r="G16" s="12"/>
      <c r="H16" s="17"/>
      <c r="I16" s="12" t="str">
        <f aca="false">IF(A16="","",Settings!$B$2)</f>
        <v/>
      </c>
      <c r="J16" s="12"/>
      <c r="K16" s="9" t="str">
        <f aca="false">IF(A16="","",ROUND(G16+H16*I16+J16,2))</f>
        <v/>
      </c>
      <c r="L16" s="9" t="str">
        <f aca="false">IF(A16="","",ROUND(K16*Settings!$B$3/100,2))</f>
        <v/>
      </c>
      <c r="M16" s="9" t="str">
        <f aca="false">IF(A16="","",K16+L16)</f>
        <v/>
      </c>
      <c r="N16" s="9" t="str">
        <f aca="false">IF(A16="","",F16-M16)</f>
        <v/>
      </c>
      <c r="O16" s="14" t="str">
        <f aca="false">IF(A16="","",IFERROR(ROUND(N16/F16*100,2),""))</f>
        <v/>
      </c>
      <c r="P16" s="12"/>
      <c r="Q16" s="12"/>
      <c r="R16" s="9" t="str">
        <f aca="false">IF(A16="","",P16-Q16)</f>
        <v/>
      </c>
    </row>
    <row r="17" customFormat="false" ht="15" hidden="false" customHeight="false" outlineLevel="0" collapsed="false">
      <c r="A17" s="10"/>
      <c r="B17" s="10"/>
      <c r="C17" s="10"/>
      <c r="D17" s="12"/>
      <c r="E17" s="12"/>
      <c r="F17" s="9" t="str">
        <f aca="false">IF(A17="","",D17+E17)</f>
        <v/>
      </c>
      <c r="G17" s="12"/>
      <c r="H17" s="17"/>
      <c r="I17" s="12" t="str">
        <f aca="false">IF(A17="","",Settings!$B$2)</f>
        <v/>
      </c>
      <c r="J17" s="12"/>
      <c r="K17" s="9" t="str">
        <f aca="false">IF(A17="","",ROUND(G17+H17*I17+J17,2))</f>
        <v/>
      </c>
      <c r="L17" s="9" t="str">
        <f aca="false">IF(A17="","",ROUND(K17*Settings!$B$3/100,2))</f>
        <v/>
      </c>
      <c r="M17" s="9" t="str">
        <f aca="false">IF(A17="","",K17+L17)</f>
        <v/>
      </c>
      <c r="N17" s="9" t="str">
        <f aca="false">IF(A17="","",F17-M17)</f>
        <v/>
      </c>
      <c r="O17" s="14" t="str">
        <f aca="false">IF(A17="","",IFERROR(ROUND(N17/F17*100,2),""))</f>
        <v/>
      </c>
      <c r="P17" s="12"/>
      <c r="Q17" s="12"/>
      <c r="R17" s="9" t="str">
        <f aca="false">IF(A17="","",P17-Q17)</f>
        <v/>
      </c>
    </row>
    <row r="18" customFormat="false" ht="15" hidden="false" customHeight="false" outlineLevel="0" collapsed="false">
      <c r="A18" s="10"/>
      <c r="B18" s="10"/>
      <c r="C18" s="10"/>
      <c r="D18" s="12"/>
      <c r="E18" s="12"/>
      <c r="F18" s="9" t="str">
        <f aca="false">IF(A18="","",D18+E18)</f>
        <v/>
      </c>
      <c r="G18" s="12"/>
      <c r="H18" s="17"/>
      <c r="I18" s="12" t="str">
        <f aca="false">IF(A18="","",Settings!$B$2)</f>
        <v/>
      </c>
      <c r="J18" s="12"/>
      <c r="K18" s="9" t="str">
        <f aca="false">IF(A18="","",ROUND(G18+H18*I18+J18,2))</f>
        <v/>
      </c>
      <c r="L18" s="9" t="str">
        <f aca="false">IF(A18="","",ROUND(K18*Settings!$B$3/100,2))</f>
        <v/>
      </c>
      <c r="M18" s="9" t="str">
        <f aca="false">IF(A18="","",K18+L18)</f>
        <v/>
      </c>
      <c r="N18" s="9" t="str">
        <f aca="false">IF(A18="","",F18-M18)</f>
        <v/>
      </c>
      <c r="O18" s="14" t="str">
        <f aca="false">IF(A18="","",IFERROR(ROUND(N18/F18*100,2),""))</f>
        <v/>
      </c>
      <c r="P18" s="12"/>
      <c r="Q18" s="12"/>
      <c r="R18" s="9" t="str">
        <f aca="false">IF(A18="","",P18-Q18)</f>
        <v/>
      </c>
    </row>
    <row r="19" customFormat="false" ht="15" hidden="false" customHeight="false" outlineLevel="0" collapsed="false">
      <c r="A19" s="10"/>
      <c r="B19" s="10"/>
      <c r="C19" s="10"/>
      <c r="D19" s="12"/>
      <c r="E19" s="12"/>
      <c r="F19" s="9" t="str">
        <f aca="false">IF(A19="","",D19+E19)</f>
        <v/>
      </c>
      <c r="G19" s="12"/>
      <c r="H19" s="17"/>
      <c r="I19" s="12" t="str">
        <f aca="false">IF(A19="","",Settings!$B$2)</f>
        <v/>
      </c>
      <c r="J19" s="12"/>
      <c r="K19" s="9" t="str">
        <f aca="false">IF(A19="","",ROUND(G19+H19*I19+J19,2))</f>
        <v/>
      </c>
      <c r="L19" s="9" t="str">
        <f aca="false">IF(A19="","",ROUND(K19*Settings!$B$3/100,2))</f>
        <v/>
      </c>
      <c r="M19" s="9" t="str">
        <f aca="false">IF(A19="","",K19+L19)</f>
        <v/>
      </c>
      <c r="N19" s="9" t="str">
        <f aca="false">IF(A19="","",F19-M19)</f>
        <v/>
      </c>
      <c r="O19" s="14" t="str">
        <f aca="false">IF(A19="","",IFERROR(ROUND(N19/F19*100,2),""))</f>
        <v/>
      </c>
      <c r="P19" s="12"/>
      <c r="Q19" s="12"/>
      <c r="R19" s="9" t="str">
        <f aca="false">IF(A19="","",P19-Q19)</f>
        <v/>
      </c>
    </row>
    <row r="20" customFormat="false" ht="15" hidden="false" customHeight="false" outlineLevel="0" collapsed="false">
      <c r="A20" s="10"/>
      <c r="B20" s="10"/>
      <c r="C20" s="10"/>
      <c r="D20" s="12"/>
      <c r="E20" s="12"/>
      <c r="F20" s="9" t="str">
        <f aca="false">IF(A20="","",D20+E20)</f>
        <v/>
      </c>
      <c r="G20" s="12"/>
      <c r="H20" s="17"/>
      <c r="I20" s="12" t="str">
        <f aca="false">IF(A20="","",Settings!$B$2)</f>
        <v/>
      </c>
      <c r="J20" s="12"/>
      <c r="K20" s="9" t="str">
        <f aca="false">IF(A20="","",ROUND(G20+H20*I20+J20,2))</f>
        <v/>
      </c>
      <c r="L20" s="9" t="str">
        <f aca="false">IF(A20="","",ROUND(K20*Settings!$B$3/100,2))</f>
        <v/>
      </c>
      <c r="M20" s="9" t="str">
        <f aca="false">IF(A20="","",K20+L20)</f>
        <v/>
      </c>
      <c r="N20" s="9" t="str">
        <f aca="false">IF(A20="","",F20-M20)</f>
        <v/>
      </c>
      <c r="O20" s="14" t="str">
        <f aca="false">IF(A20="","",IFERROR(ROUND(N20/F20*100,2),""))</f>
        <v/>
      </c>
      <c r="P20" s="12"/>
      <c r="Q20" s="12"/>
      <c r="R20" s="9" t="str">
        <f aca="false">IF(A20="","",P20-Q20)</f>
        <v/>
      </c>
    </row>
    <row r="21" customFormat="false" ht="15" hidden="false" customHeight="false" outlineLevel="0" collapsed="false">
      <c r="A21" s="10"/>
      <c r="B21" s="10"/>
      <c r="C21" s="10"/>
      <c r="D21" s="12"/>
      <c r="E21" s="12"/>
      <c r="F21" s="9" t="str">
        <f aca="false">IF(A21="","",D21+E21)</f>
        <v/>
      </c>
      <c r="G21" s="12"/>
      <c r="H21" s="17"/>
      <c r="I21" s="12" t="str">
        <f aca="false">IF(A21="","",Settings!$B$2)</f>
        <v/>
      </c>
      <c r="J21" s="12"/>
      <c r="K21" s="9" t="str">
        <f aca="false">IF(A21="","",ROUND(G21+H21*I21+J21,2))</f>
        <v/>
      </c>
      <c r="L21" s="9" t="str">
        <f aca="false">IF(A21="","",ROUND(K21*Settings!$B$3/100,2))</f>
        <v/>
      </c>
      <c r="M21" s="9" t="str">
        <f aca="false">IF(A21="","",K21+L21)</f>
        <v/>
      </c>
      <c r="N21" s="9" t="str">
        <f aca="false">IF(A21="","",F21-M21)</f>
        <v/>
      </c>
      <c r="O21" s="14" t="str">
        <f aca="false">IF(A21="","",IFERROR(ROUND(N21/F21*100,2),""))</f>
        <v/>
      </c>
      <c r="P21" s="12"/>
      <c r="Q21" s="12"/>
      <c r="R21" s="9" t="str">
        <f aca="false">IF(A21="","",P21-Q21)</f>
        <v/>
      </c>
    </row>
    <row r="22" customFormat="false" ht="15" hidden="false" customHeight="false" outlineLevel="0" collapsed="false">
      <c r="A22" s="10"/>
      <c r="B22" s="10"/>
      <c r="C22" s="10"/>
      <c r="D22" s="12"/>
      <c r="E22" s="12"/>
      <c r="F22" s="9" t="str">
        <f aca="false">IF(A22="","",D22+E22)</f>
        <v/>
      </c>
      <c r="G22" s="12"/>
      <c r="H22" s="17"/>
      <c r="I22" s="12" t="str">
        <f aca="false">IF(A22="","",Settings!$B$2)</f>
        <v/>
      </c>
      <c r="J22" s="12"/>
      <c r="K22" s="9" t="str">
        <f aca="false">IF(A22="","",ROUND(G22+H22*I22+J22,2))</f>
        <v/>
      </c>
      <c r="L22" s="9" t="str">
        <f aca="false">IF(A22="","",ROUND(K22*Settings!$B$3/100,2))</f>
        <v/>
      </c>
      <c r="M22" s="9" t="str">
        <f aca="false">IF(A22="","",K22+L22)</f>
        <v/>
      </c>
      <c r="N22" s="9" t="str">
        <f aca="false">IF(A22="","",F22-M22)</f>
        <v/>
      </c>
      <c r="O22" s="14" t="str">
        <f aca="false">IF(A22="","",IFERROR(ROUND(N22/F22*100,2),""))</f>
        <v/>
      </c>
      <c r="P22" s="12"/>
      <c r="Q22" s="12"/>
      <c r="R22" s="9" t="str">
        <f aca="false">IF(A22="","",P22-Q22)</f>
        <v/>
      </c>
    </row>
    <row r="23" customFormat="false" ht="15" hidden="false" customHeight="false" outlineLevel="0" collapsed="false">
      <c r="A23" s="10"/>
      <c r="B23" s="10"/>
      <c r="C23" s="10"/>
      <c r="D23" s="12"/>
      <c r="E23" s="12"/>
      <c r="F23" s="9" t="str">
        <f aca="false">IF(A23="","",D23+E23)</f>
        <v/>
      </c>
      <c r="G23" s="12"/>
      <c r="H23" s="17"/>
      <c r="I23" s="12" t="str">
        <f aca="false">IF(A23="","",Settings!$B$2)</f>
        <v/>
      </c>
      <c r="J23" s="12"/>
      <c r="K23" s="9" t="str">
        <f aca="false">IF(A23="","",ROUND(G23+H23*I23+J23,2))</f>
        <v/>
      </c>
      <c r="L23" s="9" t="str">
        <f aca="false">IF(A23="","",ROUND(K23*Settings!$B$3/100,2))</f>
        <v/>
      </c>
      <c r="M23" s="9" t="str">
        <f aca="false">IF(A23="","",K23+L23)</f>
        <v/>
      </c>
      <c r="N23" s="9" t="str">
        <f aca="false">IF(A23="","",F23-M23)</f>
        <v/>
      </c>
      <c r="O23" s="14" t="str">
        <f aca="false">IF(A23="","",IFERROR(ROUND(N23/F23*100,2),""))</f>
        <v/>
      </c>
      <c r="P23" s="12"/>
      <c r="Q23" s="12"/>
      <c r="R23" s="9" t="str">
        <f aca="false">IF(A23="","",P23-Q23)</f>
        <v/>
      </c>
    </row>
    <row r="24" customFormat="false" ht="15" hidden="false" customHeight="false" outlineLevel="0" collapsed="false">
      <c r="A24" s="10"/>
      <c r="B24" s="10"/>
      <c r="C24" s="10"/>
      <c r="D24" s="12"/>
      <c r="E24" s="12"/>
      <c r="F24" s="9" t="str">
        <f aca="false">IF(A24="","",D24+E24)</f>
        <v/>
      </c>
      <c r="G24" s="12"/>
      <c r="H24" s="17"/>
      <c r="I24" s="12" t="str">
        <f aca="false">IF(A24="","",Settings!$B$2)</f>
        <v/>
      </c>
      <c r="J24" s="12"/>
      <c r="K24" s="9" t="str">
        <f aca="false">IF(A24="","",ROUND(G24+H24*I24+J24,2))</f>
        <v/>
      </c>
      <c r="L24" s="9" t="str">
        <f aca="false">IF(A24="","",ROUND(K24*Settings!$B$3/100,2))</f>
        <v/>
      </c>
      <c r="M24" s="9" t="str">
        <f aca="false">IF(A24="","",K24+L24)</f>
        <v/>
      </c>
      <c r="N24" s="9" t="str">
        <f aca="false">IF(A24="","",F24-M24)</f>
        <v/>
      </c>
      <c r="O24" s="14" t="str">
        <f aca="false">IF(A24="","",IFERROR(ROUND(N24/F24*100,2),""))</f>
        <v/>
      </c>
      <c r="P24" s="12"/>
      <c r="Q24" s="12"/>
      <c r="R24" s="9" t="str">
        <f aca="false">IF(A24="","",P24-Q24)</f>
        <v/>
      </c>
    </row>
    <row r="25" customFormat="false" ht="15" hidden="false" customHeight="false" outlineLevel="0" collapsed="false">
      <c r="A25" s="10"/>
      <c r="B25" s="10"/>
      <c r="C25" s="10"/>
      <c r="D25" s="12"/>
      <c r="E25" s="12"/>
      <c r="F25" s="9" t="str">
        <f aca="false">IF(A25="","",D25+E25)</f>
        <v/>
      </c>
      <c r="G25" s="12"/>
      <c r="H25" s="17"/>
      <c r="I25" s="12" t="str">
        <f aca="false">IF(A25="","",Settings!$B$2)</f>
        <v/>
      </c>
      <c r="J25" s="12"/>
      <c r="K25" s="9" t="str">
        <f aca="false">IF(A25="","",ROUND(G25+H25*I25+J25,2))</f>
        <v/>
      </c>
      <c r="L25" s="9" t="str">
        <f aca="false">IF(A25="","",ROUND(K25*Settings!$B$3/100,2))</f>
        <v/>
      </c>
      <c r="M25" s="9" t="str">
        <f aca="false">IF(A25="","",K25+L25)</f>
        <v/>
      </c>
      <c r="N25" s="9" t="str">
        <f aca="false">IF(A25="","",F25-M25)</f>
        <v/>
      </c>
      <c r="O25" s="14" t="str">
        <f aca="false">IF(A25="","",IFERROR(ROUND(N25/F25*100,2),""))</f>
        <v/>
      </c>
      <c r="P25" s="12"/>
      <c r="Q25" s="12"/>
      <c r="R25" s="9" t="str">
        <f aca="false">IF(A25="","",P25-Q25)</f>
        <v/>
      </c>
    </row>
    <row r="26" customFormat="false" ht="15" hidden="false" customHeight="false" outlineLevel="0" collapsed="false">
      <c r="A26" s="10"/>
      <c r="B26" s="10"/>
      <c r="C26" s="10"/>
      <c r="D26" s="12"/>
      <c r="E26" s="12"/>
      <c r="F26" s="9" t="str">
        <f aca="false">IF(A26="","",D26+E26)</f>
        <v/>
      </c>
      <c r="G26" s="12"/>
      <c r="H26" s="17"/>
      <c r="I26" s="12" t="str">
        <f aca="false">IF(A26="","",Settings!$B$2)</f>
        <v/>
      </c>
      <c r="J26" s="12"/>
      <c r="K26" s="9" t="str">
        <f aca="false">IF(A26="","",ROUND(G26+H26*I26+J26,2))</f>
        <v/>
      </c>
      <c r="L26" s="9" t="str">
        <f aca="false">IF(A26="","",ROUND(K26*Settings!$B$3/100,2))</f>
        <v/>
      </c>
      <c r="M26" s="9" t="str">
        <f aca="false">IF(A26="","",K26+L26)</f>
        <v/>
      </c>
      <c r="N26" s="9" t="str">
        <f aca="false">IF(A26="","",F26-M26)</f>
        <v/>
      </c>
      <c r="O26" s="14" t="str">
        <f aca="false">IF(A26="","",IFERROR(ROUND(N26/F26*100,2),""))</f>
        <v/>
      </c>
      <c r="P26" s="12"/>
      <c r="Q26" s="12"/>
      <c r="R26" s="9" t="str">
        <f aca="false">IF(A26="","",P26-Q26)</f>
        <v/>
      </c>
    </row>
    <row r="27" customFormat="false" ht="15" hidden="false" customHeight="false" outlineLevel="0" collapsed="false">
      <c r="A27" s="10"/>
      <c r="B27" s="10"/>
      <c r="C27" s="10"/>
      <c r="D27" s="12"/>
      <c r="E27" s="12"/>
      <c r="F27" s="9" t="str">
        <f aca="false">IF(A27="","",D27+E27)</f>
        <v/>
      </c>
      <c r="G27" s="12"/>
      <c r="H27" s="17"/>
      <c r="I27" s="12" t="str">
        <f aca="false">IF(A27="","",Settings!$B$2)</f>
        <v/>
      </c>
      <c r="J27" s="12"/>
      <c r="K27" s="9" t="str">
        <f aca="false">IF(A27="","",ROUND(G27+H27*I27+J27,2))</f>
        <v/>
      </c>
      <c r="L27" s="9" t="str">
        <f aca="false">IF(A27="","",ROUND(K27*Settings!$B$3/100,2))</f>
        <v/>
      </c>
      <c r="M27" s="9" t="str">
        <f aca="false">IF(A27="","",K27+L27)</f>
        <v/>
      </c>
      <c r="N27" s="9" t="str">
        <f aca="false">IF(A27="","",F27-M27)</f>
        <v/>
      </c>
      <c r="O27" s="14" t="str">
        <f aca="false">IF(A27="","",IFERROR(ROUND(N27/F27*100,2),""))</f>
        <v/>
      </c>
      <c r="P27" s="12"/>
      <c r="Q27" s="12"/>
      <c r="R27" s="9" t="str">
        <f aca="false">IF(A27="","",P27-Q27)</f>
        <v/>
      </c>
    </row>
    <row r="28" customFormat="false" ht="15" hidden="false" customHeight="false" outlineLevel="0" collapsed="false">
      <c r="A28" s="10"/>
      <c r="B28" s="10"/>
      <c r="C28" s="10"/>
      <c r="D28" s="12"/>
      <c r="E28" s="12"/>
      <c r="F28" s="9" t="str">
        <f aca="false">IF(A28="","",D28+E28)</f>
        <v/>
      </c>
      <c r="G28" s="12"/>
      <c r="H28" s="17"/>
      <c r="I28" s="12" t="str">
        <f aca="false">IF(A28="","",Settings!$B$2)</f>
        <v/>
      </c>
      <c r="J28" s="12"/>
      <c r="K28" s="9" t="str">
        <f aca="false">IF(A28="","",ROUND(G28+H28*I28+J28,2))</f>
        <v/>
      </c>
      <c r="L28" s="9" t="str">
        <f aca="false">IF(A28="","",ROUND(K28*Settings!$B$3/100,2))</f>
        <v/>
      </c>
      <c r="M28" s="9" t="str">
        <f aca="false">IF(A28="","",K28+L28)</f>
        <v/>
      </c>
      <c r="N28" s="9" t="str">
        <f aca="false">IF(A28="","",F28-M28)</f>
        <v/>
      </c>
      <c r="O28" s="14" t="str">
        <f aca="false">IF(A28="","",IFERROR(ROUND(N28/F28*100,2),""))</f>
        <v/>
      </c>
      <c r="P28" s="12"/>
      <c r="Q28" s="12"/>
      <c r="R28" s="9" t="str">
        <f aca="false">IF(A28="","",P28-Q28)</f>
        <v/>
      </c>
    </row>
    <row r="29" customFormat="false" ht="15" hidden="false" customHeight="false" outlineLevel="0" collapsed="false">
      <c r="A29" s="10"/>
      <c r="B29" s="10"/>
      <c r="C29" s="10"/>
      <c r="D29" s="12"/>
      <c r="E29" s="12"/>
      <c r="F29" s="9" t="str">
        <f aca="false">IF(A29="","",D29+E29)</f>
        <v/>
      </c>
      <c r="G29" s="12"/>
      <c r="H29" s="17"/>
      <c r="I29" s="12" t="str">
        <f aca="false">IF(A29="","",Settings!$B$2)</f>
        <v/>
      </c>
      <c r="J29" s="12"/>
      <c r="K29" s="9" t="str">
        <f aca="false">IF(A29="","",ROUND(G29+H29*I29+J29,2))</f>
        <v/>
      </c>
      <c r="L29" s="9" t="str">
        <f aca="false">IF(A29="","",ROUND(K29*Settings!$B$3/100,2))</f>
        <v/>
      </c>
      <c r="M29" s="9" t="str">
        <f aca="false">IF(A29="","",K29+L29)</f>
        <v/>
      </c>
      <c r="N29" s="9" t="str">
        <f aca="false">IF(A29="","",F29-M29)</f>
        <v/>
      </c>
      <c r="O29" s="14" t="str">
        <f aca="false">IF(A29="","",IFERROR(ROUND(N29/F29*100,2),""))</f>
        <v/>
      </c>
      <c r="P29" s="12"/>
      <c r="Q29" s="12"/>
      <c r="R29" s="9" t="str">
        <f aca="false">IF(A29="","",P29-Q29)</f>
        <v/>
      </c>
    </row>
    <row r="30" customFormat="false" ht="15" hidden="false" customHeight="false" outlineLevel="0" collapsed="false">
      <c r="A30" s="10"/>
      <c r="B30" s="10"/>
      <c r="C30" s="10"/>
      <c r="D30" s="12"/>
      <c r="E30" s="12"/>
      <c r="F30" s="9" t="str">
        <f aca="false">IF(A30="","",D30+E30)</f>
        <v/>
      </c>
      <c r="G30" s="12"/>
      <c r="H30" s="17"/>
      <c r="I30" s="12" t="str">
        <f aca="false">IF(A30="","",Settings!$B$2)</f>
        <v/>
      </c>
      <c r="J30" s="12"/>
      <c r="K30" s="9" t="str">
        <f aca="false">IF(A30="","",ROUND(G30+H30*I30+J30,2))</f>
        <v/>
      </c>
      <c r="L30" s="9" t="str">
        <f aca="false">IF(A30="","",ROUND(K30*Settings!$B$3/100,2))</f>
        <v/>
      </c>
      <c r="M30" s="9" t="str">
        <f aca="false">IF(A30="","",K30+L30)</f>
        <v/>
      </c>
      <c r="N30" s="9" t="str">
        <f aca="false">IF(A30="","",F30-M30)</f>
        <v/>
      </c>
      <c r="O30" s="14" t="str">
        <f aca="false">IF(A30="","",IFERROR(ROUND(N30/F30*100,2),""))</f>
        <v/>
      </c>
      <c r="P30" s="12"/>
      <c r="Q30" s="12"/>
      <c r="R30" s="9" t="str">
        <f aca="false">IF(A30="","",P30-Q30)</f>
        <v/>
      </c>
    </row>
    <row r="31" customFormat="false" ht="15" hidden="false" customHeight="false" outlineLevel="0" collapsed="false">
      <c r="A31" s="10"/>
      <c r="B31" s="10"/>
      <c r="C31" s="10"/>
      <c r="D31" s="12"/>
      <c r="E31" s="12"/>
      <c r="F31" s="9" t="str">
        <f aca="false">IF(A31="","",D31+E31)</f>
        <v/>
      </c>
      <c r="G31" s="12"/>
      <c r="H31" s="17"/>
      <c r="I31" s="12" t="str">
        <f aca="false">IF(A31="","",Settings!$B$2)</f>
        <v/>
      </c>
      <c r="J31" s="12"/>
      <c r="K31" s="9" t="str">
        <f aca="false">IF(A31="","",ROUND(G31+H31*I31+J31,2))</f>
        <v/>
      </c>
      <c r="L31" s="9" t="str">
        <f aca="false">IF(A31="","",ROUND(K31*Settings!$B$3/100,2))</f>
        <v/>
      </c>
      <c r="M31" s="9" t="str">
        <f aca="false">IF(A31="","",K31+L31)</f>
        <v/>
      </c>
      <c r="N31" s="9" t="str">
        <f aca="false">IF(A31="","",F31-M31)</f>
        <v/>
      </c>
      <c r="O31" s="14" t="str">
        <f aca="false">IF(A31="","",IFERROR(ROUND(N31/F31*100,2),""))</f>
        <v/>
      </c>
      <c r="P31" s="12"/>
      <c r="Q31" s="12"/>
      <c r="R31" s="9" t="str">
        <f aca="false">IF(A31="","",P31-Q31)</f>
        <v/>
      </c>
    </row>
    <row r="32" customFormat="false" ht="15" hidden="false" customHeight="false" outlineLevel="0" collapsed="false">
      <c r="A32" s="10"/>
      <c r="B32" s="10"/>
      <c r="C32" s="10"/>
      <c r="D32" s="12"/>
      <c r="E32" s="12"/>
      <c r="F32" s="9" t="str">
        <f aca="false">IF(A32="","",D32+E32)</f>
        <v/>
      </c>
      <c r="G32" s="12"/>
      <c r="H32" s="17"/>
      <c r="I32" s="12" t="str">
        <f aca="false">IF(A32="","",Settings!$B$2)</f>
        <v/>
      </c>
      <c r="J32" s="12"/>
      <c r="K32" s="9" t="str">
        <f aca="false">IF(A32="","",ROUND(G32+H32*I32+J32,2))</f>
        <v/>
      </c>
      <c r="L32" s="9" t="str">
        <f aca="false">IF(A32="","",ROUND(K32*Settings!$B$3/100,2))</f>
        <v/>
      </c>
      <c r="M32" s="9" t="str">
        <f aca="false">IF(A32="","",K32+L32)</f>
        <v/>
      </c>
      <c r="N32" s="9" t="str">
        <f aca="false">IF(A32="","",F32-M32)</f>
        <v/>
      </c>
      <c r="O32" s="14" t="str">
        <f aca="false">IF(A32="","",IFERROR(ROUND(N32/F32*100,2),""))</f>
        <v/>
      </c>
      <c r="P32" s="12"/>
      <c r="Q32" s="12"/>
      <c r="R32" s="9" t="str">
        <f aca="false">IF(A32="","",P32-Q32)</f>
        <v/>
      </c>
    </row>
    <row r="33" customFormat="false" ht="15" hidden="false" customHeight="false" outlineLevel="0" collapsed="false">
      <c r="A33" s="10"/>
      <c r="B33" s="10"/>
      <c r="C33" s="10"/>
      <c r="D33" s="12"/>
      <c r="E33" s="12"/>
      <c r="F33" s="9" t="str">
        <f aca="false">IF(A33="","",D33+E33)</f>
        <v/>
      </c>
      <c r="G33" s="12"/>
      <c r="H33" s="17"/>
      <c r="I33" s="12" t="str">
        <f aca="false">IF(A33="","",Settings!$B$2)</f>
        <v/>
      </c>
      <c r="J33" s="12"/>
      <c r="K33" s="9" t="str">
        <f aca="false">IF(A33="","",ROUND(G33+H33*I33+J33,2))</f>
        <v/>
      </c>
      <c r="L33" s="9" t="str">
        <f aca="false">IF(A33="","",ROUND(K33*Settings!$B$3/100,2))</f>
        <v/>
      </c>
      <c r="M33" s="9" t="str">
        <f aca="false">IF(A33="","",K33+L33)</f>
        <v/>
      </c>
      <c r="N33" s="9" t="str">
        <f aca="false">IF(A33="","",F33-M33)</f>
        <v/>
      </c>
      <c r="O33" s="14" t="str">
        <f aca="false">IF(A33="","",IFERROR(ROUND(N33/F33*100,2),""))</f>
        <v/>
      </c>
      <c r="P33" s="12"/>
      <c r="Q33" s="12"/>
      <c r="R33" s="9" t="str">
        <f aca="false">IF(A33="","",P33-Q33)</f>
        <v/>
      </c>
    </row>
    <row r="34" customFormat="false" ht="15" hidden="false" customHeight="false" outlineLevel="0" collapsed="false">
      <c r="A34" s="10"/>
      <c r="B34" s="10"/>
      <c r="C34" s="10"/>
      <c r="D34" s="12"/>
      <c r="E34" s="12"/>
      <c r="F34" s="9" t="str">
        <f aca="false">IF(A34="","",D34+E34)</f>
        <v/>
      </c>
      <c r="G34" s="12"/>
      <c r="H34" s="17"/>
      <c r="I34" s="12" t="str">
        <f aca="false">IF(A34="","",Settings!$B$2)</f>
        <v/>
      </c>
      <c r="J34" s="12"/>
      <c r="K34" s="9" t="str">
        <f aca="false">IF(A34="","",ROUND(G34+H34*I34+J34,2))</f>
        <v/>
      </c>
      <c r="L34" s="9" t="str">
        <f aca="false">IF(A34="","",ROUND(K34*Settings!$B$3/100,2))</f>
        <v/>
      </c>
      <c r="M34" s="9" t="str">
        <f aca="false">IF(A34="","",K34+L34)</f>
        <v/>
      </c>
      <c r="N34" s="9" t="str">
        <f aca="false">IF(A34="","",F34-M34)</f>
        <v/>
      </c>
      <c r="O34" s="14" t="str">
        <f aca="false">IF(A34="","",IFERROR(ROUND(N34/F34*100,2),""))</f>
        <v/>
      </c>
      <c r="P34" s="12"/>
      <c r="Q34" s="12"/>
      <c r="R34" s="9" t="str">
        <f aca="false">IF(A34="","",P34-Q34)</f>
        <v/>
      </c>
    </row>
    <row r="35" customFormat="false" ht="15" hidden="false" customHeight="false" outlineLevel="0" collapsed="false">
      <c r="A35" s="10"/>
      <c r="B35" s="10"/>
      <c r="C35" s="10"/>
      <c r="D35" s="12"/>
      <c r="E35" s="12"/>
      <c r="F35" s="9" t="str">
        <f aca="false">IF(A35="","",D35+E35)</f>
        <v/>
      </c>
      <c r="G35" s="12"/>
      <c r="H35" s="17"/>
      <c r="I35" s="12" t="str">
        <f aca="false">IF(A35="","",Settings!$B$2)</f>
        <v/>
      </c>
      <c r="J35" s="12"/>
      <c r="K35" s="9" t="str">
        <f aca="false">IF(A35="","",ROUND(G35+H35*I35+J35,2))</f>
        <v/>
      </c>
      <c r="L35" s="9" t="str">
        <f aca="false">IF(A35="","",ROUND(K35*Settings!$B$3/100,2))</f>
        <v/>
      </c>
      <c r="M35" s="9" t="str">
        <f aca="false">IF(A35="","",K35+L35)</f>
        <v/>
      </c>
      <c r="N35" s="9" t="str">
        <f aca="false">IF(A35="","",F35-M35)</f>
        <v/>
      </c>
      <c r="O35" s="14" t="str">
        <f aca="false">IF(A35="","",IFERROR(ROUND(N35/F35*100,2),""))</f>
        <v/>
      </c>
      <c r="P35" s="12"/>
      <c r="Q35" s="12"/>
      <c r="R35" s="9" t="str">
        <f aca="false">IF(A35="","",P35-Q35)</f>
        <v/>
      </c>
    </row>
    <row r="36" customFormat="false" ht="15" hidden="false" customHeight="false" outlineLevel="0" collapsed="false">
      <c r="A36" s="10"/>
      <c r="B36" s="10"/>
      <c r="C36" s="10"/>
      <c r="D36" s="12"/>
      <c r="E36" s="12"/>
      <c r="F36" s="9" t="str">
        <f aca="false">IF(A36="","",D36+E36)</f>
        <v/>
      </c>
      <c r="G36" s="12"/>
      <c r="H36" s="17"/>
      <c r="I36" s="12" t="str">
        <f aca="false">IF(A36="","",Settings!$B$2)</f>
        <v/>
      </c>
      <c r="J36" s="12"/>
      <c r="K36" s="9" t="str">
        <f aca="false">IF(A36="","",ROUND(G36+H36*I36+J36,2))</f>
        <v/>
      </c>
      <c r="L36" s="9" t="str">
        <f aca="false">IF(A36="","",ROUND(K36*Settings!$B$3/100,2))</f>
        <v/>
      </c>
      <c r="M36" s="9" t="str">
        <f aca="false">IF(A36="","",K36+L36)</f>
        <v/>
      </c>
      <c r="N36" s="9" t="str">
        <f aca="false">IF(A36="","",F36-M36)</f>
        <v/>
      </c>
      <c r="O36" s="14" t="str">
        <f aca="false">IF(A36="","",IFERROR(ROUND(N36/F36*100,2),""))</f>
        <v/>
      </c>
      <c r="P36" s="12"/>
      <c r="Q36" s="12"/>
      <c r="R36" s="9" t="str">
        <f aca="false">IF(A36="","",P36-Q36)</f>
        <v/>
      </c>
    </row>
    <row r="37" customFormat="false" ht="15" hidden="false" customHeight="false" outlineLevel="0" collapsed="false">
      <c r="A37" s="10"/>
      <c r="B37" s="10"/>
      <c r="C37" s="10"/>
      <c r="D37" s="12"/>
      <c r="E37" s="12"/>
      <c r="F37" s="9" t="str">
        <f aca="false">IF(A37="","",D37+E37)</f>
        <v/>
      </c>
      <c r="G37" s="12"/>
      <c r="H37" s="17"/>
      <c r="I37" s="12" t="str">
        <f aca="false">IF(A37="","",Settings!$B$2)</f>
        <v/>
      </c>
      <c r="J37" s="12"/>
      <c r="K37" s="9" t="str">
        <f aca="false">IF(A37="","",ROUND(G37+H37*I37+J37,2))</f>
        <v/>
      </c>
      <c r="L37" s="9" t="str">
        <f aca="false">IF(A37="","",ROUND(K37*Settings!$B$3/100,2))</f>
        <v/>
      </c>
      <c r="M37" s="9" t="str">
        <f aca="false">IF(A37="","",K37+L37)</f>
        <v/>
      </c>
      <c r="N37" s="9" t="str">
        <f aca="false">IF(A37="","",F37-M37)</f>
        <v/>
      </c>
      <c r="O37" s="14" t="str">
        <f aca="false">IF(A37="","",IFERROR(ROUND(N37/F37*100,2),""))</f>
        <v/>
      </c>
      <c r="P37" s="12"/>
      <c r="Q37" s="12"/>
      <c r="R37" s="9" t="str">
        <f aca="false">IF(A37="","",P37-Q37)</f>
        <v/>
      </c>
    </row>
    <row r="38" customFormat="false" ht="15" hidden="false" customHeight="false" outlineLevel="0" collapsed="false">
      <c r="A38" s="10"/>
      <c r="B38" s="10"/>
      <c r="C38" s="10"/>
      <c r="D38" s="12"/>
      <c r="E38" s="12"/>
      <c r="F38" s="9" t="str">
        <f aca="false">IF(A38="","",D38+E38)</f>
        <v/>
      </c>
      <c r="G38" s="12"/>
      <c r="H38" s="17"/>
      <c r="I38" s="12" t="str">
        <f aca="false">IF(A38="","",Settings!$B$2)</f>
        <v/>
      </c>
      <c r="J38" s="12"/>
      <c r="K38" s="9" t="str">
        <f aca="false">IF(A38="","",ROUND(G38+H38*I38+J38,2))</f>
        <v/>
      </c>
      <c r="L38" s="9" t="str">
        <f aca="false">IF(A38="","",ROUND(K38*Settings!$B$3/100,2))</f>
        <v/>
      </c>
      <c r="M38" s="9" t="str">
        <f aca="false">IF(A38="","",K38+L38)</f>
        <v/>
      </c>
      <c r="N38" s="9" t="str">
        <f aca="false">IF(A38="","",F38-M38)</f>
        <v/>
      </c>
      <c r="O38" s="14" t="str">
        <f aca="false">IF(A38="","",IFERROR(ROUND(N38/F38*100,2),""))</f>
        <v/>
      </c>
      <c r="P38" s="12"/>
      <c r="Q38" s="12"/>
      <c r="R38" s="9" t="str">
        <f aca="false">IF(A38="","",P38-Q38)</f>
        <v/>
      </c>
    </row>
    <row r="39" customFormat="false" ht="15" hidden="false" customHeight="false" outlineLevel="0" collapsed="false">
      <c r="A39" s="10"/>
      <c r="B39" s="10"/>
      <c r="C39" s="10"/>
      <c r="D39" s="12"/>
      <c r="E39" s="12"/>
      <c r="F39" s="9" t="str">
        <f aca="false">IF(A39="","",D39+E39)</f>
        <v/>
      </c>
      <c r="G39" s="12"/>
      <c r="H39" s="17"/>
      <c r="I39" s="12" t="str">
        <f aca="false">IF(A39="","",Settings!$B$2)</f>
        <v/>
      </c>
      <c r="J39" s="12"/>
      <c r="K39" s="9" t="str">
        <f aca="false">IF(A39="","",ROUND(G39+H39*I39+J39,2))</f>
        <v/>
      </c>
      <c r="L39" s="9" t="str">
        <f aca="false">IF(A39="","",ROUND(K39*Settings!$B$3/100,2))</f>
        <v/>
      </c>
      <c r="M39" s="9" t="str">
        <f aca="false">IF(A39="","",K39+L39)</f>
        <v/>
      </c>
      <c r="N39" s="9" t="str">
        <f aca="false">IF(A39="","",F39-M39)</f>
        <v/>
      </c>
      <c r="O39" s="14" t="str">
        <f aca="false">IF(A39="","",IFERROR(ROUND(N39/F39*100,2),""))</f>
        <v/>
      </c>
      <c r="P39" s="12"/>
      <c r="Q39" s="12"/>
      <c r="R39" s="9" t="str">
        <f aca="false">IF(A39="","",P39-Q39)</f>
        <v/>
      </c>
    </row>
    <row r="40" customFormat="false" ht="15" hidden="false" customHeight="false" outlineLevel="0" collapsed="false">
      <c r="A40" s="10"/>
      <c r="B40" s="10"/>
      <c r="C40" s="10"/>
      <c r="D40" s="12"/>
      <c r="E40" s="12"/>
      <c r="F40" s="9" t="str">
        <f aca="false">IF(A40="","",D40+E40)</f>
        <v/>
      </c>
      <c r="G40" s="12"/>
      <c r="H40" s="17"/>
      <c r="I40" s="12" t="str">
        <f aca="false">IF(A40="","",Settings!$B$2)</f>
        <v/>
      </c>
      <c r="J40" s="12"/>
      <c r="K40" s="9" t="str">
        <f aca="false">IF(A40="","",ROUND(G40+H40*I40+J40,2))</f>
        <v/>
      </c>
      <c r="L40" s="9" t="str">
        <f aca="false">IF(A40="","",ROUND(K40*Settings!$B$3/100,2))</f>
        <v/>
      </c>
      <c r="M40" s="9" t="str">
        <f aca="false">IF(A40="","",K40+L40)</f>
        <v/>
      </c>
      <c r="N40" s="9" t="str">
        <f aca="false">IF(A40="","",F40-M40)</f>
        <v/>
      </c>
      <c r="O40" s="14" t="str">
        <f aca="false">IF(A40="","",IFERROR(ROUND(N40/F40*100,2),""))</f>
        <v/>
      </c>
      <c r="P40" s="12"/>
      <c r="Q40" s="12"/>
      <c r="R40" s="9" t="str">
        <f aca="false">IF(A40="","",P40-Q40)</f>
        <v/>
      </c>
    </row>
    <row r="41" customFormat="false" ht="15" hidden="false" customHeight="false" outlineLevel="0" collapsed="false">
      <c r="A41" s="4" t="s">
        <v>75</v>
      </c>
      <c r="D41" s="13" t="n">
        <f aca="false">SUM(D5:D40)</f>
        <v>7200</v>
      </c>
      <c r="E41" s="13" t="n">
        <f aca="false">SUM(E5:E40)</f>
        <v>650</v>
      </c>
      <c r="F41" s="13" t="n">
        <f aca="false">SUM(F5:F40)</f>
        <v>7850</v>
      </c>
      <c r="G41" s="13" t="n">
        <f aca="false">SUM(G5:G40)</f>
        <v>2400</v>
      </c>
      <c r="H41" s="18" t="n">
        <f aca="false">SUM(H5:H40)</f>
        <v>52</v>
      </c>
      <c r="J41" s="13" t="n">
        <f aca="false">SUM(J5:J40)</f>
        <v>550</v>
      </c>
      <c r="K41" s="13" t="n">
        <f aca="false">SUM(K5:K40)</f>
        <v>5290</v>
      </c>
      <c r="L41" s="13" t="n">
        <f aca="false">SUM(L5:L40)</f>
        <v>793.5</v>
      </c>
      <c r="M41" s="13" t="n">
        <f aca="false">SUM(M5:M40)</f>
        <v>6083.5</v>
      </c>
      <c r="N41" s="13" t="n">
        <f aca="false">SUM(N5:N40)</f>
        <v>1766.5</v>
      </c>
      <c r="O41" s="16" t="n">
        <f aca="false">IFERROR(ROUND(N41/F41*100,2),"")</f>
        <v>22.5</v>
      </c>
      <c r="P41" s="13" t="n">
        <f aca="false">SUM(P5:P40)</f>
        <v>7850</v>
      </c>
      <c r="Q41" s="13" t="n">
        <f aca="false">SUM(Q5:Q40)</f>
        <v>5435</v>
      </c>
      <c r="R41" s="13" t="n">
        <f aca="false">SUM(R5:R40)</f>
        <v>2415</v>
      </c>
    </row>
  </sheetData>
  <dataValidations count="1">
    <dataValidation allowBlank="true" errorStyle="stop" operator="between" showDropDown="false" showErrorMessage="false" showInputMessage="false" sqref="C5:C40" type="list">
      <formula1>"quoted,active,done,lost"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44"/>
  </cols>
  <sheetData>
    <row r="1" customFormat="false" ht="17.35" hidden="false" customHeight="false" outlineLevel="0" collapsed="false">
      <c r="A1" s="1" t="s">
        <v>96</v>
      </c>
    </row>
    <row r="2" customFormat="false" ht="15" hidden="false" customHeight="false" outlineLevel="0" collapsed="false">
      <c r="A2" s="4" t="s">
        <v>97</v>
      </c>
      <c r="B2" s="19" t="n">
        <f aca="false">COUNTA(Jobs!A5:A40)</f>
        <v>3</v>
      </c>
    </row>
    <row r="3" customFormat="false" ht="15" hidden="false" customHeight="false" outlineLevel="0" collapsed="false">
      <c r="A3" s="4" t="s">
        <v>98</v>
      </c>
      <c r="B3" s="13" t="n">
        <f aca="false">Jobs!F41</f>
        <v>7850</v>
      </c>
    </row>
    <row r="4" customFormat="false" ht="15" hidden="false" customHeight="false" outlineLevel="0" collapsed="false">
      <c r="A4" s="4" t="s">
        <v>99</v>
      </c>
      <c r="B4" s="13" t="n">
        <f aca="false">Jobs!M41</f>
        <v>6083.5</v>
      </c>
    </row>
    <row r="5" customFormat="false" ht="15" hidden="false" customHeight="false" outlineLevel="0" collapsed="false">
      <c r="A5" s="4" t="s">
        <v>58</v>
      </c>
      <c r="B5" s="13" t="n">
        <f aca="false">Jobs!N41</f>
        <v>1766.5</v>
      </c>
    </row>
    <row r="6" customFormat="false" ht="15" hidden="false" customHeight="false" outlineLevel="0" collapsed="false">
      <c r="A6" s="4" t="s">
        <v>100</v>
      </c>
      <c r="B6" s="16" t="n">
        <f aca="false">IFERROR(ROUND(B5/B3*100,2),"")</f>
        <v>22.5</v>
      </c>
      <c r="C6" s="2" t="s">
        <v>101</v>
      </c>
    </row>
    <row r="7" customFormat="false" ht="15" hidden="false" customHeight="false" outlineLevel="0" collapsed="false">
      <c r="A7" s="4" t="s">
        <v>102</v>
      </c>
      <c r="B7" s="16" t="n">
        <f aca="false">Settings!$B$4</f>
        <v>20</v>
      </c>
    </row>
    <row r="8" customFormat="false" ht="15" hidden="false" customHeight="false" outlineLevel="0" collapsed="false">
      <c r="A8" s="4" t="s">
        <v>103</v>
      </c>
      <c r="B8" s="19" t="n">
        <f aca="false">COUNTIF(Jobs!O5:O40,"&lt;"&amp;Settings!$B$4)</f>
        <v>1</v>
      </c>
    </row>
    <row r="9" customFormat="false" ht="15" hidden="false" customHeight="false" outlineLevel="0" collapsed="false">
      <c r="A9" s="4" t="s">
        <v>104</v>
      </c>
      <c r="B9" s="16" t="n">
        <f aca="false">IFERROR(ROUND(Jobs!E41/Jobs!D41*100,2),"")</f>
        <v>9.03</v>
      </c>
    </row>
    <row r="10" customFormat="false" ht="15" hidden="false" customHeight="false" outlineLevel="0" collapsed="false">
      <c r="A10" s="4" t="s">
        <v>105</v>
      </c>
      <c r="B10" s="18" t="n">
        <f aca="false">Jobs!H41</f>
        <v>52</v>
      </c>
    </row>
    <row r="11" customFormat="false" ht="15" hidden="false" customHeight="false" outlineLevel="0" collapsed="false">
      <c r="A11" s="4" t="s">
        <v>106</v>
      </c>
      <c r="B11" s="13" t="n">
        <f aca="false">IFERROR(ROUND(B5/B10,2),"")</f>
        <v>33.97</v>
      </c>
      <c r="C11" s="2" t="s">
        <v>107</v>
      </c>
    </row>
    <row r="12" customFormat="false" ht="15" hidden="false" customHeight="false" outlineLevel="0" collapsed="false">
      <c r="A12" s="4" t="s">
        <v>87</v>
      </c>
      <c r="B12" s="13" t="n">
        <f aca="false">Jobs!P41</f>
        <v>7850</v>
      </c>
    </row>
    <row r="13" customFormat="false" ht="15" hidden="false" customHeight="false" outlineLevel="0" collapsed="false">
      <c r="A13" s="4" t="s">
        <v>88</v>
      </c>
      <c r="B13" s="13" t="n">
        <f aca="false">Jobs!Q41</f>
        <v>5435</v>
      </c>
    </row>
    <row r="14" customFormat="false" ht="15" hidden="false" customHeight="false" outlineLevel="0" collapsed="false">
      <c r="A14" s="4" t="s">
        <v>89</v>
      </c>
      <c r="B14" s="13" t="n">
        <f aca="false">Jobs!R41</f>
        <v>2415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2026-10-01T13:34:57Z</dcterms:created>
  <dc:creator>openpyxl</dc:creator>
  <dc:description/>
  <dc:language>en-US</dc:language>
  <cp:lastModifiedBy/>
  <dcterms:modified xsi:type="dcterms:W3CDTF">2026-10-01T13:34:57Z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