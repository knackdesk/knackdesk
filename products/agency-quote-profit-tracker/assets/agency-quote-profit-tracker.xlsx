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Rate Card" sheetId="3" state="visible" r:id="rId5"/>
    <sheet name="Quote" sheetId="4" state="visible" r:id="rId6"/>
    <sheet name="Project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<sst xmlns="http://schemas.openxmlformats.org/spreadsheetml/2006/main" count="116" uniqueCount="97">
  <si>
    <t xml:space="preserve">Agency Quote &amp; Project Profit Tracker</t>
  </si>
  <si>
    <t xml:space="preserve">by Knackdesk · knackdesk.com</t>
  </si>
  <si>
    <t xml:space="preserve">HOW TO USE</t>
  </si>
  <si>
    <t xml:space="preserve">1. Settings: productive hours per day and your default contingency and discount for quotes.</t>
  </si>
  <si>
    <t xml:space="preserve">2. Rate Card: one row per role with the bill rate and the internal cost per hour (salary, contributions and overhead divided by productive hours). Margin and markup per role are calculated.</t>
  </si>
  <si>
    <t xml:space="preserve">3. Quote: name the client and project, then list tasks with a role (pick from the list) and hours. Bill rate and cost rate are looked up from the Rate Card; labour, expenses, contingency and discount roll up into the quote total, blended rate, expected profit and margin. Copy the sheet for each new quote.</t>
  </si>
  <si>
    <t xml:space="preserve">4. Projects: one row per project with price, estimated and actual hours, cost per hour, expenses, invoiced and paid. Profit, margin, effective hourly rate, hours overrun and outstanding balance are calculated.</t>
  </si>
  <si>
    <t xml:space="preserve">5. Summary: totals and averages across every project row.</t>
  </si>
  <si>
    <t xml:space="preserve">LEGEND</t>
  </si>
  <si>
    <t xml:space="preserve">Blue text = a cell you type into.   Black text = a formula, leave it alone.   Yellow fill = key inputs.</t>
  </si>
  <si>
    <t xml:space="preserve">Blue cells that already contain a formula (defaults pulled from Settings) may be overwritten with your own figure.</t>
  </si>
  <si>
    <t xml:space="preserve">DEFINITIONS</t>
  </si>
  <si>
    <t xml:space="preserve">Blended rate = total labour at bill rates ÷ total hours. Margin = (price − cost) ÷ price. Markup = bill rate ÷ cost rate.</t>
  </si>
  <si>
    <t xml:space="preserve">Contingency = subtotal × contingency %. Quote total = (subtotal + contingency) × (1 − discount %).</t>
  </si>
  <si>
    <t xml:space="preserve">Effective hourly rate = price ÷ actual hours. Hours overrun = (actual − estimated) ÷ estimated. Outstanding = invoiced − paid.</t>
  </si>
  <si>
    <t xml:space="preserve">Arithmetic only; not financial or legal advice. Support: hello@knackdesk.com</t>
  </si>
  <si>
    <t xml:space="preserve">Settings</t>
  </si>
  <si>
    <t xml:space="preserve">Productive hours per working day</t>
  </si>
  <si>
    <t xml:space="preserve">Used to convert quoted hours into working days.</t>
  </si>
  <si>
    <t xml:space="preserve">Default contingency on quotes (%)</t>
  </si>
  <si>
    <t xml:space="preserve">Allowance for scope the estimate missed; 10 to 20 is common.</t>
  </si>
  <si>
    <t xml:space="preserve">Default discount on quotes (%)</t>
  </si>
  <si>
    <t xml:space="preserve">Applied after contingency; leave at 0 unless agreed.</t>
  </si>
  <si>
    <t xml:space="preserve">Rate Card</t>
  </si>
  <si>
    <t xml:space="preserve">One row per role. Cost per hour = salary + contributions + overhead ÷ productive hours (the Employee Cost Calculator on knackdesk.com gives this figure).</t>
  </si>
  <si>
    <t xml:space="preserve">Role</t>
  </si>
  <si>
    <t xml:space="preserve">Bill rate / hour</t>
  </si>
  <si>
    <t xml:space="preserve">Cost / hour</t>
  </si>
  <si>
    <t xml:space="preserve">Margin %</t>
  </si>
  <si>
    <t xml:space="preserve">Markup (bill ÷ cost)</t>
  </si>
  <si>
    <t xml:space="preserve">Lead / strategist</t>
  </si>
  <si>
    <t xml:space="preserve">Designer</t>
  </si>
  <si>
    <t xml:space="preserve">Developer</t>
  </si>
  <si>
    <t xml:space="preserve">Project manager</t>
  </si>
  <si>
    <t xml:space="preserve">Quote</t>
  </si>
  <si>
    <t xml:space="preserve">Client</t>
  </si>
  <si>
    <t xml:space="preserve">Example Ltd</t>
  </si>
  <si>
    <t xml:space="preserve">Project</t>
  </si>
  <si>
    <t xml:space="preserve">Website redesign</t>
  </si>
  <si>
    <t xml:space="preserve">Task</t>
  </si>
  <si>
    <t xml:space="preserve">Hours</t>
  </si>
  <si>
    <t xml:space="preserve">Bill rate</t>
  </si>
  <si>
    <t xml:space="preserve">Amount</t>
  </si>
  <si>
    <t xml:space="preserve">Cost rate</t>
  </si>
  <si>
    <t xml:space="preserve">Internal cost</t>
  </si>
  <si>
    <t xml:space="preserve">Discovery and strategy</t>
  </si>
  <si>
    <t xml:space="preserve">Design</t>
  </si>
  <si>
    <t xml:space="preserve">Build</t>
  </si>
  <si>
    <t xml:space="preserve">Project management</t>
  </si>
  <si>
    <t xml:space="preserve">Totals</t>
  </si>
  <si>
    <t xml:space="preserve">Expenses passed through</t>
  </si>
  <si>
    <t xml:space="preserve">Contingency (%)</t>
  </si>
  <si>
    <t xml:space="preserve">Discount (%)</t>
  </si>
  <si>
    <t xml:space="preserve">Labour at bill rates</t>
  </si>
  <si>
    <t xml:space="preserve">Expenses</t>
  </si>
  <si>
    <t xml:space="preserve">Subtotal</t>
  </si>
  <si>
    <t xml:space="preserve">Contingency</t>
  </si>
  <si>
    <t xml:space="preserve">Before discount</t>
  </si>
  <si>
    <t xml:space="preserve">Discount</t>
  </si>
  <si>
    <t xml:space="preserve">QUOTE TOTAL</t>
  </si>
  <si>
    <t xml:space="preserve">Blended hourly rate</t>
  </si>
  <si>
    <t xml:space="preserve">Expected internal cost</t>
  </si>
  <si>
    <t xml:space="preserve">Expected profit</t>
  </si>
  <si>
    <t xml:space="preserve">Expected margin %</t>
  </si>
  <si>
    <t xml:space="preserve">Working days of effort</t>
  </si>
  <si>
    <t xml:space="preserve">Projects</t>
  </si>
  <si>
    <t xml:space="preserve">One row per project. Enter actual hours as they are logged; profit and overrun update. Cost per hour = blended internal cost of the people on the job.</t>
  </si>
  <si>
    <t xml:space="preserve">Status</t>
  </si>
  <si>
    <t xml:space="preserve">Price</t>
  </si>
  <si>
    <t xml:space="preserve">Estimated hours</t>
  </si>
  <si>
    <t xml:space="preserve">Actual hours</t>
  </si>
  <si>
    <t xml:space="preserve">Labour cost</t>
  </si>
  <si>
    <t xml:space="preserve">Total cost</t>
  </si>
  <si>
    <t xml:space="preserve">Profit</t>
  </si>
  <si>
    <t xml:space="preserve">Effective rate / hour</t>
  </si>
  <si>
    <t xml:space="preserve">Hours overrun %</t>
  </si>
  <si>
    <t xml:space="preserve">Invoiced</t>
  </si>
  <si>
    <t xml:space="preserve">Paid</t>
  </si>
  <si>
    <t xml:space="preserve">Outstanding</t>
  </si>
  <si>
    <t xml:space="preserve">done</t>
  </si>
  <si>
    <t xml:space="preserve">Sample Co</t>
  </si>
  <si>
    <t xml:space="preserve">Brand identity</t>
  </si>
  <si>
    <t xml:space="preserve">Demo Inc</t>
  </si>
  <si>
    <t xml:space="preserve">Monthly retainer (Sep)</t>
  </si>
  <si>
    <t xml:space="preserve">active</t>
  </si>
  <si>
    <t xml:space="preserve">Summary</t>
  </si>
  <si>
    <t xml:space="preserve">Projects tracked</t>
  </si>
  <si>
    <t xml:space="preserve">Revenue (sum of prices)</t>
  </si>
  <si>
    <t xml:space="preserve">labour at cost rates plus expenses</t>
  </si>
  <si>
    <t xml:space="preserve">Overall margin %</t>
  </si>
  <si>
    <t xml:space="preserve">profit ÷ revenue</t>
  </si>
  <si>
    <t xml:space="preserve">Hours worked</t>
  </si>
  <si>
    <t xml:space="preserve">Average effective rate per hour</t>
  </si>
  <si>
    <t xml:space="preserve">revenue ÷ hours</t>
  </si>
  <si>
    <t xml:space="preserve">Projects that overran their estimate</t>
  </si>
  <si>
    <t xml:space="preserve">Average hours overrun %</t>
  </si>
  <si>
    <t xml:space="preserve">across projects with hours entered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</si>
</sst>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#,##0.00;\(#,##0.00\);\-"/>
    <numFmt numFmtId="168" formatCode="0.00\%"/>
    <numFmt numFmtId="169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3" t="s">
        <v>17</v>
      </c>
      <c r="B2" s="5" t="n">
        <v>8</v>
      </c>
      <c r="C2" s="2" t="s">
        <v>18</v>
      </c>
    </row>
    <row r="3" customFormat="false" ht="15" hidden="false" customHeight="false" outlineLevel="0" collapsed="false">
      <c r="A3" s="3" t="s">
        <v>19</v>
      </c>
      <c r="B3" s="6" t="n">
        <v>15</v>
      </c>
      <c r="C3" s="2" t="s">
        <v>20</v>
      </c>
    </row>
    <row r="4" customFormat="false" ht="15" hidden="false" customHeight="false" outlineLevel="0" collapsed="false">
      <c r="A4" s="3" t="s">
        <v>21</v>
      </c>
      <c r="B4" s="6" t="n">
        <v>0</v>
      </c>
      <c r="C4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6.85" hidden="false" customHeight="false" outlineLevel="0" collapsed="false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</row>
    <row r="5" customFormat="false" ht="15" hidden="false" customHeight="false" outlineLevel="0" collapsed="false">
      <c r="A5" s="8" t="s">
        <v>30</v>
      </c>
      <c r="B5" s="9" t="n">
        <v>150</v>
      </c>
      <c r="C5" s="9" t="n">
        <v>70</v>
      </c>
      <c r="D5" s="10" t="n">
        <f aca="false">IF(A5="","",IFERROR(ROUND((B5-C5)/B5*100,2),""))</f>
        <v>53.33</v>
      </c>
      <c r="E5" s="11" t="n">
        <f aca="false">IF(A5="","",IFERROR(ROUND(B5/C5,2),""))</f>
        <v>2.14</v>
      </c>
    </row>
    <row r="6" customFormat="false" ht="15" hidden="false" customHeight="false" outlineLevel="0" collapsed="false">
      <c r="A6" s="12" t="s">
        <v>31</v>
      </c>
      <c r="B6" s="13" t="n">
        <v>80</v>
      </c>
      <c r="C6" s="13" t="n">
        <v>40</v>
      </c>
      <c r="D6" s="10" t="n">
        <f aca="false">IF(A6="","",IFERROR(ROUND((B6-C6)/B6*100,2),""))</f>
        <v>50</v>
      </c>
      <c r="E6" s="11" t="n">
        <f aca="false">IF(A6="","",IFERROR(ROUND(B6/C6,2),""))</f>
        <v>2</v>
      </c>
    </row>
    <row r="7" customFormat="false" ht="15" hidden="false" customHeight="false" outlineLevel="0" collapsed="false">
      <c r="A7" s="12" t="s">
        <v>32</v>
      </c>
      <c r="B7" s="13" t="n">
        <v>95</v>
      </c>
      <c r="C7" s="13" t="n">
        <v>50</v>
      </c>
      <c r="D7" s="10" t="n">
        <f aca="false">IF(A7="","",IFERROR(ROUND((B7-C7)/B7*100,2),""))</f>
        <v>47.37</v>
      </c>
      <c r="E7" s="11" t="n">
        <f aca="false">IF(A7="","",IFERROR(ROUND(B7/C7,2),""))</f>
        <v>1.9</v>
      </c>
    </row>
    <row r="8" customFormat="false" ht="15" hidden="false" customHeight="false" outlineLevel="0" collapsed="false">
      <c r="A8" s="12" t="s">
        <v>33</v>
      </c>
      <c r="B8" s="13" t="n">
        <v>85</v>
      </c>
      <c r="C8" s="13" t="n">
        <v>45</v>
      </c>
      <c r="D8" s="10" t="n">
        <f aca="false">IF(A8="","",IFERROR(ROUND((B8-C8)/B8*100,2),""))</f>
        <v>47.06</v>
      </c>
      <c r="E8" s="11" t="n">
        <f aca="false">IF(A8="","",IFERROR(ROUND(B8/C8,2),""))</f>
        <v>1.89</v>
      </c>
    </row>
    <row r="9" customFormat="false" ht="15" hidden="false" customHeight="false" outlineLevel="0" collapsed="false">
      <c r="A9" s="12"/>
      <c r="B9" s="13"/>
      <c r="C9" s="13"/>
      <c r="D9" s="10" t="str">
        <f aca="false">IF(A9="","",IFERROR(ROUND((B9-C9)/B9*100,2),""))</f>
        <v/>
      </c>
      <c r="E9" s="11" t="str">
        <f aca="false">IF(A9="","",IFERROR(ROUND(B9/C9,2),""))</f>
        <v/>
      </c>
    </row>
    <row r="10" customFormat="false" ht="15" hidden="false" customHeight="false" outlineLevel="0" collapsed="false">
      <c r="A10" s="12"/>
      <c r="B10" s="13"/>
      <c r="C10" s="13"/>
      <c r="D10" s="10" t="str">
        <f aca="false">IF(A10="","",IFERROR(ROUND((B10-C10)/B10*100,2),""))</f>
        <v/>
      </c>
      <c r="E10" s="11" t="str">
        <f aca="false">IF(A10="","",IFERROR(ROUND(B10/C10,2),""))</f>
        <v/>
      </c>
    </row>
    <row r="11" customFormat="false" ht="15" hidden="false" customHeight="false" outlineLevel="0" collapsed="false">
      <c r="A11" s="12"/>
      <c r="B11" s="13"/>
      <c r="C11" s="13"/>
      <c r="D11" s="10" t="str">
        <f aca="false">IF(A11="","",IFERROR(ROUND((B11-C11)/B11*100,2),""))</f>
        <v/>
      </c>
      <c r="E11" s="11" t="str">
        <f aca="false">IF(A11="","",IFERROR(ROUND(B11/C11,2),""))</f>
        <v/>
      </c>
    </row>
    <row r="12" customFormat="false" ht="15" hidden="false" customHeight="false" outlineLevel="0" collapsed="false">
      <c r="A12" s="12"/>
      <c r="B12" s="13"/>
      <c r="C12" s="13"/>
      <c r="D12" s="10" t="str">
        <f aca="false">IF(A12="","",IFERROR(ROUND((B12-C12)/B12*100,2),""))</f>
        <v/>
      </c>
      <c r="E12" s="11" t="str">
        <f aca="false">IF(A12="","",IFERROR(ROUND(B12/C12,2),""))</f>
        <v/>
      </c>
    </row>
    <row r="13" customFormat="false" ht="15" hidden="false" customHeight="false" outlineLevel="0" collapsed="false">
      <c r="A13" s="12"/>
      <c r="B13" s="13"/>
      <c r="C13" s="13"/>
      <c r="D13" s="10" t="str">
        <f aca="false">IF(A13="","",IFERROR(ROUND((B13-C13)/B13*100,2),""))</f>
        <v/>
      </c>
      <c r="E13" s="11" t="str">
        <f aca="false">IF(A13="","",IFERROR(ROUND(B13/C13,2),""))</f>
        <v/>
      </c>
    </row>
    <row r="14" customFormat="false" ht="15" hidden="false" customHeight="false" outlineLevel="0" collapsed="false">
      <c r="A14" s="12"/>
      <c r="B14" s="13"/>
      <c r="C14" s="13"/>
      <c r="D14" s="10" t="str">
        <f aca="false">IF(A14="","",IFERROR(ROUND((B14-C14)/B14*100,2),""))</f>
        <v/>
      </c>
      <c r="E14" s="11" t="str">
        <f aca="false">IF(A14="","",IFERROR(ROUND(B14/C14,2),""))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3" t="s">
        <v>35</v>
      </c>
      <c r="B2" s="8" t="s">
        <v>36</v>
      </c>
    </row>
    <row r="3" customFormat="false" ht="15" hidden="false" customHeight="false" outlineLevel="0" collapsed="false">
      <c r="A3" s="3" t="s">
        <v>37</v>
      </c>
      <c r="B3" s="8" t="s">
        <v>38</v>
      </c>
    </row>
    <row r="5" customFormat="false" ht="15" hidden="false" customHeight="false" outlineLevel="0" collapsed="false">
      <c r="A5" s="7" t="s">
        <v>39</v>
      </c>
      <c r="B5" s="7" t="s">
        <v>25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</row>
    <row r="6" customFormat="false" ht="15" hidden="false" customHeight="false" outlineLevel="0" collapsed="false">
      <c r="A6" s="8" t="s">
        <v>45</v>
      </c>
      <c r="B6" s="8" t="s">
        <v>30</v>
      </c>
      <c r="C6" s="5" t="n">
        <v>10</v>
      </c>
      <c r="D6" s="14" t="n">
        <f aca="false">IF(B6="","",IFERROR(INDEX('Rate Card'!$B$5:$B$14,MATCH(B6,'Rate Card'!$A$5:$A$14,0)),""))</f>
        <v>150</v>
      </c>
      <c r="E6" s="14" t="n">
        <f aca="false">IF(B6="","",IFERROR(ROUND(C6*D6,2),""))</f>
        <v>1500</v>
      </c>
      <c r="F6" s="14" t="n">
        <f aca="false">IF(B6="","",IFERROR(INDEX('Rate Card'!$C$5:$C$14,MATCH(B6,'Rate Card'!$A$5:$A$14,0)),""))</f>
        <v>70</v>
      </c>
      <c r="G6" s="14" t="n">
        <f aca="false">IF(B6="","",IFERROR(ROUND(C6*F6,2),""))</f>
        <v>700</v>
      </c>
    </row>
    <row r="7" customFormat="false" ht="15" hidden="false" customHeight="false" outlineLevel="0" collapsed="false">
      <c r="A7" s="12" t="s">
        <v>46</v>
      </c>
      <c r="B7" s="12" t="s">
        <v>31</v>
      </c>
      <c r="C7" s="15" t="n">
        <v>30</v>
      </c>
      <c r="D7" s="14" t="n">
        <f aca="false">IF(B7="","",IFERROR(INDEX('Rate Card'!$B$5:$B$14,MATCH(B7,'Rate Card'!$A$5:$A$14,0)),""))</f>
        <v>80</v>
      </c>
      <c r="E7" s="14" t="n">
        <f aca="false">IF(B7="","",IFERROR(ROUND(C7*D7,2),""))</f>
        <v>2400</v>
      </c>
      <c r="F7" s="14" t="n">
        <f aca="false">IF(B7="","",IFERROR(INDEX('Rate Card'!$C$5:$C$14,MATCH(B7,'Rate Card'!$A$5:$A$14,0)),""))</f>
        <v>40</v>
      </c>
      <c r="G7" s="14" t="n">
        <f aca="false">IF(B7="","",IFERROR(ROUND(C7*F7,2),""))</f>
        <v>1200</v>
      </c>
    </row>
    <row r="8" customFormat="false" ht="15" hidden="false" customHeight="false" outlineLevel="0" collapsed="false">
      <c r="A8" s="12" t="s">
        <v>47</v>
      </c>
      <c r="B8" s="12" t="s">
        <v>32</v>
      </c>
      <c r="C8" s="15" t="n">
        <v>40</v>
      </c>
      <c r="D8" s="14" t="n">
        <f aca="false">IF(B8="","",IFERROR(INDEX('Rate Card'!$B$5:$B$14,MATCH(B8,'Rate Card'!$A$5:$A$14,0)),""))</f>
        <v>95</v>
      </c>
      <c r="E8" s="14" t="n">
        <f aca="false">IF(B8="","",IFERROR(ROUND(C8*D8,2),""))</f>
        <v>3800</v>
      </c>
      <c r="F8" s="14" t="n">
        <f aca="false">IF(B8="","",IFERROR(INDEX('Rate Card'!$C$5:$C$14,MATCH(B8,'Rate Card'!$A$5:$A$14,0)),""))</f>
        <v>50</v>
      </c>
      <c r="G8" s="14" t="n">
        <f aca="false">IF(B8="","",IFERROR(ROUND(C8*F8,2),""))</f>
        <v>2000</v>
      </c>
    </row>
    <row r="9" customFormat="false" ht="15" hidden="false" customHeight="false" outlineLevel="0" collapsed="false">
      <c r="A9" s="12" t="s">
        <v>48</v>
      </c>
      <c r="B9" s="12" t="s">
        <v>33</v>
      </c>
      <c r="C9" s="15" t="n">
        <v>12</v>
      </c>
      <c r="D9" s="14" t="n">
        <f aca="false">IF(B9="","",IFERROR(INDEX('Rate Card'!$B$5:$B$14,MATCH(B9,'Rate Card'!$A$5:$A$14,0)),""))</f>
        <v>85</v>
      </c>
      <c r="E9" s="14" t="n">
        <f aca="false">IF(B9="","",IFERROR(ROUND(C9*D9,2),""))</f>
        <v>1020</v>
      </c>
      <c r="F9" s="14" t="n">
        <f aca="false">IF(B9="","",IFERROR(INDEX('Rate Card'!$C$5:$C$14,MATCH(B9,'Rate Card'!$A$5:$A$14,0)),""))</f>
        <v>45</v>
      </c>
      <c r="G9" s="14" t="n">
        <f aca="false">IF(B9="","",IFERROR(ROUND(C9*F9,2),""))</f>
        <v>540</v>
      </c>
    </row>
    <row r="10" customFormat="false" ht="15" hidden="false" customHeight="false" outlineLevel="0" collapsed="false">
      <c r="A10" s="12"/>
      <c r="B10" s="12"/>
      <c r="C10" s="15"/>
      <c r="D10" s="14" t="str">
        <f aca="false">IF(B10="","",IFERROR(INDEX('Rate Card'!$B$5:$B$14,MATCH(B10,'Rate Card'!$A$5:$A$14,0)),""))</f>
        <v/>
      </c>
      <c r="E10" s="14" t="str">
        <f aca="false">IF(B10="","",IFERROR(ROUND(C10*D10,2),""))</f>
        <v/>
      </c>
      <c r="F10" s="14" t="str">
        <f aca="false">IF(B10="","",IFERROR(INDEX('Rate Card'!$C$5:$C$14,MATCH(B10,'Rate Card'!$A$5:$A$14,0)),""))</f>
        <v/>
      </c>
      <c r="G10" s="14" t="str">
        <f aca="false">IF(B10="","",IFERROR(ROUND(C10*F10,2),""))</f>
        <v/>
      </c>
    </row>
    <row r="11" customFormat="false" ht="15" hidden="false" customHeight="false" outlineLevel="0" collapsed="false">
      <c r="A11" s="12"/>
      <c r="B11" s="12"/>
      <c r="C11" s="15"/>
      <c r="D11" s="14" t="str">
        <f aca="false">IF(B11="","",IFERROR(INDEX('Rate Card'!$B$5:$B$14,MATCH(B11,'Rate Card'!$A$5:$A$14,0)),""))</f>
        <v/>
      </c>
      <c r="E11" s="14" t="str">
        <f aca="false">IF(B11="","",IFERROR(ROUND(C11*D11,2),""))</f>
        <v/>
      </c>
      <c r="F11" s="14" t="str">
        <f aca="false">IF(B11="","",IFERROR(INDEX('Rate Card'!$C$5:$C$14,MATCH(B11,'Rate Card'!$A$5:$A$14,0)),""))</f>
        <v/>
      </c>
      <c r="G11" s="14" t="str">
        <f aca="false">IF(B11="","",IFERROR(ROUND(C11*F11,2),""))</f>
        <v/>
      </c>
    </row>
    <row r="12" customFormat="false" ht="15" hidden="false" customHeight="false" outlineLevel="0" collapsed="false">
      <c r="A12" s="12"/>
      <c r="B12" s="12"/>
      <c r="C12" s="15"/>
      <c r="D12" s="14" t="str">
        <f aca="false">IF(B12="","",IFERROR(INDEX('Rate Card'!$B$5:$B$14,MATCH(B12,'Rate Card'!$A$5:$A$14,0)),""))</f>
        <v/>
      </c>
      <c r="E12" s="14" t="str">
        <f aca="false">IF(B12="","",IFERROR(ROUND(C12*D12,2),""))</f>
        <v/>
      </c>
      <c r="F12" s="14" t="str">
        <f aca="false">IF(B12="","",IFERROR(INDEX('Rate Card'!$C$5:$C$14,MATCH(B12,'Rate Card'!$A$5:$A$14,0)),""))</f>
        <v/>
      </c>
      <c r="G12" s="14" t="str">
        <f aca="false">IF(B12="","",IFERROR(ROUND(C12*F12,2),""))</f>
        <v/>
      </c>
    </row>
    <row r="13" customFormat="false" ht="15" hidden="false" customHeight="false" outlineLevel="0" collapsed="false">
      <c r="A13" s="12"/>
      <c r="B13" s="12"/>
      <c r="C13" s="15"/>
      <c r="D13" s="14" t="str">
        <f aca="false">IF(B13="","",IFERROR(INDEX('Rate Card'!$B$5:$B$14,MATCH(B13,'Rate Card'!$A$5:$A$14,0)),""))</f>
        <v/>
      </c>
      <c r="E13" s="14" t="str">
        <f aca="false">IF(B13="","",IFERROR(ROUND(C13*D13,2),""))</f>
        <v/>
      </c>
      <c r="F13" s="14" t="str">
        <f aca="false">IF(B13="","",IFERROR(INDEX('Rate Card'!$C$5:$C$14,MATCH(B13,'Rate Card'!$A$5:$A$14,0)),""))</f>
        <v/>
      </c>
      <c r="G13" s="14" t="str">
        <f aca="false">IF(B13="","",IFERROR(ROUND(C13*F13,2),""))</f>
        <v/>
      </c>
    </row>
    <row r="14" customFormat="false" ht="15" hidden="false" customHeight="false" outlineLevel="0" collapsed="false">
      <c r="A14" s="12"/>
      <c r="B14" s="12"/>
      <c r="C14" s="15"/>
      <c r="D14" s="14" t="str">
        <f aca="false">IF(B14="","",IFERROR(INDEX('Rate Card'!$B$5:$B$14,MATCH(B14,'Rate Card'!$A$5:$A$14,0)),""))</f>
        <v/>
      </c>
      <c r="E14" s="14" t="str">
        <f aca="false">IF(B14="","",IFERROR(ROUND(C14*D14,2),""))</f>
        <v/>
      </c>
      <c r="F14" s="14" t="str">
        <f aca="false">IF(B14="","",IFERROR(INDEX('Rate Card'!$C$5:$C$14,MATCH(B14,'Rate Card'!$A$5:$A$14,0)),""))</f>
        <v/>
      </c>
      <c r="G14" s="14" t="str">
        <f aca="false">IF(B14="","",IFERROR(ROUND(C14*F14,2),""))</f>
        <v/>
      </c>
    </row>
    <row r="15" customFormat="false" ht="15" hidden="false" customHeight="false" outlineLevel="0" collapsed="false">
      <c r="A15" s="12"/>
      <c r="B15" s="12"/>
      <c r="C15" s="15"/>
      <c r="D15" s="14" t="str">
        <f aca="false">IF(B15="","",IFERROR(INDEX('Rate Card'!$B$5:$B$14,MATCH(B15,'Rate Card'!$A$5:$A$14,0)),""))</f>
        <v/>
      </c>
      <c r="E15" s="14" t="str">
        <f aca="false">IF(B15="","",IFERROR(ROUND(C15*D15,2),""))</f>
        <v/>
      </c>
      <c r="F15" s="14" t="str">
        <f aca="false">IF(B15="","",IFERROR(INDEX('Rate Card'!$C$5:$C$14,MATCH(B15,'Rate Card'!$A$5:$A$14,0)),""))</f>
        <v/>
      </c>
      <c r="G15" s="14" t="str">
        <f aca="false">IF(B15="","",IFERROR(ROUND(C15*F15,2),""))</f>
        <v/>
      </c>
    </row>
    <row r="16" customFormat="false" ht="15" hidden="false" customHeight="false" outlineLevel="0" collapsed="false">
      <c r="A16" s="12"/>
      <c r="B16" s="12"/>
      <c r="C16" s="15"/>
      <c r="D16" s="14" t="str">
        <f aca="false">IF(B16="","",IFERROR(INDEX('Rate Card'!$B$5:$B$14,MATCH(B16,'Rate Card'!$A$5:$A$14,0)),""))</f>
        <v/>
      </c>
      <c r="E16" s="14" t="str">
        <f aca="false">IF(B16="","",IFERROR(ROUND(C16*D16,2),""))</f>
        <v/>
      </c>
      <c r="F16" s="14" t="str">
        <f aca="false">IF(B16="","",IFERROR(INDEX('Rate Card'!$C$5:$C$14,MATCH(B16,'Rate Card'!$A$5:$A$14,0)),""))</f>
        <v/>
      </c>
      <c r="G16" s="14" t="str">
        <f aca="false">IF(B16="","",IFERROR(ROUND(C16*F16,2),""))</f>
        <v/>
      </c>
    </row>
    <row r="17" customFormat="false" ht="15" hidden="false" customHeight="false" outlineLevel="0" collapsed="false">
      <c r="A17" s="12"/>
      <c r="B17" s="12"/>
      <c r="C17" s="15"/>
      <c r="D17" s="14" t="str">
        <f aca="false">IF(B17="","",IFERROR(INDEX('Rate Card'!$B$5:$B$14,MATCH(B17,'Rate Card'!$A$5:$A$14,0)),""))</f>
        <v/>
      </c>
      <c r="E17" s="14" t="str">
        <f aca="false">IF(B17="","",IFERROR(ROUND(C17*D17,2),""))</f>
        <v/>
      </c>
      <c r="F17" s="14" t="str">
        <f aca="false">IF(B17="","",IFERROR(INDEX('Rate Card'!$C$5:$C$14,MATCH(B17,'Rate Card'!$A$5:$A$14,0)),""))</f>
        <v/>
      </c>
      <c r="G17" s="14" t="str">
        <f aca="false">IF(B17="","",IFERROR(ROUND(C17*F17,2),""))</f>
        <v/>
      </c>
    </row>
    <row r="18" customFormat="false" ht="15" hidden="false" customHeight="false" outlineLevel="0" collapsed="false">
      <c r="A18" s="12"/>
      <c r="B18" s="12"/>
      <c r="C18" s="15"/>
      <c r="D18" s="14" t="str">
        <f aca="false">IF(B18="","",IFERROR(INDEX('Rate Card'!$B$5:$B$14,MATCH(B18,'Rate Card'!$A$5:$A$14,0)),""))</f>
        <v/>
      </c>
      <c r="E18" s="14" t="str">
        <f aca="false">IF(B18="","",IFERROR(ROUND(C18*D18,2),""))</f>
        <v/>
      </c>
      <c r="F18" s="14" t="str">
        <f aca="false">IF(B18="","",IFERROR(INDEX('Rate Card'!$C$5:$C$14,MATCH(B18,'Rate Card'!$A$5:$A$14,0)),""))</f>
        <v/>
      </c>
      <c r="G18" s="14" t="str">
        <f aca="false">IF(B18="","",IFERROR(ROUND(C18*F18,2),""))</f>
        <v/>
      </c>
    </row>
    <row r="19" customFormat="false" ht="15" hidden="false" customHeight="false" outlineLevel="0" collapsed="false">
      <c r="A19" s="12"/>
      <c r="B19" s="12"/>
      <c r="C19" s="15"/>
      <c r="D19" s="14" t="str">
        <f aca="false">IF(B19="","",IFERROR(INDEX('Rate Card'!$B$5:$B$14,MATCH(B19,'Rate Card'!$A$5:$A$14,0)),""))</f>
        <v/>
      </c>
      <c r="E19" s="14" t="str">
        <f aca="false">IF(B19="","",IFERROR(ROUND(C19*D19,2),""))</f>
        <v/>
      </c>
      <c r="F19" s="14" t="str">
        <f aca="false">IF(B19="","",IFERROR(INDEX('Rate Card'!$C$5:$C$14,MATCH(B19,'Rate Card'!$A$5:$A$14,0)),""))</f>
        <v/>
      </c>
      <c r="G19" s="14" t="str">
        <f aca="false">IF(B19="","",IFERROR(ROUND(C19*F19,2),""))</f>
        <v/>
      </c>
    </row>
    <row r="20" customFormat="false" ht="15" hidden="false" customHeight="false" outlineLevel="0" collapsed="false">
      <c r="A20" s="12"/>
      <c r="B20" s="12"/>
      <c r="C20" s="15"/>
      <c r="D20" s="14" t="str">
        <f aca="false">IF(B20="","",IFERROR(INDEX('Rate Card'!$B$5:$B$14,MATCH(B20,'Rate Card'!$A$5:$A$14,0)),""))</f>
        <v/>
      </c>
      <c r="E20" s="14" t="str">
        <f aca="false">IF(B20="","",IFERROR(ROUND(C20*D20,2),""))</f>
        <v/>
      </c>
      <c r="F20" s="14" t="str">
        <f aca="false">IF(B20="","",IFERROR(INDEX('Rate Card'!$C$5:$C$14,MATCH(B20,'Rate Card'!$A$5:$A$14,0)),""))</f>
        <v/>
      </c>
      <c r="G20" s="14" t="str">
        <f aca="false">IF(B20="","",IFERROR(ROUND(C20*F20,2),""))</f>
        <v/>
      </c>
    </row>
    <row r="21" customFormat="false" ht="15" hidden="false" customHeight="false" outlineLevel="0" collapsed="false">
      <c r="A21" s="12"/>
      <c r="B21" s="12"/>
      <c r="C21" s="15"/>
      <c r="D21" s="14" t="str">
        <f aca="false">IF(B21="","",IFERROR(INDEX('Rate Card'!$B$5:$B$14,MATCH(B21,'Rate Card'!$A$5:$A$14,0)),""))</f>
        <v/>
      </c>
      <c r="E21" s="14" t="str">
        <f aca="false">IF(B21="","",IFERROR(ROUND(C21*D21,2),""))</f>
        <v/>
      </c>
      <c r="F21" s="14" t="str">
        <f aca="false">IF(B21="","",IFERROR(INDEX('Rate Card'!$C$5:$C$14,MATCH(B21,'Rate Card'!$A$5:$A$14,0)),""))</f>
        <v/>
      </c>
      <c r="G21" s="14" t="str">
        <f aca="false">IF(B21="","",IFERROR(ROUND(C21*F21,2),""))</f>
        <v/>
      </c>
    </row>
    <row r="22" customFormat="false" ht="15" hidden="false" customHeight="false" outlineLevel="0" collapsed="false">
      <c r="A22" s="12"/>
      <c r="B22" s="12"/>
      <c r="C22" s="15"/>
      <c r="D22" s="14" t="str">
        <f aca="false">IF(B22="","",IFERROR(INDEX('Rate Card'!$B$5:$B$14,MATCH(B22,'Rate Card'!$A$5:$A$14,0)),""))</f>
        <v/>
      </c>
      <c r="E22" s="14" t="str">
        <f aca="false">IF(B22="","",IFERROR(ROUND(C22*D22,2),""))</f>
        <v/>
      </c>
      <c r="F22" s="14" t="str">
        <f aca="false">IF(B22="","",IFERROR(INDEX('Rate Card'!$C$5:$C$14,MATCH(B22,'Rate Card'!$A$5:$A$14,0)),""))</f>
        <v/>
      </c>
      <c r="G22" s="14" t="str">
        <f aca="false">IF(B22="","",IFERROR(ROUND(C22*F22,2),""))</f>
        <v/>
      </c>
    </row>
    <row r="23" customFormat="false" ht="15" hidden="false" customHeight="false" outlineLevel="0" collapsed="false">
      <c r="A23" s="12"/>
      <c r="B23" s="12"/>
      <c r="C23" s="15"/>
      <c r="D23" s="14" t="str">
        <f aca="false">IF(B23="","",IFERROR(INDEX('Rate Card'!$B$5:$B$14,MATCH(B23,'Rate Card'!$A$5:$A$14,0)),""))</f>
        <v/>
      </c>
      <c r="E23" s="14" t="str">
        <f aca="false">IF(B23="","",IFERROR(ROUND(C23*D23,2),""))</f>
        <v/>
      </c>
      <c r="F23" s="14" t="str">
        <f aca="false">IF(B23="","",IFERROR(INDEX('Rate Card'!$C$5:$C$14,MATCH(B23,'Rate Card'!$A$5:$A$14,0)),""))</f>
        <v/>
      </c>
      <c r="G23" s="14" t="str">
        <f aca="false">IF(B23="","",IFERROR(ROUND(C23*F23,2),""))</f>
        <v/>
      </c>
    </row>
    <row r="24" customFormat="false" ht="15" hidden="false" customHeight="false" outlineLevel="0" collapsed="false">
      <c r="A24" s="12"/>
      <c r="B24" s="12"/>
      <c r="C24" s="15"/>
      <c r="D24" s="14" t="str">
        <f aca="false">IF(B24="","",IFERROR(INDEX('Rate Card'!$B$5:$B$14,MATCH(B24,'Rate Card'!$A$5:$A$14,0)),""))</f>
        <v/>
      </c>
      <c r="E24" s="14" t="str">
        <f aca="false">IF(B24="","",IFERROR(ROUND(C24*D24,2),""))</f>
        <v/>
      </c>
      <c r="F24" s="14" t="str">
        <f aca="false">IF(B24="","",IFERROR(INDEX('Rate Card'!$C$5:$C$14,MATCH(B24,'Rate Card'!$A$5:$A$14,0)),""))</f>
        <v/>
      </c>
      <c r="G24" s="14" t="str">
        <f aca="false">IF(B24="","",IFERROR(ROUND(C24*F24,2),""))</f>
        <v/>
      </c>
    </row>
    <row r="25" customFormat="false" ht="15" hidden="false" customHeight="false" outlineLevel="0" collapsed="false">
      <c r="A25" s="12"/>
      <c r="B25" s="12"/>
      <c r="C25" s="15"/>
      <c r="D25" s="14" t="str">
        <f aca="false">IF(B25="","",IFERROR(INDEX('Rate Card'!$B$5:$B$14,MATCH(B25,'Rate Card'!$A$5:$A$14,0)),""))</f>
        <v/>
      </c>
      <c r="E25" s="14" t="str">
        <f aca="false">IF(B25="","",IFERROR(ROUND(C25*D25,2),""))</f>
        <v/>
      </c>
      <c r="F25" s="14" t="str">
        <f aca="false">IF(B25="","",IFERROR(INDEX('Rate Card'!$C$5:$C$14,MATCH(B25,'Rate Card'!$A$5:$A$14,0)),""))</f>
        <v/>
      </c>
      <c r="G25" s="14" t="str">
        <f aca="false">IF(B25="","",IFERROR(ROUND(C25*F25,2),""))</f>
        <v/>
      </c>
    </row>
    <row r="26" customFormat="false" ht="15" hidden="false" customHeight="false" outlineLevel="0" collapsed="false">
      <c r="A26" s="4" t="s">
        <v>49</v>
      </c>
      <c r="C26" s="16" t="n">
        <f aca="false">SUM(C6:C25)</f>
        <v>92</v>
      </c>
      <c r="E26" s="17" t="n">
        <f aca="false">SUM(E6:E25)</f>
        <v>8720</v>
      </c>
      <c r="G26" s="17" t="n">
        <f aca="false">SUM(G6:G25)</f>
        <v>4440</v>
      </c>
    </row>
    <row r="28" customFormat="false" ht="15" hidden="false" customHeight="false" outlineLevel="0" collapsed="false">
      <c r="A28" s="3" t="s">
        <v>50</v>
      </c>
      <c r="B28" s="9" t="n">
        <v>500</v>
      </c>
    </row>
    <row r="29" customFormat="false" ht="15" hidden="false" customHeight="false" outlineLevel="0" collapsed="false">
      <c r="A29" s="3" t="s">
        <v>51</v>
      </c>
      <c r="B29" s="18" t="n">
        <f aca="false">Settings!$B$3</f>
        <v>15</v>
      </c>
    </row>
    <row r="30" customFormat="false" ht="15" hidden="false" customHeight="false" outlineLevel="0" collapsed="false">
      <c r="A30" s="3" t="s">
        <v>52</v>
      </c>
      <c r="B30" s="18" t="n">
        <f aca="false">Settings!$B$4</f>
        <v>0</v>
      </c>
    </row>
    <row r="32" customFormat="false" ht="15" hidden="false" customHeight="false" outlineLevel="0" collapsed="false">
      <c r="A32" s="3" t="s">
        <v>53</v>
      </c>
      <c r="B32" s="14" t="n">
        <f aca="false">E26</f>
        <v>8720</v>
      </c>
    </row>
    <row r="33" customFormat="false" ht="15" hidden="false" customHeight="false" outlineLevel="0" collapsed="false">
      <c r="A33" s="3" t="s">
        <v>54</v>
      </c>
      <c r="B33" s="14" t="n">
        <f aca="false">B28</f>
        <v>500</v>
      </c>
    </row>
    <row r="34" customFormat="false" ht="15" hidden="false" customHeight="false" outlineLevel="0" collapsed="false">
      <c r="A34" s="3" t="s">
        <v>55</v>
      </c>
      <c r="B34" s="14" t="n">
        <f aca="false">B32+B33</f>
        <v>9220</v>
      </c>
    </row>
    <row r="35" customFormat="false" ht="15" hidden="false" customHeight="false" outlineLevel="0" collapsed="false">
      <c r="A35" s="3" t="s">
        <v>56</v>
      </c>
      <c r="B35" s="14" t="n">
        <f aca="false">ROUND(B34*B29/100,2)</f>
        <v>1383</v>
      </c>
    </row>
    <row r="36" customFormat="false" ht="15" hidden="false" customHeight="false" outlineLevel="0" collapsed="false">
      <c r="A36" s="3" t="s">
        <v>57</v>
      </c>
      <c r="B36" s="14" t="n">
        <f aca="false">B34+B35</f>
        <v>10603</v>
      </c>
    </row>
    <row r="37" customFormat="false" ht="15" hidden="false" customHeight="false" outlineLevel="0" collapsed="false">
      <c r="A37" s="3" t="s">
        <v>58</v>
      </c>
      <c r="B37" s="14" t="n">
        <f aca="false">ROUND(B36*B30/100,2)</f>
        <v>0</v>
      </c>
    </row>
    <row r="38" customFormat="false" ht="15" hidden="false" customHeight="false" outlineLevel="0" collapsed="false">
      <c r="A38" s="4" t="s">
        <v>59</v>
      </c>
      <c r="B38" s="17" t="n">
        <f aca="false">B36-B37</f>
        <v>10603</v>
      </c>
    </row>
    <row r="39" customFormat="false" ht="15" hidden="false" customHeight="false" outlineLevel="0" collapsed="false">
      <c r="A39" s="4" t="s">
        <v>60</v>
      </c>
      <c r="B39" s="17" t="n">
        <f aca="false">IFERROR(ROUND(E26/C26,2),"")</f>
        <v>94.78</v>
      </c>
    </row>
    <row r="40" customFormat="false" ht="15" hidden="false" customHeight="false" outlineLevel="0" collapsed="false">
      <c r="A40" s="3" t="s">
        <v>61</v>
      </c>
      <c r="B40" s="14" t="n">
        <f aca="false">G26+B33</f>
        <v>4940</v>
      </c>
    </row>
    <row r="41" customFormat="false" ht="15" hidden="false" customHeight="false" outlineLevel="0" collapsed="false">
      <c r="A41" s="4" t="s">
        <v>62</v>
      </c>
      <c r="B41" s="17" t="n">
        <f aca="false">B38-B40</f>
        <v>5663</v>
      </c>
    </row>
    <row r="42" customFormat="false" ht="15" hidden="false" customHeight="false" outlineLevel="0" collapsed="false">
      <c r="A42" s="4" t="s">
        <v>63</v>
      </c>
      <c r="B42" s="19" t="n">
        <f aca="false">IFERROR(ROUND(B41/B38*100,2),"")</f>
        <v>53.41</v>
      </c>
    </row>
    <row r="43" customFormat="false" ht="15" hidden="false" customHeight="false" outlineLevel="0" collapsed="false">
      <c r="A43" s="3" t="s">
        <v>64</v>
      </c>
      <c r="B43" s="20" t="n">
        <f aca="false">IFERROR(ROUND(C26/Settings!$B$2,1),"")</f>
        <v>11.5</v>
      </c>
    </row>
  </sheetData>
  <dataValidations count="1">
    <dataValidation allowBlank="true" errorStyle="stop" operator="between" showDropDown="false" showErrorMessage="false" showInputMessage="false" sqref="B6:B25" type="list">
      <formula1>'Rate Card'!$A$5:$A$14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11" min="9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7" min="15" style="0" width="13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26.85" hidden="false" customHeight="false" outlineLevel="0" collapsed="false">
      <c r="A4" s="7" t="s">
        <v>35</v>
      </c>
      <c r="B4" s="7" t="s">
        <v>37</v>
      </c>
      <c r="C4" s="7" t="s">
        <v>67</v>
      </c>
      <c r="D4" s="7" t="s">
        <v>68</v>
      </c>
      <c r="E4" s="7" t="s">
        <v>69</v>
      </c>
      <c r="F4" s="7" t="s">
        <v>70</v>
      </c>
      <c r="G4" s="7" t="s">
        <v>27</v>
      </c>
      <c r="H4" s="7" t="s">
        <v>54</v>
      </c>
      <c r="I4" s="7" t="s">
        <v>71</v>
      </c>
      <c r="J4" s="7" t="s">
        <v>72</v>
      </c>
      <c r="K4" s="7" t="s">
        <v>73</v>
      </c>
      <c r="L4" s="7" t="s">
        <v>28</v>
      </c>
      <c r="M4" s="7" t="s">
        <v>74</v>
      </c>
      <c r="N4" s="7" t="s">
        <v>75</v>
      </c>
      <c r="O4" s="7" t="s">
        <v>76</v>
      </c>
      <c r="P4" s="7" t="s">
        <v>77</v>
      </c>
      <c r="Q4" s="7" t="s">
        <v>78</v>
      </c>
    </row>
    <row r="5" customFormat="false" ht="15" hidden="false" customHeight="false" outlineLevel="0" collapsed="false">
      <c r="A5" s="8" t="s">
        <v>36</v>
      </c>
      <c r="B5" s="12" t="s">
        <v>38</v>
      </c>
      <c r="C5" s="12" t="s">
        <v>79</v>
      </c>
      <c r="D5" s="9" t="n">
        <v>10000</v>
      </c>
      <c r="E5" s="15" t="n">
        <v>92</v>
      </c>
      <c r="F5" s="5" t="n">
        <v>80</v>
      </c>
      <c r="G5" s="13" t="n">
        <v>55</v>
      </c>
      <c r="H5" s="13" t="n">
        <v>500</v>
      </c>
      <c r="I5" s="14" t="n">
        <f aca="false">IF(A5="","",ROUND(F5*G5,2))</f>
        <v>4400</v>
      </c>
      <c r="J5" s="14" t="n">
        <f aca="false">IF(A5="","",I5+H5)</f>
        <v>4900</v>
      </c>
      <c r="K5" s="14" t="n">
        <f aca="false">IF(A5="","",D5-J5)</f>
        <v>5100</v>
      </c>
      <c r="L5" s="10" t="n">
        <f aca="false">IF(A5="","",IFERROR(ROUND(K5/D5*100,2),""))</f>
        <v>51</v>
      </c>
      <c r="M5" s="14" t="n">
        <f aca="false">IF(A5="","",IFERROR(ROUND(D5/F5,2),""))</f>
        <v>125</v>
      </c>
      <c r="N5" s="10" t="n">
        <f aca="false">IF(A5="","",IFERROR(ROUND((F5-E5)/E5*100,2),""))</f>
        <v>-13.04</v>
      </c>
      <c r="O5" s="13" t="n">
        <v>10000</v>
      </c>
      <c r="P5" s="13" t="n">
        <v>10000</v>
      </c>
      <c r="Q5" s="14" t="n">
        <f aca="false">IF(A5="","",O5-P5)</f>
        <v>0</v>
      </c>
    </row>
    <row r="6" customFormat="false" ht="15" hidden="false" customHeight="false" outlineLevel="0" collapsed="false">
      <c r="A6" s="12" t="s">
        <v>80</v>
      </c>
      <c r="B6" s="12" t="s">
        <v>81</v>
      </c>
      <c r="C6" s="12" t="s">
        <v>79</v>
      </c>
      <c r="D6" s="13" t="n">
        <v>6500</v>
      </c>
      <c r="E6" s="15" t="n">
        <v>60</v>
      </c>
      <c r="F6" s="15" t="n">
        <v>74</v>
      </c>
      <c r="G6" s="13" t="n">
        <v>48</v>
      </c>
      <c r="H6" s="13" t="n">
        <v>200</v>
      </c>
      <c r="I6" s="14" t="n">
        <f aca="false">IF(A6="","",ROUND(F6*G6,2))</f>
        <v>3552</v>
      </c>
      <c r="J6" s="14" t="n">
        <f aca="false">IF(A6="","",I6+H6)</f>
        <v>3752</v>
      </c>
      <c r="K6" s="14" t="n">
        <f aca="false">IF(A6="","",D6-J6)</f>
        <v>2748</v>
      </c>
      <c r="L6" s="10" t="n">
        <f aca="false">IF(A6="","",IFERROR(ROUND(K6/D6*100,2),""))</f>
        <v>42.28</v>
      </c>
      <c r="M6" s="14" t="n">
        <f aca="false">IF(A6="","",IFERROR(ROUND(D6/F6,2),""))</f>
        <v>87.84</v>
      </c>
      <c r="N6" s="10" t="n">
        <f aca="false">IF(A6="","",IFERROR(ROUND((F6-E6)/E6*100,2),""))</f>
        <v>23.33</v>
      </c>
      <c r="O6" s="13" t="n">
        <v>6500</v>
      </c>
      <c r="P6" s="13" t="n">
        <v>3250</v>
      </c>
      <c r="Q6" s="14" t="n">
        <f aca="false">IF(A6="","",O6-P6)</f>
        <v>3250</v>
      </c>
    </row>
    <row r="7" customFormat="false" ht="15" hidden="false" customHeight="false" outlineLevel="0" collapsed="false">
      <c r="A7" s="12" t="s">
        <v>82</v>
      </c>
      <c r="B7" s="12" t="s">
        <v>83</v>
      </c>
      <c r="C7" s="12" t="s">
        <v>84</v>
      </c>
      <c r="D7" s="13" t="n">
        <v>4000</v>
      </c>
      <c r="E7" s="15" t="n">
        <v>40</v>
      </c>
      <c r="F7" s="15" t="n">
        <v>22</v>
      </c>
      <c r="G7" s="13" t="n">
        <v>50</v>
      </c>
      <c r="H7" s="13" t="n">
        <v>0</v>
      </c>
      <c r="I7" s="14" t="n">
        <f aca="false">IF(A7="","",ROUND(F7*G7,2))</f>
        <v>1100</v>
      </c>
      <c r="J7" s="14" t="n">
        <f aca="false">IF(A7="","",I7+H7)</f>
        <v>1100</v>
      </c>
      <c r="K7" s="14" t="n">
        <f aca="false">IF(A7="","",D7-J7)</f>
        <v>2900</v>
      </c>
      <c r="L7" s="10" t="n">
        <f aca="false">IF(A7="","",IFERROR(ROUND(K7/D7*100,2),""))</f>
        <v>72.5</v>
      </c>
      <c r="M7" s="14" t="n">
        <f aca="false">IF(A7="","",IFERROR(ROUND(D7/F7,2),""))</f>
        <v>181.82</v>
      </c>
      <c r="N7" s="10" t="n">
        <f aca="false">IF(A7="","",IFERROR(ROUND((F7-E7)/E7*100,2),""))</f>
        <v>-45</v>
      </c>
      <c r="O7" s="13" t="n">
        <v>4000</v>
      </c>
      <c r="P7" s="13" t="n">
        <v>0</v>
      </c>
      <c r="Q7" s="14" t="n">
        <f aca="false">IF(A7="","",O7-P7)</f>
        <v>4000</v>
      </c>
    </row>
    <row r="8" customFormat="false" ht="15" hidden="false" customHeight="false" outlineLevel="0" collapsed="false">
      <c r="A8" s="12"/>
      <c r="B8" s="12"/>
      <c r="C8" s="12"/>
      <c r="D8" s="13"/>
      <c r="E8" s="15"/>
      <c r="F8" s="15"/>
      <c r="G8" s="13"/>
      <c r="H8" s="13"/>
      <c r="I8" s="14" t="str">
        <f aca="false">IF(A8="","",ROUND(F8*G8,2))</f>
        <v/>
      </c>
      <c r="J8" s="14" t="str">
        <f aca="false">IF(A8="","",I8+H8)</f>
        <v/>
      </c>
      <c r="K8" s="14" t="str">
        <f aca="false">IF(A8="","",D8-J8)</f>
        <v/>
      </c>
      <c r="L8" s="10" t="str">
        <f aca="false">IF(A8="","",IFERROR(ROUND(K8/D8*100,2),""))</f>
        <v/>
      </c>
      <c r="M8" s="14" t="str">
        <f aca="false">IF(A8="","",IFERROR(ROUND(D8/F8,2),""))</f>
        <v/>
      </c>
      <c r="N8" s="10" t="str">
        <f aca="false">IF(A8="","",IFERROR(ROUND((F8-E8)/E8*100,2),""))</f>
        <v/>
      </c>
      <c r="O8" s="13"/>
      <c r="P8" s="13"/>
      <c r="Q8" s="14" t="str">
        <f aca="false">IF(A8="","",O8-P8)</f>
        <v/>
      </c>
    </row>
    <row r="9" customFormat="false" ht="15" hidden="false" customHeight="false" outlineLevel="0" collapsed="false">
      <c r="A9" s="12"/>
      <c r="B9" s="12"/>
      <c r="C9" s="12"/>
      <c r="D9" s="13"/>
      <c r="E9" s="15"/>
      <c r="F9" s="15"/>
      <c r="G9" s="13"/>
      <c r="H9" s="13"/>
      <c r="I9" s="14" t="str">
        <f aca="false">IF(A9="","",ROUND(F9*G9,2))</f>
        <v/>
      </c>
      <c r="J9" s="14" t="str">
        <f aca="false">IF(A9="","",I9+H9)</f>
        <v/>
      </c>
      <c r="K9" s="14" t="str">
        <f aca="false">IF(A9="","",D9-J9)</f>
        <v/>
      </c>
      <c r="L9" s="10" t="str">
        <f aca="false">IF(A9="","",IFERROR(ROUND(K9/D9*100,2),""))</f>
        <v/>
      </c>
      <c r="M9" s="14" t="str">
        <f aca="false">IF(A9="","",IFERROR(ROUND(D9/F9,2),""))</f>
        <v/>
      </c>
      <c r="N9" s="10" t="str">
        <f aca="false">IF(A9="","",IFERROR(ROUND((F9-E9)/E9*100,2),""))</f>
        <v/>
      </c>
      <c r="O9" s="13"/>
      <c r="P9" s="13"/>
      <c r="Q9" s="14" t="str">
        <f aca="false">IF(A9="","",O9-P9)</f>
        <v/>
      </c>
    </row>
    <row r="10" customFormat="false" ht="15" hidden="false" customHeight="false" outlineLevel="0" collapsed="false">
      <c r="A10" s="12"/>
      <c r="B10" s="12"/>
      <c r="C10" s="12"/>
      <c r="D10" s="13"/>
      <c r="E10" s="15"/>
      <c r="F10" s="15"/>
      <c r="G10" s="13"/>
      <c r="H10" s="13"/>
      <c r="I10" s="14" t="str">
        <f aca="false">IF(A10="","",ROUND(F10*G10,2))</f>
        <v/>
      </c>
      <c r="J10" s="14" t="str">
        <f aca="false">IF(A10="","",I10+H10)</f>
        <v/>
      </c>
      <c r="K10" s="14" t="str">
        <f aca="false">IF(A10="","",D10-J10)</f>
        <v/>
      </c>
      <c r="L10" s="10" t="str">
        <f aca="false">IF(A10="","",IFERROR(ROUND(K10/D10*100,2),""))</f>
        <v/>
      </c>
      <c r="M10" s="14" t="str">
        <f aca="false">IF(A10="","",IFERROR(ROUND(D10/F10,2),""))</f>
        <v/>
      </c>
      <c r="N10" s="10" t="str">
        <f aca="false">IF(A10="","",IFERROR(ROUND((F10-E10)/E10*100,2),""))</f>
        <v/>
      </c>
      <c r="O10" s="13"/>
      <c r="P10" s="13"/>
      <c r="Q10" s="14" t="str">
        <f aca="false">IF(A10="","",O10-P10)</f>
        <v/>
      </c>
    </row>
    <row r="11" customFormat="false" ht="15" hidden="false" customHeight="false" outlineLevel="0" collapsed="false">
      <c r="A11" s="12"/>
      <c r="B11" s="12"/>
      <c r="C11" s="12"/>
      <c r="D11" s="13"/>
      <c r="E11" s="15"/>
      <c r="F11" s="15"/>
      <c r="G11" s="13"/>
      <c r="H11" s="13"/>
      <c r="I11" s="14" t="str">
        <f aca="false">IF(A11="","",ROUND(F11*G11,2))</f>
        <v/>
      </c>
      <c r="J11" s="14" t="str">
        <f aca="false">IF(A11="","",I11+H11)</f>
        <v/>
      </c>
      <c r="K11" s="14" t="str">
        <f aca="false">IF(A11="","",D11-J11)</f>
        <v/>
      </c>
      <c r="L11" s="10" t="str">
        <f aca="false">IF(A11="","",IFERROR(ROUND(K11/D11*100,2),""))</f>
        <v/>
      </c>
      <c r="M11" s="14" t="str">
        <f aca="false">IF(A11="","",IFERROR(ROUND(D11/F11,2),""))</f>
        <v/>
      </c>
      <c r="N11" s="10" t="str">
        <f aca="false">IF(A11="","",IFERROR(ROUND((F11-E11)/E11*100,2),""))</f>
        <v/>
      </c>
      <c r="O11" s="13"/>
      <c r="P11" s="13"/>
      <c r="Q11" s="14" t="str">
        <f aca="false">IF(A11="","",O11-P11)</f>
        <v/>
      </c>
    </row>
    <row r="12" customFormat="false" ht="15" hidden="false" customHeight="false" outlineLevel="0" collapsed="false">
      <c r="A12" s="12"/>
      <c r="B12" s="12"/>
      <c r="C12" s="12"/>
      <c r="D12" s="13"/>
      <c r="E12" s="15"/>
      <c r="F12" s="15"/>
      <c r="G12" s="13"/>
      <c r="H12" s="13"/>
      <c r="I12" s="14" t="str">
        <f aca="false">IF(A12="","",ROUND(F12*G12,2))</f>
        <v/>
      </c>
      <c r="J12" s="14" t="str">
        <f aca="false">IF(A12="","",I12+H12)</f>
        <v/>
      </c>
      <c r="K12" s="14" t="str">
        <f aca="false">IF(A12="","",D12-J12)</f>
        <v/>
      </c>
      <c r="L12" s="10" t="str">
        <f aca="false">IF(A12="","",IFERROR(ROUND(K12/D12*100,2),""))</f>
        <v/>
      </c>
      <c r="M12" s="14" t="str">
        <f aca="false">IF(A12="","",IFERROR(ROUND(D12/F12,2),""))</f>
        <v/>
      </c>
      <c r="N12" s="10" t="str">
        <f aca="false">IF(A12="","",IFERROR(ROUND((F12-E12)/E12*100,2),""))</f>
        <v/>
      </c>
      <c r="O12" s="13"/>
      <c r="P12" s="13"/>
      <c r="Q12" s="14" t="str">
        <f aca="false">IF(A12="","",O12-P12)</f>
        <v/>
      </c>
    </row>
    <row r="13" customFormat="false" ht="15" hidden="false" customHeight="false" outlineLevel="0" collapsed="false">
      <c r="A13" s="12"/>
      <c r="B13" s="12"/>
      <c r="C13" s="12"/>
      <c r="D13" s="13"/>
      <c r="E13" s="15"/>
      <c r="F13" s="15"/>
      <c r="G13" s="13"/>
      <c r="H13" s="13"/>
      <c r="I13" s="14" t="str">
        <f aca="false">IF(A13="","",ROUND(F13*G13,2))</f>
        <v/>
      </c>
      <c r="J13" s="14" t="str">
        <f aca="false">IF(A13="","",I13+H13)</f>
        <v/>
      </c>
      <c r="K13" s="14" t="str">
        <f aca="false">IF(A13="","",D13-J13)</f>
        <v/>
      </c>
      <c r="L13" s="10" t="str">
        <f aca="false">IF(A13="","",IFERROR(ROUND(K13/D13*100,2),""))</f>
        <v/>
      </c>
      <c r="M13" s="14" t="str">
        <f aca="false">IF(A13="","",IFERROR(ROUND(D13/F13,2),""))</f>
        <v/>
      </c>
      <c r="N13" s="10" t="str">
        <f aca="false">IF(A13="","",IFERROR(ROUND((F13-E13)/E13*100,2),""))</f>
        <v/>
      </c>
      <c r="O13" s="13"/>
      <c r="P13" s="13"/>
      <c r="Q13" s="14" t="str">
        <f aca="false">IF(A13="","",O13-P13)</f>
        <v/>
      </c>
    </row>
    <row r="14" customFormat="false" ht="15" hidden="false" customHeight="false" outlineLevel="0" collapsed="false">
      <c r="A14" s="12"/>
      <c r="B14" s="12"/>
      <c r="C14" s="12"/>
      <c r="D14" s="13"/>
      <c r="E14" s="15"/>
      <c r="F14" s="15"/>
      <c r="G14" s="13"/>
      <c r="H14" s="13"/>
      <c r="I14" s="14" t="str">
        <f aca="false">IF(A14="","",ROUND(F14*G14,2))</f>
        <v/>
      </c>
      <c r="J14" s="14" t="str">
        <f aca="false">IF(A14="","",I14+H14)</f>
        <v/>
      </c>
      <c r="K14" s="14" t="str">
        <f aca="false">IF(A14="","",D14-J14)</f>
        <v/>
      </c>
      <c r="L14" s="10" t="str">
        <f aca="false">IF(A14="","",IFERROR(ROUND(K14/D14*100,2),""))</f>
        <v/>
      </c>
      <c r="M14" s="14" t="str">
        <f aca="false">IF(A14="","",IFERROR(ROUND(D14/F14,2),""))</f>
        <v/>
      </c>
      <c r="N14" s="10" t="str">
        <f aca="false">IF(A14="","",IFERROR(ROUND((F14-E14)/E14*100,2),""))</f>
        <v/>
      </c>
      <c r="O14" s="13"/>
      <c r="P14" s="13"/>
      <c r="Q14" s="14" t="str">
        <f aca="false">IF(A14="","",O14-P14)</f>
        <v/>
      </c>
    </row>
    <row r="15" customFormat="false" ht="15" hidden="false" customHeight="false" outlineLevel="0" collapsed="false">
      <c r="A15" s="12"/>
      <c r="B15" s="12"/>
      <c r="C15" s="12"/>
      <c r="D15" s="13"/>
      <c r="E15" s="15"/>
      <c r="F15" s="15"/>
      <c r="G15" s="13"/>
      <c r="H15" s="13"/>
      <c r="I15" s="14" t="str">
        <f aca="false">IF(A15="","",ROUND(F15*G15,2))</f>
        <v/>
      </c>
      <c r="J15" s="14" t="str">
        <f aca="false">IF(A15="","",I15+H15)</f>
        <v/>
      </c>
      <c r="K15" s="14" t="str">
        <f aca="false">IF(A15="","",D15-J15)</f>
        <v/>
      </c>
      <c r="L15" s="10" t="str">
        <f aca="false">IF(A15="","",IFERROR(ROUND(K15/D15*100,2),""))</f>
        <v/>
      </c>
      <c r="M15" s="14" t="str">
        <f aca="false">IF(A15="","",IFERROR(ROUND(D15/F15,2),""))</f>
        <v/>
      </c>
      <c r="N15" s="10" t="str">
        <f aca="false">IF(A15="","",IFERROR(ROUND((F15-E15)/E15*100,2),""))</f>
        <v/>
      </c>
      <c r="O15" s="13"/>
      <c r="P15" s="13"/>
      <c r="Q15" s="14" t="str">
        <f aca="false">IF(A15="","",O15-P15)</f>
        <v/>
      </c>
    </row>
    <row r="16" customFormat="false" ht="15" hidden="false" customHeight="false" outlineLevel="0" collapsed="false">
      <c r="A16" s="12"/>
      <c r="B16" s="12"/>
      <c r="C16" s="12"/>
      <c r="D16" s="13"/>
      <c r="E16" s="15"/>
      <c r="F16" s="15"/>
      <c r="G16" s="13"/>
      <c r="H16" s="13"/>
      <c r="I16" s="14" t="str">
        <f aca="false">IF(A16="","",ROUND(F16*G16,2))</f>
        <v/>
      </c>
      <c r="J16" s="14" t="str">
        <f aca="false">IF(A16="","",I16+H16)</f>
        <v/>
      </c>
      <c r="K16" s="14" t="str">
        <f aca="false">IF(A16="","",D16-J16)</f>
        <v/>
      </c>
      <c r="L16" s="10" t="str">
        <f aca="false">IF(A16="","",IFERROR(ROUND(K16/D16*100,2),""))</f>
        <v/>
      </c>
      <c r="M16" s="14" t="str">
        <f aca="false">IF(A16="","",IFERROR(ROUND(D16/F16,2),""))</f>
        <v/>
      </c>
      <c r="N16" s="10" t="str">
        <f aca="false">IF(A16="","",IFERROR(ROUND((F16-E16)/E16*100,2),""))</f>
        <v/>
      </c>
      <c r="O16" s="13"/>
      <c r="P16" s="13"/>
      <c r="Q16" s="14" t="str">
        <f aca="false">IF(A16="","",O16-P16)</f>
        <v/>
      </c>
    </row>
    <row r="17" customFormat="false" ht="15" hidden="false" customHeight="false" outlineLevel="0" collapsed="false">
      <c r="A17" s="12"/>
      <c r="B17" s="12"/>
      <c r="C17" s="12"/>
      <c r="D17" s="13"/>
      <c r="E17" s="15"/>
      <c r="F17" s="15"/>
      <c r="G17" s="13"/>
      <c r="H17" s="13"/>
      <c r="I17" s="14" t="str">
        <f aca="false">IF(A17="","",ROUND(F17*G17,2))</f>
        <v/>
      </c>
      <c r="J17" s="14" t="str">
        <f aca="false">IF(A17="","",I17+H17)</f>
        <v/>
      </c>
      <c r="K17" s="14" t="str">
        <f aca="false">IF(A17="","",D17-J17)</f>
        <v/>
      </c>
      <c r="L17" s="10" t="str">
        <f aca="false">IF(A17="","",IFERROR(ROUND(K17/D17*100,2),""))</f>
        <v/>
      </c>
      <c r="M17" s="14" t="str">
        <f aca="false">IF(A17="","",IFERROR(ROUND(D17/F17,2),""))</f>
        <v/>
      </c>
      <c r="N17" s="10" t="str">
        <f aca="false">IF(A17="","",IFERROR(ROUND((F17-E17)/E17*100,2),""))</f>
        <v/>
      </c>
      <c r="O17" s="13"/>
      <c r="P17" s="13"/>
      <c r="Q17" s="14" t="str">
        <f aca="false">IF(A17="","",O17-P17)</f>
        <v/>
      </c>
    </row>
    <row r="18" customFormat="false" ht="15" hidden="false" customHeight="false" outlineLevel="0" collapsed="false">
      <c r="A18" s="12"/>
      <c r="B18" s="12"/>
      <c r="C18" s="12"/>
      <c r="D18" s="13"/>
      <c r="E18" s="15"/>
      <c r="F18" s="15"/>
      <c r="G18" s="13"/>
      <c r="H18" s="13"/>
      <c r="I18" s="14" t="str">
        <f aca="false">IF(A18="","",ROUND(F18*G18,2))</f>
        <v/>
      </c>
      <c r="J18" s="14" t="str">
        <f aca="false">IF(A18="","",I18+H18)</f>
        <v/>
      </c>
      <c r="K18" s="14" t="str">
        <f aca="false">IF(A18="","",D18-J18)</f>
        <v/>
      </c>
      <c r="L18" s="10" t="str">
        <f aca="false">IF(A18="","",IFERROR(ROUND(K18/D18*100,2),""))</f>
        <v/>
      </c>
      <c r="M18" s="14" t="str">
        <f aca="false">IF(A18="","",IFERROR(ROUND(D18/F18,2),""))</f>
        <v/>
      </c>
      <c r="N18" s="10" t="str">
        <f aca="false">IF(A18="","",IFERROR(ROUND((F18-E18)/E18*100,2),""))</f>
        <v/>
      </c>
      <c r="O18" s="13"/>
      <c r="P18" s="13"/>
      <c r="Q18" s="14" t="str">
        <f aca="false">IF(A18="","",O18-P18)</f>
        <v/>
      </c>
    </row>
    <row r="19" customFormat="false" ht="15" hidden="false" customHeight="false" outlineLevel="0" collapsed="false">
      <c r="A19" s="12"/>
      <c r="B19" s="12"/>
      <c r="C19" s="12"/>
      <c r="D19" s="13"/>
      <c r="E19" s="15"/>
      <c r="F19" s="15"/>
      <c r="G19" s="13"/>
      <c r="H19" s="13"/>
      <c r="I19" s="14" t="str">
        <f aca="false">IF(A19="","",ROUND(F19*G19,2))</f>
        <v/>
      </c>
      <c r="J19" s="14" t="str">
        <f aca="false">IF(A19="","",I19+H19)</f>
        <v/>
      </c>
      <c r="K19" s="14" t="str">
        <f aca="false">IF(A19="","",D19-J19)</f>
        <v/>
      </c>
      <c r="L19" s="10" t="str">
        <f aca="false">IF(A19="","",IFERROR(ROUND(K19/D19*100,2),""))</f>
        <v/>
      </c>
      <c r="M19" s="14" t="str">
        <f aca="false">IF(A19="","",IFERROR(ROUND(D19/F19,2),""))</f>
        <v/>
      </c>
      <c r="N19" s="10" t="str">
        <f aca="false">IF(A19="","",IFERROR(ROUND((F19-E19)/E19*100,2),""))</f>
        <v/>
      </c>
      <c r="O19" s="13"/>
      <c r="P19" s="13"/>
      <c r="Q19" s="14" t="str">
        <f aca="false">IF(A19="","",O19-P19)</f>
        <v/>
      </c>
    </row>
    <row r="20" customFormat="false" ht="15" hidden="false" customHeight="false" outlineLevel="0" collapsed="false">
      <c r="A20" s="12"/>
      <c r="B20" s="12"/>
      <c r="C20" s="12"/>
      <c r="D20" s="13"/>
      <c r="E20" s="15"/>
      <c r="F20" s="15"/>
      <c r="G20" s="13"/>
      <c r="H20" s="13"/>
      <c r="I20" s="14" t="str">
        <f aca="false">IF(A20="","",ROUND(F20*G20,2))</f>
        <v/>
      </c>
      <c r="J20" s="14" t="str">
        <f aca="false">IF(A20="","",I20+H20)</f>
        <v/>
      </c>
      <c r="K20" s="14" t="str">
        <f aca="false">IF(A20="","",D20-J20)</f>
        <v/>
      </c>
      <c r="L20" s="10" t="str">
        <f aca="false">IF(A20="","",IFERROR(ROUND(K20/D20*100,2),""))</f>
        <v/>
      </c>
      <c r="M20" s="14" t="str">
        <f aca="false">IF(A20="","",IFERROR(ROUND(D20/F20,2),""))</f>
        <v/>
      </c>
      <c r="N20" s="10" t="str">
        <f aca="false">IF(A20="","",IFERROR(ROUND((F20-E20)/E20*100,2),""))</f>
        <v/>
      </c>
      <c r="O20" s="13"/>
      <c r="P20" s="13"/>
      <c r="Q20" s="14" t="str">
        <f aca="false">IF(A20="","",O20-P20)</f>
        <v/>
      </c>
    </row>
    <row r="21" customFormat="false" ht="15" hidden="false" customHeight="false" outlineLevel="0" collapsed="false">
      <c r="A21" s="12"/>
      <c r="B21" s="12"/>
      <c r="C21" s="12"/>
      <c r="D21" s="13"/>
      <c r="E21" s="15"/>
      <c r="F21" s="15"/>
      <c r="G21" s="13"/>
      <c r="H21" s="13"/>
      <c r="I21" s="14" t="str">
        <f aca="false">IF(A21="","",ROUND(F21*G21,2))</f>
        <v/>
      </c>
      <c r="J21" s="14" t="str">
        <f aca="false">IF(A21="","",I21+H21)</f>
        <v/>
      </c>
      <c r="K21" s="14" t="str">
        <f aca="false">IF(A21="","",D21-J21)</f>
        <v/>
      </c>
      <c r="L21" s="10" t="str">
        <f aca="false">IF(A21="","",IFERROR(ROUND(K21/D21*100,2),""))</f>
        <v/>
      </c>
      <c r="M21" s="14" t="str">
        <f aca="false">IF(A21="","",IFERROR(ROUND(D21/F21,2),""))</f>
        <v/>
      </c>
      <c r="N21" s="10" t="str">
        <f aca="false">IF(A21="","",IFERROR(ROUND((F21-E21)/E21*100,2),""))</f>
        <v/>
      </c>
      <c r="O21" s="13"/>
      <c r="P21" s="13"/>
      <c r="Q21" s="14" t="str">
        <f aca="false">IF(A21="","",O21-P21)</f>
        <v/>
      </c>
    </row>
    <row r="22" customFormat="false" ht="15" hidden="false" customHeight="false" outlineLevel="0" collapsed="false">
      <c r="A22" s="12"/>
      <c r="B22" s="12"/>
      <c r="C22" s="12"/>
      <c r="D22" s="13"/>
      <c r="E22" s="15"/>
      <c r="F22" s="15"/>
      <c r="G22" s="13"/>
      <c r="H22" s="13"/>
      <c r="I22" s="14" t="str">
        <f aca="false">IF(A22="","",ROUND(F22*G22,2))</f>
        <v/>
      </c>
      <c r="J22" s="14" t="str">
        <f aca="false">IF(A22="","",I22+H22)</f>
        <v/>
      </c>
      <c r="K22" s="14" t="str">
        <f aca="false">IF(A22="","",D22-J22)</f>
        <v/>
      </c>
      <c r="L22" s="10" t="str">
        <f aca="false">IF(A22="","",IFERROR(ROUND(K22/D22*100,2),""))</f>
        <v/>
      </c>
      <c r="M22" s="14" t="str">
        <f aca="false">IF(A22="","",IFERROR(ROUND(D22/F22,2),""))</f>
        <v/>
      </c>
      <c r="N22" s="10" t="str">
        <f aca="false">IF(A22="","",IFERROR(ROUND((F22-E22)/E22*100,2),""))</f>
        <v/>
      </c>
      <c r="O22" s="13"/>
      <c r="P22" s="13"/>
      <c r="Q22" s="14" t="str">
        <f aca="false">IF(A22="","",O22-P22)</f>
        <v/>
      </c>
    </row>
    <row r="23" customFormat="false" ht="15" hidden="false" customHeight="false" outlineLevel="0" collapsed="false">
      <c r="A23" s="12"/>
      <c r="B23" s="12"/>
      <c r="C23" s="12"/>
      <c r="D23" s="13"/>
      <c r="E23" s="15"/>
      <c r="F23" s="15"/>
      <c r="G23" s="13"/>
      <c r="H23" s="13"/>
      <c r="I23" s="14" t="str">
        <f aca="false">IF(A23="","",ROUND(F23*G23,2))</f>
        <v/>
      </c>
      <c r="J23" s="14" t="str">
        <f aca="false">IF(A23="","",I23+H23)</f>
        <v/>
      </c>
      <c r="K23" s="14" t="str">
        <f aca="false">IF(A23="","",D23-J23)</f>
        <v/>
      </c>
      <c r="L23" s="10" t="str">
        <f aca="false">IF(A23="","",IFERROR(ROUND(K23/D23*100,2),""))</f>
        <v/>
      </c>
      <c r="M23" s="14" t="str">
        <f aca="false">IF(A23="","",IFERROR(ROUND(D23/F23,2),""))</f>
        <v/>
      </c>
      <c r="N23" s="10" t="str">
        <f aca="false">IF(A23="","",IFERROR(ROUND((F23-E23)/E23*100,2),""))</f>
        <v/>
      </c>
      <c r="O23" s="13"/>
      <c r="P23" s="13"/>
      <c r="Q23" s="14" t="str">
        <f aca="false">IF(A23="","",O23-P23)</f>
        <v/>
      </c>
    </row>
    <row r="24" customFormat="false" ht="15" hidden="false" customHeight="false" outlineLevel="0" collapsed="false">
      <c r="A24" s="12"/>
      <c r="B24" s="12"/>
      <c r="C24" s="12"/>
      <c r="D24" s="13"/>
      <c r="E24" s="15"/>
      <c r="F24" s="15"/>
      <c r="G24" s="13"/>
      <c r="H24" s="13"/>
      <c r="I24" s="14" t="str">
        <f aca="false">IF(A24="","",ROUND(F24*G24,2))</f>
        <v/>
      </c>
      <c r="J24" s="14" t="str">
        <f aca="false">IF(A24="","",I24+H24)</f>
        <v/>
      </c>
      <c r="K24" s="14" t="str">
        <f aca="false">IF(A24="","",D24-J24)</f>
        <v/>
      </c>
      <c r="L24" s="10" t="str">
        <f aca="false">IF(A24="","",IFERROR(ROUND(K24/D24*100,2),""))</f>
        <v/>
      </c>
      <c r="M24" s="14" t="str">
        <f aca="false">IF(A24="","",IFERROR(ROUND(D24/F24,2),""))</f>
        <v/>
      </c>
      <c r="N24" s="10" t="str">
        <f aca="false">IF(A24="","",IFERROR(ROUND((F24-E24)/E24*100,2),""))</f>
        <v/>
      </c>
      <c r="O24" s="13"/>
      <c r="P24" s="13"/>
      <c r="Q24" s="14" t="str">
        <f aca="false">IF(A24="","",O24-P24)</f>
        <v/>
      </c>
    </row>
    <row r="25" customFormat="false" ht="15" hidden="false" customHeight="false" outlineLevel="0" collapsed="false">
      <c r="A25" s="12"/>
      <c r="B25" s="12"/>
      <c r="C25" s="12"/>
      <c r="D25" s="13"/>
      <c r="E25" s="15"/>
      <c r="F25" s="15"/>
      <c r="G25" s="13"/>
      <c r="H25" s="13"/>
      <c r="I25" s="14" t="str">
        <f aca="false">IF(A25="","",ROUND(F25*G25,2))</f>
        <v/>
      </c>
      <c r="J25" s="14" t="str">
        <f aca="false">IF(A25="","",I25+H25)</f>
        <v/>
      </c>
      <c r="K25" s="14" t="str">
        <f aca="false">IF(A25="","",D25-J25)</f>
        <v/>
      </c>
      <c r="L25" s="10" t="str">
        <f aca="false">IF(A25="","",IFERROR(ROUND(K25/D25*100,2),""))</f>
        <v/>
      </c>
      <c r="M25" s="14" t="str">
        <f aca="false">IF(A25="","",IFERROR(ROUND(D25/F25,2),""))</f>
        <v/>
      </c>
      <c r="N25" s="10" t="str">
        <f aca="false">IF(A25="","",IFERROR(ROUND((F25-E25)/E25*100,2),""))</f>
        <v/>
      </c>
      <c r="O25" s="13"/>
      <c r="P25" s="13"/>
      <c r="Q25" s="14" t="str">
        <f aca="false">IF(A25="","",O25-P25)</f>
        <v/>
      </c>
    </row>
    <row r="26" customFormat="false" ht="15" hidden="false" customHeight="false" outlineLevel="0" collapsed="false">
      <c r="A26" s="12"/>
      <c r="B26" s="12"/>
      <c r="C26" s="12"/>
      <c r="D26" s="13"/>
      <c r="E26" s="15"/>
      <c r="F26" s="15"/>
      <c r="G26" s="13"/>
      <c r="H26" s="13"/>
      <c r="I26" s="14" t="str">
        <f aca="false">IF(A26="","",ROUND(F26*G26,2))</f>
        <v/>
      </c>
      <c r="J26" s="14" t="str">
        <f aca="false">IF(A26="","",I26+H26)</f>
        <v/>
      </c>
      <c r="K26" s="14" t="str">
        <f aca="false">IF(A26="","",D26-J26)</f>
        <v/>
      </c>
      <c r="L26" s="10" t="str">
        <f aca="false">IF(A26="","",IFERROR(ROUND(K26/D26*100,2),""))</f>
        <v/>
      </c>
      <c r="M26" s="14" t="str">
        <f aca="false">IF(A26="","",IFERROR(ROUND(D26/F26,2),""))</f>
        <v/>
      </c>
      <c r="N26" s="10" t="str">
        <f aca="false">IF(A26="","",IFERROR(ROUND((F26-E26)/E26*100,2),""))</f>
        <v/>
      </c>
      <c r="O26" s="13"/>
      <c r="P26" s="13"/>
      <c r="Q26" s="14" t="str">
        <f aca="false">IF(A26="","",O26-P26)</f>
        <v/>
      </c>
    </row>
    <row r="27" customFormat="false" ht="15" hidden="false" customHeight="false" outlineLevel="0" collapsed="false">
      <c r="A27" s="12"/>
      <c r="B27" s="12"/>
      <c r="C27" s="12"/>
      <c r="D27" s="13"/>
      <c r="E27" s="15"/>
      <c r="F27" s="15"/>
      <c r="G27" s="13"/>
      <c r="H27" s="13"/>
      <c r="I27" s="14" t="str">
        <f aca="false">IF(A27="","",ROUND(F27*G27,2))</f>
        <v/>
      </c>
      <c r="J27" s="14" t="str">
        <f aca="false">IF(A27="","",I27+H27)</f>
        <v/>
      </c>
      <c r="K27" s="14" t="str">
        <f aca="false">IF(A27="","",D27-J27)</f>
        <v/>
      </c>
      <c r="L27" s="10" t="str">
        <f aca="false">IF(A27="","",IFERROR(ROUND(K27/D27*100,2),""))</f>
        <v/>
      </c>
      <c r="M27" s="14" t="str">
        <f aca="false">IF(A27="","",IFERROR(ROUND(D27/F27,2),""))</f>
        <v/>
      </c>
      <c r="N27" s="10" t="str">
        <f aca="false">IF(A27="","",IFERROR(ROUND((F27-E27)/E27*100,2),""))</f>
        <v/>
      </c>
      <c r="O27" s="13"/>
      <c r="P27" s="13"/>
      <c r="Q27" s="14" t="str">
        <f aca="false">IF(A27="","",O27-P27)</f>
        <v/>
      </c>
    </row>
    <row r="28" customFormat="false" ht="15" hidden="false" customHeight="false" outlineLevel="0" collapsed="false">
      <c r="A28" s="12"/>
      <c r="B28" s="12"/>
      <c r="C28" s="12"/>
      <c r="D28" s="13"/>
      <c r="E28" s="15"/>
      <c r="F28" s="15"/>
      <c r="G28" s="13"/>
      <c r="H28" s="13"/>
      <c r="I28" s="14" t="str">
        <f aca="false">IF(A28="","",ROUND(F28*G28,2))</f>
        <v/>
      </c>
      <c r="J28" s="14" t="str">
        <f aca="false">IF(A28="","",I28+H28)</f>
        <v/>
      </c>
      <c r="K28" s="14" t="str">
        <f aca="false">IF(A28="","",D28-J28)</f>
        <v/>
      </c>
      <c r="L28" s="10" t="str">
        <f aca="false">IF(A28="","",IFERROR(ROUND(K28/D28*100,2),""))</f>
        <v/>
      </c>
      <c r="M28" s="14" t="str">
        <f aca="false">IF(A28="","",IFERROR(ROUND(D28/F28,2),""))</f>
        <v/>
      </c>
      <c r="N28" s="10" t="str">
        <f aca="false">IF(A28="","",IFERROR(ROUND((F28-E28)/E28*100,2),""))</f>
        <v/>
      </c>
      <c r="O28" s="13"/>
      <c r="P28" s="13"/>
      <c r="Q28" s="14" t="str">
        <f aca="false">IF(A28="","",O28-P28)</f>
        <v/>
      </c>
    </row>
    <row r="29" customFormat="false" ht="15" hidden="false" customHeight="false" outlineLevel="0" collapsed="false">
      <c r="A29" s="12"/>
      <c r="B29" s="12"/>
      <c r="C29" s="12"/>
      <c r="D29" s="13"/>
      <c r="E29" s="15"/>
      <c r="F29" s="15"/>
      <c r="G29" s="13"/>
      <c r="H29" s="13"/>
      <c r="I29" s="14" t="str">
        <f aca="false">IF(A29="","",ROUND(F29*G29,2))</f>
        <v/>
      </c>
      <c r="J29" s="14" t="str">
        <f aca="false">IF(A29="","",I29+H29)</f>
        <v/>
      </c>
      <c r="K29" s="14" t="str">
        <f aca="false">IF(A29="","",D29-J29)</f>
        <v/>
      </c>
      <c r="L29" s="10" t="str">
        <f aca="false">IF(A29="","",IFERROR(ROUND(K29/D29*100,2),""))</f>
        <v/>
      </c>
      <c r="M29" s="14" t="str">
        <f aca="false">IF(A29="","",IFERROR(ROUND(D29/F29,2),""))</f>
        <v/>
      </c>
      <c r="N29" s="10" t="str">
        <f aca="false">IF(A29="","",IFERROR(ROUND((F29-E29)/E29*100,2),""))</f>
        <v/>
      </c>
      <c r="O29" s="13"/>
      <c r="P29" s="13"/>
      <c r="Q29" s="14" t="str">
        <f aca="false">IF(A29="","",O29-P29)</f>
        <v/>
      </c>
    </row>
    <row r="30" customFormat="false" ht="15" hidden="false" customHeight="false" outlineLevel="0" collapsed="false">
      <c r="A30" s="12"/>
      <c r="B30" s="12"/>
      <c r="C30" s="12"/>
      <c r="D30" s="13"/>
      <c r="E30" s="15"/>
      <c r="F30" s="15"/>
      <c r="G30" s="13"/>
      <c r="H30" s="13"/>
      <c r="I30" s="14" t="str">
        <f aca="false">IF(A30="","",ROUND(F30*G30,2))</f>
        <v/>
      </c>
      <c r="J30" s="14" t="str">
        <f aca="false">IF(A30="","",I30+H30)</f>
        <v/>
      </c>
      <c r="K30" s="14" t="str">
        <f aca="false">IF(A30="","",D30-J30)</f>
        <v/>
      </c>
      <c r="L30" s="10" t="str">
        <f aca="false">IF(A30="","",IFERROR(ROUND(K30/D30*100,2),""))</f>
        <v/>
      </c>
      <c r="M30" s="14" t="str">
        <f aca="false">IF(A30="","",IFERROR(ROUND(D30/F30,2),""))</f>
        <v/>
      </c>
      <c r="N30" s="10" t="str">
        <f aca="false">IF(A30="","",IFERROR(ROUND((F30-E30)/E30*100,2),""))</f>
        <v/>
      </c>
      <c r="O30" s="13"/>
      <c r="P30" s="13"/>
      <c r="Q30" s="14" t="str">
        <f aca="false">IF(A30="","",O30-P30)</f>
        <v/>
      </c>
    </row>
    <row r="31" customFormat="false" ht="15" hidden="false" customHeight="false" outlineLevel="0" collapsed="false">
      <c r="A31" s="12"/>
      <c r="B31" s="12"/>
      <c r="C31" s="12"/>
      <c r="D31" s="13"/>
      <c r="E31" s="15"/>
      <c r="F31" s="15"/>
      <c r="G31" s="13"/>
      <c r="H31" s="13"/>
      <c r="I31" s="14" t="str">
        <f aca="false">IF(A31="","",ROUND(F31*G31,2))</f>
        <v/>
      </c>
      <c r="J31" s="14" t="str">
        <f aca="false">IF(A31="","",I31+H31)</f>
        <v/>
      </c>
      <c r="K31" s="14" t="str">
        <f aca="false">IF(A31="","",D31-J31)</f>
        <v/>
      </c>
      <c r="L31" s="10" t="str">
        <f aca="false">IF(A31="","",IFERROR(ROUND(K31/D31*100,2),""))</f>
        <v/>
      </c>
      <c r="M31" s="14" t="str">
        <f aca="false">IF(A31="","",IFERROR(ROUND(D31/F31,2),""))</f>
        <v/>
      </c>
      <c r="N31" s="10" t="str">
        <f aca="false">IF(A31="","",IFERROR(ROUND((F31-E31)/E31*100,2),""))</f>
        <v/>
      </c>
      <c r="O31" s="13"/>
      <c r="P31" s="13"/>
      <c r="Q31" s="14" t="str">
        <f aca="false">IF(A31="","",O31-P31)</f>
        <v/>
      </c>
    </row>
    <row r="32" customFormat="false" ht="15" hidden="false" customHeight="false" outlineLevel="0" collapsed="false">
      <c r="A32" s="12"/>
      <c r="B32" s="12"/>
      <c r="C32" s="12"/>
      <c r="D32" s="13"/>
      <c r="E32" s="15"/>
      <c r="F32" s="15"/>
      <c r="G32" s="13"/>
      <c r="H32" s="13"/>
      <c r="I32" s="14" t="str">
        <f aca="false">IF(A32="","",ROUND(F32*G32,2))</f>
        <v/>
      </c>
      <c r="J32" s="14" t="str">
        <f aca="false">IF(A32="","",I32+H32)</f>
        <v/>
      </c>
      <c r="K32" s="14" t="str">
        <f aca="false">IF(A32="","",D32-J32)</f>
        <v/>
      </c>
      <c r="L32" s="10" t="str">
        <f aca="false">IF(A32="","",IFERROR(ROUND(K32/D32*100,2),""))</f>
        <v/>
      </c>
      <c r="M32" s="14" t="str">
        <f aca="false">IF(A32="","",IFERROR(ROUND(D32/F32,2),""))</f>
        <v/>
      </c>
      <c r="N32" s="10" t="str">
        <f aca="false">IF(A32="","",IFERROR(ROUND((F32-E32)/E32*100,2),""))</f>
        <v/>
      </c>
      <c r="O32" s="13"/>
      <c r="P32" s="13"/>
      <c r="Q32" s="14" t="str">
        <f aca="false">IF(A32="","",O32-P32)</f>
        <v/>
      </c>
    </row>
    <row r="33" customFormat="false" ht="15" hidden="false" customHeight="false" outlineLevel="0" collapsed="false">
      <c r="A33" s="12"/>
      <c r="B33" s="12"/>
      <c r="C33" s="12"/>
      <c r="D33" s="13"/>
      <c r="E33" s="15"/>
      <c r="F33" s="15"/>
      <c r="G33" s="13"/>
      <c r="H33" s="13"/>
      <c r="I33" s="14" t="str">
        <f aca="false">IF(A33="","",ROUND(F33*G33,2))</f>
        <v/>
      </c>
      <c r="J33" s="14" t="str">
        <f aca="false">IF(A33="","",I33+H33)</f>
        <v/>
      </c>
      <c r="K33" s="14" t="str">
        <f aca="false">IF(A33="","",D33-J33)</f>
        <v/>
      </c>
      <c r="L33" s="10" t="str">
        <f aca="false">IF(A33="","",IFERROR(ROUND(K33/D33*100,2),""))</f>
        <v/>
      </c>
      <c r="M33" s="14" t="str">
        <f aca="false">IF(A33="","",IFERROR(ROUND(D33/F33,2),""))</f>
        <v/>
      </c>
      <c r="N33" s="10" t="str">
        <f aca="false">IF(A33="","",IFERROR(ROUND((F33-E33)/E33*100,2),""))</f>
        <v/>
      </c>
      <c r="O33" s="13"/>
      <c r="P33" s="13"/>
      <c r="Q33" s="14" t="str">
        <f aca="false">IF(A33="","",O33-P33)</f>
        <v/>
      </c>
    </row>
    <row r="34" customFormat="false" ht="15" hidden="false" customHeight="false" outlineLevel="0" collapsed="false">
      <c r="A34" s="12"/>
      <c r="B34" s="12"/>
      <c r="C34" s="12"/>
      <c r="D34" s="13"/>
      <c r="E34" s="15"/>
      <c r="F34" s="15"/>
      <c r="G34" s="13"/>
      <c r="H34" s="13"/>
      <c r="I34" s="14" t="str">
        <f aca="false">IF(A34="","",ROUND(F34*G34,2))</f>
        <v/>
      </c>
      <c r="J34" s="14" t="str">
        <f aca="false">IF(A34="","",I34+H34)</f>
        <v/>
      </c>
      <c r="K34" s="14" t="str">
        <f aca="false">IF(A34="","",D34-J34)</f>
        <v/>
      </c>
      <c r="L34" s="10" t="str">
        <f aca="false">IF(A34="","",IFERROR(ROUND(K34/D34*100,2),""))</f>
        <v/>
      </c>
      <c r="M34" s="14" t="str">
        <f aca="false">IF(A34="","",IFERROR(ROUND(D34/F34,2),""))</f>
        <v/>
      </c>
      <c r="N34" s="10" t="str">
        <f aca="false">IF(A34="","",IFERROR(ROUND((F34-E34)/E34*100,2),""))</f>
        <v/>
      </c>
      <c r="O34" s="13"/>
      <c r="P34" s="13"/>
      <c r="Q34" s="14" t="str">
        <f aca="false">IF(A34="","",O34-P34)</f>
        <v/>
      </c>
    </row>
    <row r="35" customFormat="false" ht="15" hidden="false" customHeight="false" outlineLevel="0" collapsed="false">
      <c r="A35" s="12"/>
      <c r="B35" s="12"/>
      <c r="C35" s="12"/>
      <c r="D35" s="13"/>
      <c r="E35" s="15"/>
      <c r="F35" s="15"/>
      <c r="G35" s="13"/>
      <c r="H35" s="13"/>
      <c r="I35" s="14" t="str">
        <f aca="false">IF(A35="","",ROUND(F35*G35,2))</f>
        <v/>
      </c>
      <c r="J35" s="14" t="str">
        <f aca="false">IF(A35="","",I35+H35)</f>
        <v/>
      </c>
      <c r="K35" s="14" t="str">
        <f aca="false">IF(A35="","",D35-J35)</f>
        <v/>
      </c>
      <c r="L35" s="10" t="str">
        <f aca="false">IF(A35="","",IFERROR(ROUND(K35/D35*100,2),""))</f>
        <v/>
      </c>
      <c r="M35" s="14" t="str">
        <f aca="false">IF(A35="","",IFERROR(ROUND(D35/F35,2),""))</f>
        <v/>
      </c>
      <c r="N35" s="10" t="str">
        <f aca="false">IF(A35="","",IFERROR(ROUND((F35-E35)/E35*100,2),""))</f>
        <v/>
      </c>
      <c r="O35" s="13"/>
      <c r="P35" s="13"/>
      <c r="Q35" s="14" t="str">
        <f aca="false">IF(A35="","",O35-P35)</f>
        <v/>
      </c>
    </row>
    <row r="36" customFormat="false" ht="15" hidden="false" customHeight="false" outlineLevel="0" collapsed="false">
      <c r="A36" s="12"/>
      <c r="B36" s="12"/>
      <c r="C36" s="12"/>
      <c r="D36" s="13"/>
      <c r="E36" s="15"/>
      <c r="F36" s="15"/>
      <c r="G36" s="13"/>
      <c r="H36" s="13"/>
      <c r="I36" s="14" t="str">
        <f aca="false">IF(A36="","",ROUND(F36*G36,2))</f>
        <v/>
      </c>
      <c r="J36" s="14" t="str">
        <f aca="false">IF(A36="","",I36+H36)</f>
        <v/>
      </c>
      <c r="K36" s="14" t="str">
        <f aca="false">IF(A36="","",D36-J36)</f>
        <v/>
      </c>
      <c r="L36" s="10" t="str">
        <f aca="false">IF(A36="","",IFERROR(ROUND(K36/D36*100,2),""))</f>
        <v/>
      </c>
      <c r="M36" s="14" t="str">
        <f aca="false">IF(A36="","",IFERROR(ROUND(D36/F36,2),""))</f>
        <v/>
      </c>
      <c r="N36" s="10" t="str">
        <f aca="false">IF(A36="","",IFERROR(ROUND((F36-E36)/E36*100,2),""))</f>
        <v/>
      </c>
      <c r="O36" s="13"/>
      <c r="P36" s="13"/>
      <c r="Q36" s="14" t="str">
        <f aca="false">IF(A36="","",O36-P36)</f>
        <v/>
      </c>
    </row>
    <row r="37" customFormat="false" ht="15" hidden="false" customHeight="false" outlineLevel="0" collapsed="false">
      <c r="A37" s="12"/>
      <c r="B37" s="12"/>
      <c r="C37" s="12"/>
      <c r="D37" s="13"/>
      <c r="E37" s="15"/>
      <c r="F37" s="15"/>
      <c r="G37" s="13"/>
      <c r="H37" s="13"/>
      <c r="I37" s="14" t="str">
        <f aca="false">IF(A37="","",ROUND(F37*G37,2))</f>
        <v/>
      </c>
      <c r="J37" s="14" t="str">
        <f aca="false">IF(A37="","",I37+H37)</f>
        <v/>
      </c>
      <c r="K37" s="14" t="str">
        <f aca="false">IF(A37="","",D37-J37)</f>
        <v/>
      </c>
      <c r="L37" s="10" t="str">
        <f aca="false">IF(A37="","",IFERROR(ROUND(K37/D37*100,2),""))</f>
        <v/>
      </c>
      <c r="M37" s="14" t="str">
        <f aca="false">IF(A37="","",IFERROR(ROUND(D37/F37,2),""))</f>
        <v/>
      </c>
      <c r="N37" s="10" t="str">
        <f aca="false">IF(A37="","",IFERROR(ROUND((F37-E37)/E37*100,2),""))</f>
        <v/>
      </c>
      <c r="O37" s="13"/>
      <c r="P37" s="13"/>
      <c r="Q37" s="14" t="str">
        <f aca="false">IF(A37="","",O37-P37)</f>
        <v/>
      </c>
    </row>
    <row r="38" customFormat="false" ht="15" hidden="false" customHeight="false" outlineLevel="0" collapsed="false">
      <c r="A38" s="12"/>
      <c r="B38" s="12"/>
      <c r="C38" s="12"/>
      <c r="D38" s="13"/>
      <c r="E38" s="15"/>
      <c r="F38" s="15"/>
      <c r="G38" s="13"/>
      <c r="H38" s="13"/>
      <c r="I38" s="14" t="str">
        <f aca="false">IF(A38="","",ROUND(F38*G38,2))</f>
        <v/>
      </c>
      <c r="J38" s="14" t="str">
        <f aca="false">IF(A38="","",I38+H38)</f>
        <v/>
      </c>
      <c r="K38" s="14" t="str">
        <f aca="false">IF(A38="","",D38-J38)</f>
        <v/>
      </c>
      <c r="L38" s="10" t="str">
        <f aca="false">IF(A38="","",IFERROR(ROUND(K38/D38*100,2),""))</f>
        <v/>
      </c>
      <c r="M38" s="14" t="str">
        <f aca="false">IF(A38="","",IFERROR(ROUND(D38/F38,2),""))</f>
        <v/>
      </c>
      <c r="N38" s="10" t="str">
        <f aca="false">IF(A38="","",IFERROR(ROUND((F38-E38)/E38*100,2),""))</f>
        <v/>
      </c>
      <c r="O38" s="13"/>
      <c r="P38" s="13"/>
      <c r="Q38" s="14" t="str">
        <f aca="false">IF(A38="","",O38-P38)</f>
        <v/>
      </c>
    </row>
    <row r="39" customFormat="false" ht="15" hidden="false" customHeight="false" outlineLevel="0" collapsed="false">
      <c r="A39" s="12"/>
      <c r="B39" s="12"/>
      <c r="C39" s="12"/>
      <c r="D39" s="13"/>
      <c r="E39" s="15"/>
      <c r="F39" s="15"/>
      <c r="G39" s="13"/>
      <c r="H39" s="13"/>
      <c r="I39" s="14" t="str">
        <f aca="false">IF(A39="","",ROUND(F39*G39,2))</f>
        <v/>
      </c>
      <c r="J39" s="14" t="str">
        <f aca="false">IF(A39="","",I39+H39)</f>
        <v/>
      </c>
      <c r="K39" s="14" t="str">
        <f aca="false">IF(A39="","",D39-J39)</f>
        <v/>
      </c>
      <c r="L39" s="10" t="str">
        <f aca="false">IF(A39="","",IFERROR(ROUND(K39/D39*100,2),""))</f>
        <v/>
      </c>
      <c r="M39" s="14" t="str">
        <f aca="false">IF(A39="","",IFERROR(ROUND(D39/F39,2),""))</f>
        <v/>
      </c>
      <c r="N39" s="10" t="str">
        <f aca="false">IF(A39="","",IFERROR(ROUND((F39-E39)/E39*100,2),""))</f>
        <v/>
      </c>
      <c r="O39" s="13"/>
      <c r="P39" s="13"/>
      <c r="Q39" s="14" t="str">
        <f aca="false">IF(A39="","",O39-P39)</f>
        <v/>
      </c>
    </row>
    <row r="40" customFormat="false" ht="15" hidden="false" customHeight="false" outlineLevel="0" collapsed="false">
      <c r="A40" s="12"/>
      <c r="B40" s="12"/>
      <c r="C40" s="12"/>
      <c r="D40" s="13"/>
      <c r="E40" s="15"/>
      <c r="F40" s="15"/>
      <c r="G40" s="13"/>
      <c r="H40" s="13"/>
      <c r="I40" s="14" t="str">
        <f aca="false">IF(A40="","",ROUND(F40*G40,2))</f>
        <v/>
      </c>
      <c r="J40" s="14" t="str">
        <f aca="false">IF(A40="","",I40+H40)</f>
        <v/>
      </c>
      <c r="K40" s="14" t="str">
        <f aca="false">IF(A40="","",D40-J40)</f>
        <v/>
      </c>
      <c r="L40" s="10" t="str">
        <f aca="false">IF(A40="","",IFERROR(ROUND(K40/D40*100,2),""))</f>
        <v/>
      </c>
      <c r="M40" s="14" t="str">
        <f aca="false">IF(A40="","",IFERROR(ROUND(D40/F40,2),""))</f>
        <v/>
      </c>
      <c r="N40" s="10" t="str">
        <f aca="false">IF(A40="","",IFERROR(ROUND((F40-E40)/E40*100,2),""))</f>
        <v/>
      </c>
      <c r="O40" s="13"/>
      <c r="P40" s="13"/>
      <c r="Q40" s="14" t="str">
        <f aca="false">IF(A40="","",O40-P40)</f>
        <v/>
      </c>
    </row>
    <row r="41" customFormat="false" ht="15" hidden="false" customHeight="false" outlineLevel="0" collapsed="false">
      <c r="A41" s="4" t="s">
        <v>49</v>
      </c>
      <c r="D41" s="17" t="n">
        <f aca="false">SUM(D5:D40)</f>
        <v>20500</v>
      </c>
      <c r="F41" s="16" t="n">
        <f aca="false">SUM(F5:F40)</f>
        <v>176</v>
      </c>
      <c r="H41" s="17" t="n">
        <f aca="false">SUM(H5:H40)</f>
        <v>700</v>
      </c>
      <c r="I41" s="17" t="n">
        <f aca="false">SUM(I5:I40)</f>
        <v>9052</v>
      </c>
      <c r="J41" s="17" t="n">
        <f aca="false">SUM(J5:J40)</f>
        <v>9752</v>
      </c>
      <c r="K41" s="17" t="n">
        <f aca="false">SUM(K5:K40)</f>
        <v>10748</v>
      </c>
      <c r="L41" s="19" t="n">
        <f aca="false">IFERROR(ROUND(K41/D41*100,2),"")</f>
        <v>52.43</v>
      </c>
      <c r="O41" s="17" t="n">
        <f aca="false">SUM(O5:O40)</f>
        <v>20500</v>
      </c>
      <c r="P41" s="17" t="n">
        <f aca="false">SUM(P5:P40)</f>
        <v>13250</v>
      </c>
      <c r="Q41" s="17" t="n">
        <f aca="false">SUM(Q5:Q40)</f>
        <v>7250</v>
      </c>
    </row>
  </sheetData>
  <dataValidations count="1">
    <dataValidation allowBlank="true" errorStyle="stop" operator="between" showDropDown="false" showErrorMessage="false" showInputMessage="false" sqref="C5:C40" type="list">
      <formula1>"quoted,active,done,lost"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4" t="s">
        <v>86</v>
      </c>
      <c r="B2" s="21" t="n">
        <f aca="false">COUNTA(Projects!A5:A40)</f>
        <v>3</v>
      </c>
    </row>
    <row r="3" customFormat="false" ht="15" hidden="false" customHeight="false" outlineLevel="0" collapsed="false">
      <c r="A3" s="4" t="s">
        <v>87</v>
      </c>
      <c r="B3" s="17" t="n">
        <f aca="false">Projects!D41</f>
        <v>20500</v>
      </c>
    </row>
    <row r="4" customFormat="false" ht="15" hidden="false" customHeight="false" outlineLevel="0" collapsed="false">
      <c r="A4" s="4" t="s">
        <v>72</v>
      </c>
      <c r="B4" s="17" t="n">
        <f aca="false">Projects!J41</f>
        <v>9752</v>
      </c>
      <c r="C4" s="2" t="s">
        <v>88</v>
      </c>
    </row>
    <row r="5" customFormat="false" ht="15" hidden="false" customHeight="false" outlineLevel="0" collapsed="false">
      <c r="A5" s="4" t="s">
        <v>73</v>
      </c>
      <c r="B5" s="17" t="n">
        <f aca="false">Projects!K41</f>
        <v>10748</v>
      </c>
    </row>
    <row r="6" customFormat="false" ht="15" hidden="false" customHeight="false" outlineLevel="0" collapsed="false">
      <c r="A6" s="4" t="s">
        <v>89</v>
      </c>
      <c r="B6" s="19" t="n">
        <f aca="false">IFERROR(ROUND(B5/B3*100,2),"")</f>
        <v>52.43</v>
      </c>
      <c r="C6" s="2" t="s">
        <v>90</v>
      </c>
    </row>
    <row r="7" customFormat="false" ht="15" hidden="false" customHeight="false" outlineLevel="0" collapsed="false">
      <c r="A7" s="4" t="s">
        <v>91</v>
      </c>
      <c r="B7" s="16" t="n">
        <f aca="false">Projects!F41</f>
        <v>176</v>
      </c>
    </row>
    <row r="8" customFormat="false" ht="15" hidden="false" customHeight="false" outlineLevel="0" collapsed="false">
      <c r="A8" s="4" t="s">
        <v>92</v>
      </c>
      <c r="B8" s="17" t="n">
        <f aca="false">IFERROR(ROUND(B3/B7,2),"")</f>
        <v>116.48</v>
      </c>
      <c r="C8" s="2" t="s">
        <v>93</v>
      </c>
    </row>
    <row r="9" customFormat="false" ht="15" hidden="false" customHeight="false" outlineLevel="0" collapsed="false">
      <c r="A9" s="4" t="s">
        <v>76</v>
      </c>
      <c r="B9" s="17" t="n">
        <f aca="false">Projects!O41</f>
        <v>20500</v>
      </c>
    </row>
    <row r="10" customFormat="false" ht="15" hidden="false" customHeight="false" outlineLevel="0" collapsed="false">
      <c r="A10" s="4" t="s">
        <v>77</v>
      </c>
      <c r="B10" s="17" t="n">
        <f aca="false">Projects!P41</f>
        <v>13250</v>
      </c>
    </row>
    <row r="11" customFormat="false" ht="15" hidden="false" customHeight="false" outlineLevel="0" collapsed="false">
      <c r="A11" s="4" t="s">
        <v>78</v>
      </c>
      <c r="B11" s="17" t="n">
        <f aca="false">Projects!Q41</f>
        <v>7250</v>
      </c>
    </row>
    <row r="12" customFormat="false" ht="15" hidden="false" customHeight="false" outlineLevel="0" collapsed="false">
      <c r="A12" s="4" t="s">
        <v>94</v>
      </c>
      <c r="B12" s="21" t="n">
        <f aca="false">COUNTIF(Projects!N5:N40,"&gt;0")</f>
        <v>1</v>
      </c>
    </row>
    <row r="13" customFormat="false" ht="15" hidden="false" customHeight="false" outlineLevel="0" collapsed="false">
      <c r="A13" s="4" t="s">
        <v>95</v>
      </c>
      <c r="B13" s="19" t="n">
        <f aca="false">IFERROR(ROUND(AVERAGE(Projects!N5:N40),2),"")</f>
        <v>-11.57</v>
      </c>
      <c r="C13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2026-10-01T11:29:29Z</dcterms:created>
  <dc:creator>openpyxl</dc:creator>
  <dc:description/>
  <dc:language>en-US</dc:language>
  <cp:lastModifiedBy/>
  <dcterms:modified xsi:type="dcterms:W3CDTF">2026-10-01T11:29:29Z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