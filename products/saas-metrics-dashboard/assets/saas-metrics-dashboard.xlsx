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lans" sheetId="2" state="visible" r:id="rId4"/>
    <sheet name="Monthly Metrics" sheetId="3" state="visible" r:id="rId5"/>
    <sheet name="Unit Economics" sheetId="4" state="visible" r:id="rId6"/>
    <sheet name="Runwa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" authorId="0">
      <text>
        <r>
          <rPr>
            <sz val="10"/>
            <rFont val="Arial"/>
            <family val="2"/>
          </rPr>
          <t xml:space="preserve">Defaults to the Plans sheet; overwrite if you prefer another figure.</t>
        </r>
      </text>
    </comment>
    <comment ref="B3" authorId="0">
      <text>
        <r>
          <rPr>
            <sz val="10"/>
            <rFont val="Arial"/>
            <family val="2"/>
          </rPr>
          <t xml:space="preserve">Revenue minus hosting, payment fees and support, as a share of revenue.</t>
        </r>
      </text>
    </comment>
    <comment ref="B4" authorId="0">
      <text>
        <r>
          <rPr>
            <sz val="10"/>
            <rFont val="Arial"/>
            <family val="2"/>
          </rPr>
          <t xml:space="preserve">Use the latest Customer churn % from Monthly Metrics.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4" authorId="0">
      <text>
        <r>
          <rPr>
            <sz val="10"/>
            <rFont val="Arial"/>
            <family val="2"/>
          </rPr>
          <t xml:space="preserve">Defaults to the Plans sheet total MRR.</t>
        </r>
      </text>
    </comment>
  </commentList>
</comments>
</file>

<file path=xl/sharedStrings.xml><?xml version="1.0" encoding="utf-8"?>
<sst xmlns="http://schemas.openxmlformats.org/spreadsheetml/2006/main" count="77" uniqueCount="77">
  <si>
    <t xml:space="preserve">SaaS Metrics Dashboard</t>
  </si>
  <si>
    <t xml:space="preserve">by Knackdesk · knackdesk.com</t>
  </si>
  <si>
    <t xml:space="preserve">HOW TO USE</t>
  </si>
  <si>
    <t xml:space="preserve">1. Plans: one row per plan with price, billing period and current paying customers. MRR, ARR and ARPA are calculated.</t>
  </si>
  <si>
    <t xml:space="preserve">2. Monthly Metrics: one row per month. Enter the first month's starting MRR and customers; later months carry forward automatically. Enter new, expansion, contraction and churned MRR and customer counts; growth, churn and NRR are calculated.</t>
  </si>
  <si>
    <t xml:space="preserve">3. Unit Economics: gross margin, monthly churn and acquisition spend give CAC, lifetime value, LTV to CAC and payback. ARPA defaults to the Plans sheet.</t>
  </si>
  <si>
    <t xml:space="preserve">4. Runway: cash, monthly costs and MRR give burn, months of runway, the run-out month, and the cost level needed for a target runway.</t>
  </si>
  <si>
    <t xml:space="preserve">LEGEND</t>
  </si>
  <si>
    <t xml:space="preserve">Blue text = a cell you type into.   Black text = a formula, leave it alone.   Yellow fill = key inputs.</t>
  </si>
  <si>
    <t xml:space="preserve">Blue cells that already contain a formula (ARPA, MRR links) are defaults you may overwrite.</t>
  </si>
  <si>
    <t xml:space="preserve">DEFINITIONS</t>
  </si>
  <si>
    <t xml:space="preserve">MRR normalises every plan to a monthly amount (annual price ÷ 12). ARR = MRR × 12. ARPA = MRR ÷ paying customers.</t>
  </si>
  <si>
    <t xml:space="preserve">Gross revenue churn = (contraction + churned) ÷ starting MRR. Net revenue churn also subtracts expansion. NRR = (start + expansion − contraction − churned) ÷ start.</t>
  </si>
  <si>
    <t xml:space="preserve">LTV = ARPA × gross margin ÷ monthly churn. CAC = spend ÷ new customers. Payback = CAC ÷ (ARPA × gross margin).</t>
  </si>
  <si>
    <t xml:space="preserve">Arithmetic only; not financial advice. Support: hello@knackdesk.com</t>
  </si>
  <si>
    <t xml:space="preserve">Plans</t>
  </si>
  <si>
    <t xml:space="preserve">Plan</t>
  </si>
  <si>
    <t xml:space="preserve">Price</t>
  </si>
  <si>
    <t xml:space="preserve">Billed every</t>
  </si>
  <si>
    <t xml:space="preserve">Paying customers</t>
  </si>
  <si>
    <t xml:space="preserve">MRR</t>
  </si>
  <si>
    <t xml:space="preserve">Basic</t>
  </si>
  <si>
    <t xml:space="preserve">month</t>
  </si>
  <si>
    <t xml:space="preserve">Pro</t>
  </si>
  <si>
    <t xml:space="preserve">year</t>
  </si>
  <si>
    <t xml:space="preserve">Total</t>
  </si>
  <si>
    <t xml:space="preserve">ARR</t>
  </si>
  <si>
    <t xml:space="preserve">ARPA (MRR per paying customer)</t>
  </si>
  <si>
    <t xml:space="preserve">Monthly Metrics</t>
  </si>
  <si>
    <t xml:space="preserve">Enter the first row's starting MRR and customers; later rows carry forward from the previous month's ending values.</t>
  </si>
  <si>
    <t xml:space="preserve">Month</t>
  </si>
  <si>
    <t xml:space="preserve">Starting MRR</t>
  </si>
  <si>
    <t xml:space="preserve">New MRR</t>
  </si>
  <si>
    <t xml:space="preserve">Expansion MRR</t>
  </si>
  <si>
    <t xml:space="preserve">Contraction MRR</t>
  </si>
  <si>
    <t xml:space="preserve">Churned MRR</t>
  </si>
  <si>
    <t xml:space="preserve">Ending MRR</t>
  </si>
  <si>
    <t xml:space="preserve">Net new MRR</t>
  </si>
  <si>
    <t xml:space="preserve">Growth %</t>
  </si>
  <si>
    <t xml:space="preserve">Gross rev. churn %</t>
  </si>
  <si>
    <t xml:space="preserve">Net rev. churn %</t>
  </si>
  <si>
    <t xml:space="preserve">NRR %</t>
  </si>
  <si>
    <t xml:space="preserve">Customers start</t>
  </si>
  <si>
    <t xml:space="preserve">New customers</t>
  </si>
  <si>
    <t xml:space="preserve">Lost customers</t>
  </si>
  <si>
    <t xml:space="preserve">Customer churn %</t>
  </si>
  <si>
    <t xml:space="preserve">Unit Economics</t>
  </si>
  <si>
    <t xml:space="preserve">Average monthly revenue per account (ARPA)</t>
  </si>
  <si>
    <t xml:space="preserve">Defaults to the Plans sheet; overwrite if you prefer another figure.</t>
  </si>
  <si>
    <t xml:space="preserve">Gross margin (%)</t>
  </si>
  <si>
    <t xml:space="preserve">Revenue minus hosting, payment fees and support, as a share of revenue.</t>
  </si>
  <si>
    <t xml:space="preserve">Monthly customer churn (%)</t>
  </si>
  <si>
    <t xml:space="preserve">Use the latest Customer churn % from Monthly Metrics.</t>
  </si>
  <si>
    <t xml:space="preserve">Sales and marketing spend in the period</t>
  </si>
  <si>
    <t xml:space="preserve">New customers won in the period</t>
  </si>
  <si>
    <t xml:space="preserve">Customer acquisition cost (CAC)</t>
  </si>
  <si>
    <t xml:space="preserve">spend ÷ new customers</t>
  </si>
  <si>
    <t xml:space="preserve">Expected customer lifetime (months)</t>
  </si>
  <si>
    <t xml:space="preserve">1 ÷ monthly churn</t>
  </si>
  <si>
    <t xml:space="preserve">Lifetime value (LTV)</t>
  </si>
  <si>
    <t xml:space="preserve">ARPA × margin ÷ churn</t>
  </si>
  <si>
    <t xml:space="preserve">LTV to CAC ratio</t>
  </si>
  <si>
    <t xml:space="preserve">LTV ÷ CAC</t>
  </si>
  <si>
    <t xml:space="preserve">CAC payback (months)</t>
  </si>
  <si>
    <t xml:space="preserve">CAC ÷ (ARPA × margin)</t>
  </si>
  <si>
    <t xml:space="preserve">Runway</t>
  </si>
  <si>
    <t xml:space="preserve">Cash in the bank</t>
  </si>
  <si>
    <t xml:space="preserve">Monthly costs (all cash out)</t>
  </si>
  <si>
    <t xml:space="preserve">Monthly recurring revenue</t>
  </si>
  <si>
    <t xml:space="preserve">Net monthly burn</t>
  </si>
  <si>
    <t xml:space="preserve">costs minus MRR; negative means you are cash-positive</t>
  </si>
  <si>
    <t xml:space="preserve">Months of runway</t>
  </si>
  <si>
    <t xml:space="preserve">Cash runs out (month)</t>
  </si>
  <si>
    <t xml:space="preserve">counting from the current month, part months rounded down</t>
  </si>
  <si>
    <t xml:space="preserve">Target runway (months)</t>
  </si>
  <si>
    <t xml:space="preserve">Maximum monthly costs for the target</t>
  </si>
  <si>
    <t xml:space="preserve">Monthly cut needed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</si>
</sst>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"/>
    <numFmt numFmtId="167" formatCode="mmm\ yyyy"/>
    <numFmt numFmtId="168" formatCode="0.00\%"/>
    <numFmt numFmtId="169" formatCode="0.0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15</v>
      </c>
    </row>
    <row r="4" customFormat="false" ht="26.85" hidden="false" customHeight="fals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</row>
    <row r="5" customFormat="false" ht="15" hidden="false" customHeight="false" outlineLevel="0" collapsed="false">
      <c r="A5" s="6" t="s">
        <v>21</v>
      </c>
      <c r="B5" s="7" t="n">
        <v>10</v>
      </c>
      <c r="C5" s="8" t="s">
        <v>22</v>
      </c>
      <c r="D5" s="9" t="n">
        <v>100</v>
      </c>
      <c r="E5" s="10" t="n">
        <f aca="false">IF(A5="","",ROUND(B5*D5/IF(C5="year",12,IF(C5="quarter",3,1)),2))</f>
        <v>1000</v>
      </c>
    </row>
    <row r="6" customFormat="false" ht="15" hidden="false" customHeight="false" outlineLevel="0" collapsed="false">
      <c r="A6" s="8" t="s">
        <v>23</v>
      </c>
      <c r="B6" s="7" t="n">
        <v>240</v>
      </c>
      <c r="C6" s="8" t="s">
        <v>24</v>
      </c>
      <c r="D6" s="9" t="n">
        <v>50</v>
      </c>
      <c r="E6" s="10" t="n">
        <f aca="false">IF(A6="","",ROUND(B6*D6/IF(C6="year",12,IF(C6="quarter",3,1)),2))</f>
        <v>1000</v>
      </c>
    </row>
    <row r="7" customFormat="false" ht="15" hidden="false" customHeight="false" outlineLevel="0" collapsed="false">
      <c r="A7" s="8"/>
      <c r="B7" s="7"/>
      <c r="C7" s="8"/>
      <c r="D7" s="8"/>
      <c r="E7" s="10" t="str">
        <f aca="false">IF(A7="","",ROUND(B7*D7/IF(C7="year",12,IF(C7="quarter",3,1)),2))</f>
        <v/>
      </c>
    </row>
    <row r="8" customFormat="false" ht="15" hidden="false" customHeight="false" outlineLevel="0" collapsed="false">
      <c r="A8" s="8"/>
      <c r="B8" s="7"/>
      <c r="C8" s="8"/>
      <c r="D8" s="8"/>
      <c r="E8" s="10" t="str">
        <f aca="false">IF(A8="","",ROUND(B8*D8/IF(C8="year",12,IF(C8="quarter",3,1)),2))</f>
        <v/>
      </c>
    </row>
    <row r="9" customFormat="false" ht="15" hidden="false" customHeight="false" outlineLevel="0" collapsed="false">
      <c r="A9" s="8"/>
      <c r="B9" s="7"/>
      <c r="C9" s="8"/>
      <c r="D9" s="8"/>
      <c r="E9" s="10" t="str">
        <f aca="false">IF(A9="","",ROUND(B9*D9/IF(C9="year",12,IF(C9="quarter",3,1)),2))</f>
        <v/>
      </c>
    </row>
    <row r="10" customFormat="false" ht="15" hidden="false" customHeight="false" outlineLevel="0" collapsed="false">
      <c r="A10" s="8"/>
      <c r="B10" s="7"/>
      <c r="C10" s="8"/>
      <c r="D10" s="8"/>
      <c r="E10" s="10" t="str">
        <f aca="false">IF(A10="","",ROUND(B10*D10/IF(C10="year",12,IF(C10="quarter",3,1)),2))</f>
        <v/>
      </c>
    </row>
    <row r="11" customFormat="false" ht="15" hidden="false" customHeight="false" outlineLevel="0" collapsed="false">
      <c r="A11" s="8"/>
      <c r="B11" s="7"/>
      <c r="C11" s="8"/>
      <c r="D11" s="8"/>
      <c r="E11" s="10" t="str">
        <f aca="false">IF(A11="","",ROUND(B11*D11/IF(C11="year",12,IF(C11="quarter",3,1)),2))</f>
        <v/>
      </c>
    </row>
    <row r="12" customFormat="false" ht="15" hidden="false" customHeight="false" outlineLevel="0" collapsed="false">
      <c r="A12" s="8"/>
      <c r="B12" s="7"/>
      <c r="C12" s="8"/>
      <c r="D12" s="8"/>
      <c r="E12" s="10" t="str">
        <f aca="false">IF(A12="","",ROUND(B12*D12/IF(C12="year",12,IF(C12="quarter",3,1)),2))</f>
        <v/>
      </c>
    </row>
    <row r="13" customFormat="false" ht="15" hidden="false" customHeight="false" outlineLevel="0" collapsed="false">
      <c r="A13" s="8"/>
      <c r="B13" s="7"/>
      <c r="C13" s="8"/>
      <c r="D13" s="8"/>
      <c r="E13" s="10" t="str">
        <f aca="false">IF(A13="","",ROUND(B13*D13/IF(C13="year",12,IF(C13="quarter",3,1)),2))</f>
        <v/>
      </c>
    </row>
    <row r="14" customFormat="false" ht="15" hidden="false" customHeight="false" outlineLevel="0" collapsed="false">
      <c r="A14" s="8"/>
      <c r="B14" s="7"/>
      <c r="C14" s="8"/>
      <c r="D14" s="8"/>
      <c r="E14" s="10" t="str">
        <f aca="false">IF(A14="","",ROUND(B14*D14/IF(C14="year",12,IF(C14="quarter",3,1)),2))</f>
        <v/>
      </c>
    </row>
    <row r="15" customFormat="false" ht="15" hidden="false" customHeight="false" outlineLevel="0" collapsed="false">
      <c r="A15" s="8"/>
      <c r="B15" s="7"/>
      <c r="C15" s="8"/>
      <c r="D15" s="8"/>
      <c r="E15" s="10" t="str">
        <f aca="false">IF(A15="","",ROUND(B15*D15/IF(C15="year",12,IF(C15="quarter",3,1)),2))</f>
        <v/>
      </c>
    </row>
    <row r="16" customFormat="false" ht="15" hidden="false" customHeight="false" outlineLevel="0" collapsed="false">
      <c r="A16" s="4" t="s">
        <v>25</v>
      </c>
      <c r="D16" s="11" t="n">
        <f aca="false">SUM(D5:D15)</f>
        <v>150</v>
      </c>
      <c r="E16" s="12" t="n">
        <f aca="false">SUM(E5:E15)</f>
        <v>2000</v>
      </c>
    </row>
    <row r="17" customFormat="false" ht="15" hidden="false" customHeight="false" outlineLevel="0" collapsed="false">
      <c r="A17" s="4" t="s">
        <v>26</v>
      </c>
      <c r="E17" s="12" t="n">
        <f aca="false">E16*12</f>
        <v>24000</v>
      </c>
    </row>
    <row r="18" customFormat="false" ht="15" hidden="false" customHeight="false" outlineLevel="0" collapsed="false">
      <c r="A18" s="4" t="s">
        <v>27</v>
      </c>
      <c r="E18" s="12" t="n">
        <f aca="false">IFERROR(ROUND(E16/D16,2),0)</f>
        <v>13.33</v>
      </c>
    </row>
  </sheetData>
  <dataValidations count="1">
    <dataValidation allowBlank="true" errorStyle="stop" operator="between" showDropDown="false" showErrorMessage="false" showInputMessage="false" sqref="C5:C15" type="list">
      <formula1>"month,quarter,year"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13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26.85" hidden="false" customHeight="false" outlineLevel="0" collapsed="false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  <c r="P4" s="5" t="s">
        <v>45</v>
      </c>
    </row>
    <row r="5" customFormat="false" ht="15" hidden="false" customHeight="false" outlineLevel="0" collapsed="false">
      <c r="A5" s="13" t="n">
        <v>46266</v>
      </c>
      <c r="B5" s="14" t="n">
        <v>10000</v>
      </c>
      <c r="C5" s="7" t="n">
        <v>1200</v>
      </c>
      <c r="D5" s="7" t="n">
        <v>300</v>
      </c>
      <c r="E5" s="7" t="n">
        <v>100</v>
      </c>
      <c r="F5" s="7" t="n">
        <v>400</v>
      </c>
      <c r="G5" s="10" t="n">
        <f aca="false">IF(A5="","",B5+C5+D5-E5-F5)</f>
        <v>11000</v>
      </c>
      <c r="H5" s="10" t="n">
        <f aca="false">IF(A5="","",G5-B5)</f>
        <v>1000</v>
      </c>
      <c r="I5" s="15" t="n">
        <f aca="false">IF(OR(A5="",B5=0),"",ROUND(H5/B5*100,2))</f>
        <v>10</v>
      </c>
      <c r="J5" s="15" t="n">
        <f aca="false">IF(OR(A5="",B5=0),"",ROUND((E5+F5)/B5*100,2))</f>
        <v>5</v>
      </c>
      <c r="K5" s="15" t="n">
        <f aca="false">IF(OR(A5="",B5=0),"",ROUND((E5+F5-D5)/B5*100,2))</f>
        <v>2</v>
      </c>
      <c r="L5" s="15" t="n">
        <f aca="false">IF(OR(A5="",B5=0),"",ROUND((B5+D5-E5-F5)/B5*100,2))</f>
        <v>98</v>
      </c>
      <c r="M5" s="16" t="n">
        <v>500</v>
      </c>
      <c r="N5" s="9" t="n">
        <v>40</v>
      </c>
      <c r="O5" s="9" t="n">
        <v>15</v>
      </c>
      <c r="P5" s="15" t="n">
        <f aca="false">IF(OR(A5="",M5=0),"",ROUND(O5/M5*100,2))</f>
        <v>3</v>
      </c>
    </row>
    <row r="6" customFormat="false" ht="15" hidden="false" customHeight="false" outlineLevel="0" collapsed="false">
      <c r="A6" s="17" t="n">
        <v>46296</v>
      </c>
      <c r="B6" s="10" t="n">
        <f aca="false">IF(A6="","",G5)</f>
        <v>11000</v>
      </c>
      <c r="C6" s="7" t="n">
        <v>900</v>
      </c>
      <c r="D6" s="7" t="n">
        <v>250</v>
      </c>
      <c r="E6" s="7" t="n">
        <v>50</v>
      </c>
      <c r="F6" s="7" t="n">
        <v>350</v>
      </c>
      <c r="G6" s="10" t="n">
        <f aca="false">IF(A6="","",B6+C6+D6-E6-F6)</f>
        <v>11750</v>
      </c>
      <c r="H6" s="10" t="n">
        <f aca="false">IF(A6="","",G6-B6)</f>
        <v>750</v>
      </c>
      <c r="I6" s="15" t="n">
        <f aca="false">IF(OR(A6="",B6=0),"",ROUND(H6/B6*100,2))</f>
        <v>6.82</v>
      </c>
      <c r="J6" s="15" t="n">
        <f aca="false">IF(OR(A6="",B6=0),"",ROUND((E6+F6)/B6*100,2))</f>
        <v>3.64</v>
      </c>
      <c r="K6" s="15" t="n">
        <f aca="false">IF(OR(A6="",B6=0),"",ROUND((E6+F6-D6)/B6*100,2))</f>
        <v>1.36</v>
      </c>
      <c r="L6" s="15" t="n">
        <f aca="false">IF(OR(A6="",B6=0),"",ROUND((B6+D6-E6-F6)/B6*100,2))</f>
        <v>98.64</v>
      </c>
      <c r="M6" s="18" t="n">
        <f aca="false">IF(A6="","",M5+N5-O5)</f>
        <v>525</v>
      </c>
      <c r="N6" s="9" t="n">
        <v>30</v>
      </c>
      <c r="O6" s="9" t="n">
        <v>12</v>
      </c>
      <c r="P6" s="15" t="n">
        <f aca="false">IF(OR(A6="",M6=0),"",ROUND(O6/M6*100,2))</f>
        <v>2.29</v>
      </c>
    </row>
    <row r="7" customFormat="false" ht="15" hidden="false" customHeight="false" outlineLevel="0" collapsed="false">
      <c r="A7" s="17"/>
      <c r="B7" s="10" t="str">
        <f aca="false">IF(A7="","",G6)</f>
        <v/>
      </c>
      <c r="C7" s="7"/>
      <c r="D7" s="7"/>
      <c r="E7" s="7"/>
      <c r="F7" s="7"/>
      <c r="G7" s="10" t="str">
        <f aca="false">IF(A7="","",B7+C7+D7-E7-F7)</f>
        <v/>
      </c>
      <c r="H7" s="10" t="str">
        <f aca="false">IF(A7="","",G7-B7)</f>
        <v/>
      </c>
      <c r="I7" s="15" t="str">
        <f aca="false">IF(OR(A7="",B7=0),"",ROUND(H7/B7*100,2))</f>
        <v/>
      </c>
      <c r="J7" s="15" t="str">
        <f aca="false">IF(OR(A7="",B7=0),"",ROUND((E7+F7)/B7*100,2))</f>
        <v/>
      </c>
      <c r="K7" s="15" t="str">
        <f aca="false">IF(OR(A7="",B7=0),"",ROUND((E7+F7-D7)/B7*100,2))</f>
        <v/>
      </c>
      <c r="L7" s="15" t="str">
        <f aca="false">IF(OR(A7="",B7=0),"",ROUND((B7+D7-E7-F7)/B7*100,2))</f>
        <v/>
      </c>
      <c r="M7" s="18" t="str">
        <f aca="false">IF(A7="","",M6+N6-O6)</f>
        <v/>
      </c>
      <c r="N7" s="8"/>
      <c r="O7" s="8"/>
      <c r="P7" s="15" t="str">
        <f aca="false">IF(OR(A7="",M7=0),"",ROUND(O7/M7*100,2))</f>
        <v/>
      </c>
    </row>
    <row r="8" customFormat="false" ht="15" hidden="false" customHeight="false" outlineLevel="0" collapsed="false">
      <c r="A8" s="17"/>
      <c r="B8" s="10" t="str">
        <f aca="false">IF(A8="","",G7)</f>
        <v/>
      </c>
      <c r="C8" s="7"/>
      <c r="D8" s="7"/>
      <c r="E8" s="7"/>
      <c r="F8" s="7"/>
      <c r="G8" s="10" t="str">
        <f aca="false">IF(A8="","",B8+C8+D8-E8-F8)</f>
        <v/>
      </c>
      <c r="H8" s="10" t="str">
        <f aca="false">IF(A8="","",G8-B8)</f>
        <v/>
      </c>
      <c r="I8" s="15" t="str">
        <f aca="false">IF(OR(A8="",B8=0),"",ROUND(H8/B8*100,2))</f>
        <v/>
      </c>
      <c r="J8" s="15" t="str">
        <f aca="false">IF(OR(A8="",B8=0),"",ROUND((E8+F8)/B8*100,2))</f>
        <v/>
      </c>
      <c r="K8" s="15" t="str">
        <f aca="false">IF(OR(A8="",B8=0),"",ROUND((E8+F8-D8)/B8*100,2))</f>
        <v/>
      </c>
      <c r="L8" s="15" t="str">
        <f aca="false">IF(OR(A8="",B8=0),"",ROUND((B8+D8-E8-F8)/B8*100,2))</f>
        <v/>
      </c>
      <c r="M8" s="18" t="str">
        <f aca="false">IF(A8="","",M7+N7-O7)</f>
        <v/>
      </c>
      <c r="N8" s="8"/>
      <c r="O8" s="8"/>
      <c r="P8" s="15" t="str">
        <f aca="false">IF(OR(A8="",M8=0),"",ROUND(O8/M8*100,2))</f>
        <v/>
      </c>
    </row>
    <row r="9" customFormat="false" ht="15" hidden="false" customHeight="false" outlineLevel="0" collapsed="false">
      <c r="A9" s="17"/>
      <c r="B9" s="10" t="str">
        <f aca="false">IF(A9="","",G8)</f>
        <v/>
      </c>
      <c r="C9" s="7"/>
      <c r="D9" s="7"/>
      <c r="E9" s="7"/>
      <c r="F9" s="7"/>
      <c r="G9" s="10" t="str">
        <f aca="false">IF(A9="","",B9+C9+D9-E9-F9)</f>
        <v/>
      </c>
      <c r="H9" s="10" t="str">
        <f aca="false">IF(A9="","",G9-B9)</f>
        <v/>
      </c>
      <c r="I9" s="15" t="str">
        <f aca="false">IF(OR(A9="",B9=0),"",ROUND(H9/B9*100,2))</f>
        <v/>
      </c>
      <c r="J9" s="15" t="str">
        <f aca="false">IF(OR(A9="",B9=0),"",ROUND((E9+F9)/B9*100,2))</f>
        <v/>
      </c>
      <c r="K9" s="15" t="str">
        <f aca="false">IF(OR(A9="",B9=0),"",ROUND((E9+F9-D9)/B9*100,2))</f>
        <v/>
      </c>
      <c r="L9" s="15" t="str">
        <f aca="false">IF(OR(A9="",B9=0),"",ROUND((B9+D9-E9-F9)/B9*100,2))</f>
        <v/>
      </c>
      <c r="M9" s="18" t="str">
        <f aca="false">IF(A9="","",M8+N8-O8)</f>
        <v/>
      </c>
      <c r="N9" s="8"/>
      <c r="O9" s="8"/>
      <c r="P9" s="15" t="str">
        <f aca="false">IF(OR(A9="",M9=0),"",ROUND(O9/M9*100,2))</f>
        <v/>
      </c>
    </row>
    <row r="10" customFormat="false" ht="15" hidden="false" customHeight="false" outlineLevel="0" collapsed="false">
      <c r="A10" s="17"/>
      <c r="B10" s="10" t="str">
        <f aca="false">IF(A10="","",G9)</f>
        <v/>
      </c>
      <c r="C10" s="7"/>
      <c r="D10" s="7"/>
      <c r="E10" s="7"/>
      <c r="F10" s="7"/>
      <c r="G10" s="10" t="str">
        <f aca="false">IF(A10="","",B10+C10+D10-E10-F10)</f>
        <v/>
      </c>
      <c r="H10" s="10" t="str">
        <f aca="false">IF(A10="","",G10-B10)</f>
        <v/>
      </c>
      <c r="I10" s="15" t="str">
        <f aca="false">IF(OR(A10="",B10=0),"",ROUND(H10/B10*100,2))</f>
        <v/>
      </c>
      <c r="J10" s="15" t="str">
        <f aca="false">IF(OR(A10="",B10=0),"",ROUND((E10+F10)/B10*100,2))</f>
        <v/>
      </c>
      <c r="K10" s="15" t="str">
        <f aca="false">IF(OR(A10="",B10=0),"",ROUND((E10+F10-D10)/B10*100,2))</f>
        <v/>
      </c>
      <c r="L10" s="15" t="str">
        <f aca="false">IF(OR(A10="",B10=0),"",ROUND((B10+D10-E10-F10)/B10*100,2))</f>
        <v/>
      </c>
      <c r="M10" s="18" t="str">
        <f aca="false">IF(A10="","",M9+N9-O9)</f>
        <v/>
      </c>
      <c r="N10" s="8"/>
      <c r="O10" s="8"/>
      <c r="P10" s="15" t="str">
        <f aca="false">IF(OR(A10="",M10=0),"",ROUND(O10/M10*100,2))</f>
        <v/>
      </c>
    </row>
    <row r="11" customFormat="false" ht="15" hidden="false" customHeight="false" outlineLevel="0" collapsed="false">
      <c r="A11" s="17"/>
      <c r="B11" s="10" t="str">
        <f aca="false">IF(A11="","",G10)</f>
        <v/>
      </c>
      <c r="C11" s="7"/>
      <c r="D11" s="7"/>
      <c r="E11" s="7"/>
      <c r="F11" s="7"/>
      <c r="G11" s="10" t="str">
        <f aca="false">IF(A11="","",B11+C11+D11-E11-F11)</f>
        <v/>
      </c>
      <c r="H11" s="10" t="str">
        <f aca="false">IF(A11="","",G11-B11)</f>
        <v/>
      </c>
      <c r="I11" s="15" t="str">
        <f aca="false">IF(OR(A11="",B11=0),"",ROUND(H11/B11*100,2))</f>
        <v/>
      </c>
      <c r="J11" s="15" t="str">
        <f aca="false">IF(OR(A11="",B11=0),"",ROUND((E11+F11)/B11*100,2))</f>
        <v/>
      </c>
      <c r="K11" s="15" t="str">
        <f aca="false">IF(OR(A11="",B11=0),"",ROUND((E11+F11-D11)/B11*100,2))</f>
        <v/>
      </c>
      <c r="L11" s="15" t="str">
        <f aca="false">IF(OR(A11="",B11=0),"",ROUND((B11+D11-E11-F11)/B11*100,2))</f>
        <v/>
      </c>
      <c r="M11" s="18" t="str">
        <f aca="false">IF(A11="","",M10+N10-O10)</f>
        <v/>
      </c>
      <c r="N11" s="8"/>
      <c r="O11" s="8"/>
      <c r="P11" s="15" t="str">
        <f aca="false">IF(OR(A11="",M11=0),"",ROUND(O11/M11*100,2))</f>
        <v/>
      </c>
    </row>
    <row r="12" customFormat="false" ht="15" hidden="false" customHeight="false" outlineLevel="0" collapsed="false">
      <c r="A12" s="17"/>
      <c r="B12" s="10" t="str">
        <f aca="false">IF(A12="","",G11)</f>
        <v/>
      </c>
      <c r="C12" s="7"/>
      <c r="D12" s="7"/>
      <c r="E12" s="7"/>
      <c r="F12" s="7"/>
      <c r="G12" s="10" t="str">
        <f aca="false">IF(A12="","",B12+C12+D12-E12-F12)</f>
        <v/>
      </c>
      <c r="H12" s="10" t="str">
        <f aca="false">IF(A12="","",G12-B12)</f>
        <v/>
      </c>
      <c r="I12" s="15" t="str">
        <f aca="false">IF(OR(A12="",B12=0),"",ROUND(H12/B12*100,2))</f>
        <v/>
      </c>
      <c r="J12" s="15" t="str">
        <f aca="false">IF(OR(A12="",B12=0),"",ROUND((E12+F12)/B12*100,2))</f>
        <v/>
      </c>
      <c r="K12" s="15" t="str">
        <f aca="false">IF(OR(A12="",B12=0),"",ROUND((E12+F12-D12)/B12*100,2))</f>
        <v/>
      </c>
      <c r="L12" s="15" t="str">
        <f aca="false">IF(OR(A12="",B12=0),"",ROUND((B12+D12-E12-F12)/B12*100,2))</f>
        <v/>
      </c>
      <c r="M12" s="18" t="str">
        <f aca="false">IF(A12="","",M11+N11-O11)</f>
        <v/>
      </c>
      <c r="N12" s="8"/>
      <c r="O12" s="8"/>
      <c r="P12" s="15" t="str">
        <f aca="false">IF(OR(A12="",M12=0),"",ROUND(O12/M12*100,2))</f>
        <v/>
      </c>
    </row>
    <row r="13" customFormat="false" ht="15" hidden="false" customHeight="false" outlineLevel="0" collapsed="false">
      <c r="A13" s="17"/>
      <c r="B13" s="10" t="str">
        <f aca="false">IF(A13="","",G12)</f>
        <v/>
      </c>
      <c r="C13" s="7"/>
      <c r="D13" s="7"/>
      <c r="E13" s="7"/>
      <c r="F13" s="7"/>
      <c r="G13" s="10" t="str">
        <f aca="false">IF(A13="","",B13+C13+D13-E13-F13)</f>
        <v/>
      </c>
      <c r="H13" s="10" t="str">
        <f aca="false">IF(A13="","",G13-B13)</f>
        <v/>
      </c>
      <c r="I13" s="15" t="str">
        <f aca="false">IF(OR(A13="",B13=0),"",ROUND(H13/B13*100,2))</f>
        <v/>
      </c>
      <c r="J13" s="15" t="str">
        <f aca="false">IF(OR(A13="",B13=0),"",ROUND((E13+F13)/B13*100,2))</f>
        <v/>
      </c>
      <c r="K13" s="15" t="str">
        <f aca="false">IF(OR(A13="",B13=0),"",ROUND((E13+F13-D13)/B13*100,2))</f>
        <v/>
      </c>
      <c r="L13" s="15" t="str">
        <f aca="false">IF(OR(A13="",B13=0),"",ROUND((B13+D13-E13-F13)/B13*100,2))</f>
        <v/>
      </c>
      <c r="M13" s="18" t="str">
        <f aca="false">IF(A13="","",M12+N12-O12)</f>
        <v/>
      </c>
      <c r="N13" s="8"/>
      <c r="O13" s="8"/>
      <c r="P13" s="15" t="str">
        <f aca="false">IF(OR(A13="",M13=0),"",ROUND(O13/M13*100,2))</f>
        <v/>
      </c>
    </row>
    <row r="14" customFormat="false" ht="15" hidden="false" customHeight="false" outlineLevel="0" collapsed="false">
      <c r="A14" s="17"/>
      <c r="B14" s="10" t="str">
        <f aca="false">IF(A14="","",G13)</f>
        <v/>
      </c>
      <c r="C14" s="7"/>
      <c r="D14" s="7"/>
      <c r="E14" s="7"/>
      <c r="F14" s="7"/>
      <c r="G14" s="10" t="str">
        <f aca="false">IF(A14="","",B14+C14+D14-E14-F14)</f>
        <v/>
      </c>
      <c r="H14" s="10" t="str">
        <f aca="false">IF(A14="","",G14-B14)</f>
        <v/>
      </c>
      <c r="I14" s="15" t="str">
        <f aca="false">IF(OR(A14="",B14=0),"",ROUND(H14/B14*100,2))</f>
        <v/>
      </c>
      <c r="J14" s="15" t="str">
        <f aca="false">IF(OR(A14="",B14=0),"",ROUND((E14+F14)/B14*100,2))</f>
        <v/>
      </c>
      <c r="K14" s="15" t="str">
        <f aca="false">IF(OR(A14="",B14=0),"",ROUND((E14+F14-D14)/B14*100,2))</f>
        <v/>
      </c>
      <c r="L14" s="15" t="str">
        <f aca="false">IF(OR(A14="",B14=0),"",ROUND((B14+D14-E14-F14)/B14*100,2))</f>
        <v/>
      </c>
      <c r="M14" s="18" t="str">
        <f aca="false">IF(A14="","",M13+N13-O13)</f>
        <v/>
      </c>
      <c r="N14" s="8"/>
      <c r="O14" s="8"/>
      <c r="P14" s="15" t="str">
        <f aca="false">IF(OR(A14="",M14=0),"",ROUND(O14/M14*100,2))</f>
        <v/>
      </c>
    </row>
    <row r="15" customFormat="false" ht="15" hidden="false" customHeight="false" outlineLevel="0" collapsed="false">
      <c r="A15" s="17"/>
      <c r="B15" s="10" t="str">
        <f aca="false">IF(A15="","",G14)</f>
        <v/>
      </c>
      <c r="C15" s="7"/>
      <c r="D15" s="7"/>
      <c r="E15" s="7"/>
      <c r="F15" s="7"/>
      <c r="G15" s="10" t="str">
        <f aca="false">IF(A15="","",B15+C15+D15-E15-F15)</f>
        <v/>
      </c>
      <c r="H15" s="10" t="str">
        <f aca="false">IF(A15="","",G15-B15)</f>
        <v/>
      </c>
      <c r="I15" s="15" t="str">
        <f aca="false">IF(OR(A15="",B15=0),"",ROUND(H15/B15*100,2))</f>
        <v/>
      </c>
      <c r="J15" s="15" t="str">
        <f aca="false">IF(OR(A15="",B15=0),"",ROUND((E15+F15)/B15*100,2))</f>
        <v/>
      </c>
      <c r="K15" s="15" t="str">
        <f aca="false">IF(OR(A15="",B15=0),"",ROUND((E15+F15-D15)/B15*100,2))</f>
        <v/>
      </c>
      <c r="L15" s="15" t="str">
        <f aca="false">IF(OR(A15="",B15=0),"",ROUND((B15+D15-E15-F15)/B15*100,2))</f>
        <v/>
      </c>
      <c r="M15" s="18" t="str">
        <f aca="false">IF(A15="","",M14+N14-O14)</f>
        <v/>
      </c>
      <c r="N15" s="8"/>
      <c r="O15" s="8"/>
      <c r="P15" s="15" t="str">
        <f aca="false">IF(OR(A15="",M15=0),"",ROUND(O15/M15*100,2))</f>
        <v/>
      </c>
    </row>
    <row r="16" customFormat="false" ht="15" hidden="false" customHeight="false" outlineLevel="0" collapsed="false">
      <c r="A16" s="17"/>
      <c r="B16" s="10" t="str">
        <f aca="false">IF(A16="","",G15)</f>
        <v/>
      </c>
      <c r="C16" s="7"/>
      <c r="D16" s="7"/>
      <c r="E16" s="7"/>
      <c r="F16" s="7"/>
      <c r="G16" s="10" t="str">
        <f aca="false">IF(A16="","",B16+C16+D16-E16-F16)</f>
        <v/>
      </c>
      <c r="H16" s="10" t="str">
        <f aca="false">IF(A16="","",G16-B16)</f>
        <v/>
      </c>
      <c r="I16" s="15" t="str">
        <f aca="false">IF(OR(A16="",B16=0),"",ROUND(H16/B16*100,2))</f>
        <v/>
      </c>
      <c r="J16" s="15" t="str">
        <f aca="false">IF(OR(A16="",B16=0),"",ROUND((E16+F16)/B16*100,2))</f>
        <v/>
      </c>
      <c r="K16" s="15" t="str">
        <f aca="false">IF(OR(A16="",B16=0),"",ROUND((E16+F16-D16)/B16*100,2))</f>
        <v/>
      </c>
      <c r="L16" s="15" t="str">
        <f aca="false">IF(OR(A16="",B16=0),"",ROUND((B16+D16-E16-F16)/B16*100,2))</f>
        <v/>
      </c>
      <c r="M16" s="18" t="str">
        <f aca="false">IF(A16="","",M15+N15-O15)</f>
        <v/>
      </c>
      <c r="N16" s="8"/>
      <c r="O16" s="8"/>
      <c r="P16" s="15" t="str">
        <f aca="false">IF(OR(A16="",M16=0),"",ROUND(O16/M16*100,2))</f>
        <v/>
      </c>
    </row>
    <row r="17" customFormat="false" ht="15" hidden="false" customHeight="false" outlineLevel="0" collapsed="false">
      <c r="A17" s="17"/>
      <c r="B17" s="10" t="str">
        <f aca="false">IF(A17="","",G16)</f>
        <v/>
      </c>
      <c r="C17" s="7"/>
      <c r="D17" s="7"/>
      <c r="E17" s="7"/>
      <c r="F17" s="7"/>
      <c r="G17" s="10" t="str">
        <f aca="false">IF(A17="","",B17+C17+D17-E17-F17)</f>
        <v/>
      </c>
      <c r="H17" s="10" t="str">
        <f aca="false">IF(A17="","",G17-B17)</f>
        <v/>
      </c>
      <c r="I17" s="15" t="str">
        <f aca="false">IF(OR(A17="",B17=0),"",ROUND(H17/B17*100,2))</f>
        <v/>
      </c>
      <c r="J17" s="15" t="str">
        <f aca="false">IF(OR(A17="",B17=0),"",ROUND((E17+F17)/B17*100,2))</f>
        <v/>
      </c>
      <c r="K17" s="15" t="str">
        <f aca="false">IF(OR(A17="",B17=0),"",ROUND((E17+F17-D17)/B17*100,2))</f>
        <v/>
      </c>
      <c r="L17" s="15" t="str">
        <f aca="false">IF(OR(A17="",B17=0),"",ROUND((B17+D17-E17-F17)/B17*100,2))</f>
        <v/>
      </c>
      <c r="M17" s="18" t="str">
        <f aca="false">IF(A17="","",M16+N16-O16)</f>
        <v/>
      </c>
      <c r="N17" s="8"/>
      <c r="O17" s="8"/>
      <c r="P17" s="15" t="str">
        <f aca="false">IF(OR(A17="",M17=0),"",ROUND(O17/M17*100,2))</f>
        <v/>
      </c>
    </row>
    <row r="18" customFormat="false" ht="15" hidden="false" customHeight="false" outlineLevel="0" collapsed="false">
      <c r="A18" s="17"/>
      <c r="B18" s="10" t="str">
        <f aca="false">IF(A18="","",G17)</f>
        <v/>
      </c>
      <c r="C18" s="7"/>
      <c r="D18" s="7"/>
      <c r="E18" s="7"/>
      <c r="F18" s="7"/>
      <c r="G18" s="10" t="str">
        <f aca="false">IF(A18="","",B18+C18+D18-E18-F18)</f>
        <v/>
      </c>
      <c r="H18" s="10" t="str">
        <f aca="false">IF(A18="","",G18-B18)</f>
        <v/>
      </c>
      <c r="I18" s="15" t="str">
        <f aca="false">IF(OR(A18="",B18=0),"",ROUND(H18/B18*100,2))</f>
        <v/>
      </c>
      <c r="J18" s="15" t="str">
        <f aca="false">IF(OR(A18="",B18=0),"",ROUND((E18+F18)/B18*100,2))</f>
        <v/>
      </c>
      <c r="K18" s="15" t="str">
        <f aca="false">IF(OR(A18="",B18=0),"",ROUND((E18+F18-D18)/B18*100,2))</f>
        <v/>
      </c>
      <c r="L18" s="15" t="str">
        <f aca="false">IF(OR(A18="",B18=0),"",ROUND((B18+D18-E18-F18)/B18*100,2))</f>
        <v/>
      </c>
      <c r="M18" s="18" t="str">
        <f aca="false">IF(A18="","",M17+N17-O17)</f>
        <v/>
      </c>
      <c r="N18" s="8"/>
      <c r="O18" s="8"/>
      <c r="P18" s="15" t="str">
        <f aca="false">IF(OR(A18="",M18=0),"",ROUND(O18/M18*100,2))</f>
        <v/>
      </c>
    </row>
    <row r="19" customFormat="false" ht="15" hidden="false" customHeight="false" outlineLevel="0" collapsed="false">
      <c r="A19" s="17"/>
      <c r="B19" s="10" t="str">
        <f aca="false">IF(A19="","",G18)</f>
        <v/>
      </c>
      <c r="C19" s="7"/>
      <c r="D19" s="7"/>
      <c r="E19" s="7"/>
      <c r="F19" s="7"/>
      <c r="G19" s="10" t="str">
        <f aca="false">IF(A19="","",B19+C19+D19-E19-F19)</f>
        <v/>
      </c>
      <c r="H19" s="10" t="str">
        <f aca="false">IF(A19="","",G19-B19)</f>
        <v/>
      </c>
      <c r="I19" s="15" t="str">
        <f aca="false">IF(OR(A19="",B19=0),"",ROUND(H19/B19*100,2))</f>
        <v/>
      </c>
      <c r="J19" s="15" t="str">
        <f aca="false">IF(OR(A19="",B19=0),"",ROUND((E19+F19)/B19*100,2))</f>
        <v/>
      </c>
      <c r="K19" s="15" t="str">
        <f aca="false">IF(OR(A19="",B19=0),"",ROUND((E19+F19-D19)/B19*100,2))</f>
        <v/>
      </c>
      <c r="L19" s="15" t="str">
        <f aca="false">IF(OR(A19="",B19=0),"",ROUND((B19+D19-E19-F19)/B19*100,2))</f>
        <v/>
      </c>
      <c r="M19" s="18" t="str">
        <f aca="false">IF(A19="","",M18+N18-O18)</f>
        <v/>
      </c>
      <c r="N19" s="8"/>
      <c r="O19" s="8"/>
      <c r="P19" s="15" t="str">
        <f aca="false">IF(OR(A19="",M19=0),"",ROUND(O19/M19*100,2))</f>
        <v/>
      </c>
    </row>
    <row r="20" customFormat="false" ht="15" hidden="false" customHeight="false" outlineLevel="0" collapsed="false">
      <c r="A20" s="17"/>
      <c r="B20" s="10" t="str">
        <f aca="false">IF(A20="","",G19)</f>
        <v/>
      </c>
      <c r="C20" s="7"/>
      <c r="D20" s="7"/>
      <c r="E20" s="7"/>
      <c r="F20" s="7"/>
      <c r="G20" s="10" t="str">
        <f aca="false">IF(A20="","",B20+C20+D20-E20-F20)</f>
        <v/>
      </c>
      <c r="H20" s="10" t="str">
        <f aca="false">IF(A20="","",G20-B20)</f>
        <v/>
      </c>
      <c r="I20" s="15" t="str">
        <f aca="false">IF(OR(A20="",B20=0),"",ROUND(H20/B20*100,2))</f>
        <v/>
      </c>
      <c r="J20" s="15" t="str">
        <f aca="false">IF(OR(A20="",B20=0),"",ROUND((E20+F20)/B20*100,2))</f>
        <v/>
      </c>
      <c r="K20" s="15" t="str">
        <f aca="false">IF(OR(A20="",B20=0),"",ROUND((E20+F20-D20)/B20*100,2))</f>
        <v/>
      </c>
      <c r="L20" s="15" t="str">
        <f aca="false">IF(OR(A20="",B20=0),"",ROUND((B20+D20-E20-F20)/B20*100,2))</f>
        <v/>
      </c>
      <c r="M20" s="18" t="str">
        <f aca="false">IF(A20="","",M19+N19-O19)</f>
        <v/>
      </c>
      <c r="N20" s="8"/>
      <c r="O20" s="8"/>
      <c r="P20" s="15" t="str">
        <f aca="false">IF(OR(A20="",M20=0),"",ROUND(O20/M20*100,2))</f>
        <v/>
      </c>
    </row>
    <row r="21" customFormat="false" ht="15" hidden="false" customHeight="false" outlineLevel="0" collapsed="false">
      <c r="A21" s="17"/>
      <c r="B21" s="10" t="str">
        <f aca="false">IF(A21="","",G20)</f>
        <v/>
      </c>
      <c r="C21" s="7"/>
      <c r="D21" s="7"/>
      <c r="E21" s="7"/>
      <c r="F21" s="7"/>
      <c r="G21" s="10" t="str">
        <f aca="false">IF(A21="","",B21+C21+D21-E21-F21)</f>
        <v/>
      </c>
      <c r="H21" s="10" t="str">
        <f aca="false">IF(A21="","",G21-B21)</f>
        <v/>
      </c>
      <c r="I21" s="15" t="str">
        <f aca="false">IF(OR(A21="",B21=0),"",ROUND(H21/B21*100,2))</f>
        <v/>
      </c>
      <c r="J21" s="15" t="str">
        <f aca="false">IF(OR(A21="",B21=0),"",ROUND((E21+F21)/B21*100,2))</f>
        <v/>
      </c>
      <c r="K21" s="15" t="str">
        <f aca="false">IF(OR(A21="",B21=0),"",ROUND((E21+F21-D21)/B21*100,2))</f>
        <v/>
      </c>
      <c r="L21" s="15" t="str">
        <f aca="false">IF(OR(A21="",B21=0),"",ROUND((B21+D21-E21-F21)/B21*100,2))</f>
        <v/>
      </c>
      <c r="M21" s="18" t="str">
        <f aca="false">IF(A21="","",M20+N20-O20)</f>
        <v/>
      </c>
      <c r="N21" s="8"/>
      <c r="O21" s="8"/>
      <c r="P21" s="15" t="str">
        <f aca="false">IF(OR(A21="",M21=0),"",ROUND(O21/M21*100,2))</f>
        <v/>
      </c>
    </row>
    <row r="22" customFormat="false" ht="15" hidden="false" customHeight="false" outlineLevel="0" collapsed="false">
      <c r="A22" s="17"/>
      <c r="B22" s="10" t="str">
        <f aca="false">IF(A22="","",G21)</f>
        <v/>
      </c>
      <c r="C22" s="7"/>
      <c r="D22" s="7"/>
      <c r="E22" s="7"/>
      <c r="F22" s="7"/>
      <c r="G22" s="10" t="str">
        <f aca="false">IF(A22="","",B22+C22+D22-E22-F22)</f>
        <v/>
      </c>
      <c r="H22" s="10" t="str">
        <f aca="false">IF(A22="","",G22-B22)</f>
        <v/>
      </c>
      <c r="I22" s="15" t="str">
        <f aca="false">IF(OR(A22="",B22=0),"",ROUND(H22/B22*100,2))</f>
        <v/>
      </c>
      <c r="J22" s="15" t="str">
        <f aca="false">IF(OR(A22="",B22=0),"",ROUND((E22+F22)/B22*100,2))</f>
        <v/>
      </c>
      <c r="K22" s="15" t="str">
        <f aca="false">IF(OR(A22="",B22=0),"",ROUND((E22+F22-D22)/B22*100,2))</f>
        <v/>
      </c>
      <c r="L22" s="15" t="str">
        <f aca="false">IF(OR(A22="",B22=0),"",ROUND((B22+D22-E22-F22)/B22*100,2))</f>
        <v/>
      </c>
      <c r="M22" s="18" t="str">
        <f aca="false">IF(A22="","",M21+N21-O21)</f>
        <v/>
      </c>
      <c r="N22" s="8"/>
      <c r="O22" s="8"/>
      <c r="P22" s="15" t="str">
        <f aca="false">IF(OR(A22="",M22=0),"",ROUND(O22/M22*100,2))</f>
        <v/>
      </c>
    </row>
    <row r="23" customFormat="false" ht="15" hidden="false" customHeight="false" outlineLevel="0" collapsed="false">
      <c r="A23" s="17"/>
      <c r="B23" s="10" t="str">
        <f aca="false">IF(A23="","",G22)</f>
        <v/>
      </c>
      <c r="C23" s="7"/>
      <c r="D23" s="7"/>
      <c r="E23" s="7"/>
      <c r="F23" s="7"/>
      <c r="G23" s="10" t="str">
        <f aca="false">IF(A23="","",B23+C23+D23-E23-F23)</f>
        <v/>
      </c>
      <c r="H23" s="10" t="str">
        <f aca="false">IF(A23="","",G23-B23)</f>
        <v/>
      </c>
      <c r="I23" s="15" t="str">
        <f aca="false">IF(OR(A23="",B23=0),"",ROUND(H23/B23*100,2))</f>
        <v/>
      </c>
      <c r="J23" s="15" t="str">
        <f aca="false">IF(OR(A23="",B23=0),"",ROUND((E23+F23)/B23*100,2))</f>
        <v/>
      </c>
      <c r="K23" s="15" t="str">
        <f aca="false">IF(OR(A23="",B23=0),"",ROUND((E23+F23-D23)/B23*100,2))</f>
        <v/>
      </c>
      <c r="L23" s="15" t="str">
        <f aca="false">IF(OR(A23="",B23=0),"",ROUND((B23+D23-E23-F23)/B23*100,2))</f>
        <v/>
      </c>
      <c r="M23" s="18" t="str">
        <f aca="false">IF(A23="","",M22+N22-O22)</f>
        <v/>
      </c>
      <c r="N23" s="8"/>
      <c r="O23" s="8"/>
      <c r="P23" s="15" t="str">
        <f aca="false">IF(OR(A23="",M23=0),"",ROUND(O23/M23*100,2))</f>
        <v/>
      </c>
    </row>
    <row r="24" customFormat="false" ht="15" hidden="false" customHeight="false" outlineLevel="0" collapsed="false">
      <c r="A24" s="17"/>
      <c r="B24" s="10" t="str">
        <f aca="false">IF(A24="","",G23)</f>
        <v/>
      </c>
      <c r="C24" s="7"/>
      <c r="D24" s="7"/>
      <c r="E24" s="7"/>
      <c r="F24" s="7"/>
      <c r="G24" s="10" t="str">
        <f aca="false">IF(A24="","",B24+C24+D24-E24-F24)</f>
        <v/>
      </c>
      <c r="H24" s="10" t="str">
        <f aca="false">IF(A24="","",G24-B24)</f>
        <v/>
      </c>
      <c r="I24" s="15" t="str">
        <f aca="false">IF(OR(A24="",B24=0),"",ROUND(H24/B24*100,2))</f>
        <v/>
      </c>
      <c r="J24" s="15" t="str">
        <f aca="false">IF(OR(A24="",B24=0),"",ROUND((E24+F24)/B24*100,2))</f>
        <v/>
      </c>
      <c r="K24" s="15" t="str">
        <f aca="false">IF(OR(A24="",B24=0),"",ROUND((E24+F24-D24)/B24*100,2))</f>
        <v/>
      </c>
      <c r="L24" s="15" t="str">
        <f aca="false">IF(OR(A24="",B24=0),"",ROUND((B24+D24-E24-F24)/B24*100,2))</f>
        <v/>
      </c>
      <c r="M24" s="18" t="str">
        <f aca="false">IF(A24="","",M23+N23-O23)</f>
        <v/>
      </c>
      <c r="N24" s="8"/>
      <c r="O24" s="8"/>
      <c r="P24" s="15" t="str">
        <f aca="false">IF(OR(A24="",M24=0),"",ROUND(O24/M24*100,2))</f>
        <v/>
      </c>
    </row>
    <row r="25" customFormat="false" ht="15" hidden="false" customHeight="false" outlineLevel="0" collapsed="false">
      <c r="A25" s="17"/>
      <c r="B25" s="10" t="str">
        <f aca="false">IF(A25="","",G24)</f>
        <v/>
      </c>
      <c r="C25" s="7"/>
      <c r="D25" s="7"/>
      <c r="E25" s="7"/>
      <c r="F25" s="7"/>
      <c r="G25" s="10" t="str">
        <f aca="false">IF(A25="","",B25+C25+D25-E25-F25)</f>
        <v/>
      </c>
      <c r="H25" s="10" t="str">
        <f aca="false">IF(A25="","",G25-B25)</f>
        <v/>
      </c>
      <c r="I25" s="15" t="str">
        <f aca="false">IF(OR(A25="",B25=0),"",ROUND(H25/B25*100,2))</f>
        <v/>
      </c>
      <c r="J25" s="15" t="str">
        <f aca="false">IF(OR(A25="",B25=0),"",ROUND((E25+F25)/B25*100,2))</f>
        <v/>
      </c>
      <c r="K25" s="15" t="str">
        <f aca="false">IF(OR(A25="",B25=0),"",ROUND((E25+F25-D25)/B25*100,2))</f>
        <v/>
      </c>
      <c r="L25" s="15" t="str">
        <f aca="false">IF(OR(A25="",B25=0),"",ROUND((B25+D25-E25-F25)/B25*100,2))</f>
        <v/>
      </c>
      <c r="M25" s="18" t="str">
        <f aca="false">IF(A25="","",M24+N24-O24)</f>
        <v/>
      </c>
      <c r="N25" s="8"/>
      <c r="O25" s="8"/>
      <c r="P25" s="15" t="str">
        <f aca="false">IF(OR(A25="",M25=0),"",ROUND(O25/M25*100,2))</f>
        <v/>
      </c>
    </row>
    <row r="26" customFormat="false" ht="15" hidden="false" customHeight="false" outlineLevel="0" collapsed="false">
      <c r="A26" s="17"/>
      <c r="B26" s="10" t="str">
        <f aca="false">IF(A26="","",G25)</f>
        <v/>
      </c>
      <c r="C26" s="7"/>
      <c r="D26" s="7"/>
      <c r="E26" s="7"/>
      <c r="F26" s="7"/>
      <c r="G26" s="10" t="str">
        <f aca="false">IF(A26="","",B26+C26+D26-E26-F26)</f>
        <v/>
      </c>
      <c r="H26" s="10" t="str">
        <f aca="false">IF(A26="","",G26-B26)</f>
        <v/>
      </c>
      <c r="I26" s="15" t="str">
        <f aca="false">IF(OR(A26="",B26=0),"",ROUND(H26/B26*100,2))</f>
        <v/>
      </c>
      <c r="J26" s="15" t="str">
        <f aca="false">IF(OR(A26="",B26=0),"",ROUND((E26+F26)/B26*100,2))</f>
        <v/>
      </c>
      <c r="K26" s="15" t="str">
        <f aca="false">IF(OR(A26="",B26=0),"",ROUND((E26+F26-D26)/B26*100,2))</f>
        <v/>
      </c>
      <c r="L26" s="15" t="str">
        <f aca="false">IF(OR(A26="",B26=0),"",ROUND((B26+D26-E26-F26)/B26*100,2))</f>
        <v/>
      </c>
      <c r="M26" s="18" t="str">
        <f aca="false">IF(A26="","",M25+N25-O25)</f>
        <v/>
      </c>
      <c r="N26" s="8"/>
      <c r="O26" s="8"/>
      <c r="P26" s="15" t="str">
        <f aca="false">IF(OR(A26="",M26=0),"",ROUND(O26/M26*100,2))</f>
        <v/>
      </c>
    </row>
    <row r="27" customFormat="false" ht="15" hidden="false" customHeight="false" outlineLevel="0" collapsed="false">
      <c r="A27" s="17"/>
      <c r="B27" s="10" t="str">
        <f aca="false">IF(A27="","",G26)</f>
        <v/>
      </c>
      <c r="C27" s="7"/>
      <c r="D27" s="7"/>
      <c r="E27" s="7"/>
      <c r="F27" s="7"/>
      <c r="G27" s="10" t="str">
        <f aca="false">IF(A27="","",B27+C27+D27-E27-F27)</f>
        <v/>
      </c>
      <c r="H27" s="10" t="str">
        <f aca="false">IF(A27="","",G27-B27)</f>
        <v/>
      </c>
      <c r="I27" s="15" t="str">
        <f aca="false">IF(OR(A27="",B27=0),"",ROUND(H27/B27*100,2))</f>
        <v/>
      </c>
      <c r="J27" s="15" t="str">
        <f aca="false">IF(OR(A27="",B27=0),"",ROUND((E27+F27)/B27*100,2))</f>
        <v/>
      </c>
      <c r="K27" s="15" t="str">
        <f aca="false">IF(OR(A27="",B27=0),"",ROUND((E27+F27-D27)/B27*100,2))</f>
        <v/>
      </c>
      <c r="L27" s="15" t="str">
        <f aca="false">IF(OR(A27="",B27=0),"",ROUND((B27+D27-E27-F27)/B27*100,2))</f>
        <v/>
      </c>
      <c r="M27" s="18" t="str">
        <f aca="false">IF(A27="","",M26+N26-O26)</f>
        <v/>
      </c>
      <c r="N27" s="8"/>
      <c r="O27" s="8"/>
      <c r="P27" s="15" t="str">
        <f aca="false">IF(OR(A27="",M27=0),"",ROUND(O27/M27*100,2))</f>
        <v/>
      </c>
    </row>
    <row r="28" customFormat="false" ht="15" hidden="false" customHeight="false" outlineLevel="0" collapsed="false">
      <c r="A28" s="17"/>
      <c r="B28" s="10" t="str">
        <f aca="false">IF(A28="","",G27)</f>
        <v/>
      </c>
      <c r="C28" s="7"/>
      <c r="D28" s="7"/>
      <c r="E28" s="7"/>
      <c r="F28" s="7"/>
      <c r="G28" s="10" t="str">
        <f aca="false">IF(A28="","",B28+C28+D28-E28-F28)</f>
        <v/>
      </c>
      <c r="H28" s="10" t="str">
        <f aca="false">IF(A28="","",G28-B28)</f>
        <v/>
      </c>
      <c r="I28" s="15" t="str">
        <f aca="false">IF(OR(A28="",B28=0),"",ROUND(H28/B28*100,2))</f>
        <v/>
      </c>
      <c r="J28" s="15" t="str">
        <f aca="false">IF(OR(A28="",B28=0),"",ROUND((E28+F28)/B28*100,2))</f>
        <v/>
      </c>
      <c r="K28" s="15" t="str">
        <f aca="false">IF(OR(A28="",B28=0),"",ROUND((E28+F28-D28)/B28*100,2))</f>
        <v/>
      </c>
      <c r="L28" s="15" t="str">
        <f aca="false">IF(OR(A28="",B28=0),"",ROUND((B28+D28-E28-F28)/B28*100,2))</f>
        <v/>
      </c>
      <c r="M28" s="18" t="str">
        <f aca="false">IF(A28="","",M27+N27-O27)</f>
        <v/>
      </c>
      <c r="N28" s="8"/>
      <c r="O28" s="8"/>
      <c r="P28" s="15" t="str">
        <f aca="false">IF(OR(A28="",M28=0),"",ROUND(O28/M28*100,2))</f>
        <v/>
      </c>
    </row>
    <row r="29" customFormat="false" ht="15" hidden="false" customHeight="false" outlineLevel="0" collapsed="false">
      <c r="A29" s="17"/>
      <c r="B29" s="10" t="str">
        <f aca="false">IF(A29="","",G28)</f>
        <v/>
      </c>
      <c r="C29" s="7"/>
      <c r="D29" s="7"/>
      <c r="E29" s="7"/>
      <c r="F29" s="7"/>
      <c r="G29" s="10" t="str">
        <f aca="false">IF(A29="","",B29+C29+D29-E29-F29)</f>
        <v/>
      </c>
      <c r="H29" s="10" t="str">
        <f aca="false">IF(A29="","",G29-B29)</f>
        <v/>
      </c>
      <c r="I29" s="15" t="str">
        <f aca="false">IF(OR(A29="",B29=0),"",ROUND(H29/B29*100,2))</f>
        <v/>
      </c>
      <c r="J29" s="15" t="str">
        <f aca="false">IF(OR(A29="",B29=0),"",ROUND((E29+F29)/B29*100,2))</f>
        <v/>
      </c>
      <c r="K29" s="15" t="str">
        <f aca="false">IF(OR(A29="",B29=0),"",ROUND((E29+F29-D29)/B29*100,2))</f>
        <v/>
      </c>
      <c r="L29" s="15" t="str">
        <f aca="false">IF(OR(A29="",B29=0),"",ROUND((B29+D29-E29-F29)/B29*100,2))</f>
        <v/>
      </c>
      <c r="M29" s="18" t="str">
        <f aca="false">IF(A29="","",M28+N28-O28)</f>
        <v/>
      </c>
      <c r="N29" s="8"/>
      <c r="O29" s="8"/>
      <c r="P29" s="15" t="str">
        <f aca="false">IF(OR(A29="",M29=0),"",ROUND(O29/M29*100,2))</f>
        <v/>
      </c>
    </row>
    <row r="30" customFormat="false" ht="15" hidden="false" customHeight="false" outlineLevel="0" collapsed="false">
      <c r="A30" s="17"/>
      <c r="B30" s="10" t="str">
        <f aca="false">IF(A30="","",G29)</f>
        <v/>
      </c>
      <c r="C30" s="7"/>
      <c r="D30" s="7"/>
      <c r="E30" s="7"/>
      <c r="F30" s="7"/>
      <c r="G30" s="10" t="str">
        <f aca="false">IF(A30="","",B30+C30+D30-E30-F30)</f>
        <v/>
      </c>
      <c r="H30" s="10" t="str">
        <f aca="false">IF(A30="","",G30-B30)</f>
        <v/>
      </c>
      <c r="I30" s="15" t="str">
        <f aca="false">IF(OR(A30="",B30=0),"",ROUND(H30/B30*100,2))</f>
        <v/>
      </c>
      <c r="J30" s="15" t="str">
        <f aca="false">IF(OR(A30="",B30=0),"",ROUND((E30+F30)/B30*100,2))</f>
        <v/>
      </c>
      <c r="K30" s="15" t="str">
        <f aca="false">IF(OR(A30="",B30=0),"",ROUND((E30+F30-D30)/B30*100,2))</f>
        <v/>
      </c>
      <c r="L30" s="15" t="str">
        <f aca="false">IF(OR(A30="",B30=0),"",ROUND((B30+D30-E30-F30)/B30*100,2))</f>
        <v/>
      </c>
      <c r="M30" s="18" t="str">
        <f aca="false">IF(A30="","",M29+N29-O29)</f>
        <v/>
      </c>
      <c r="N30" s="8"/>
      <c r="O30" s="8"/>
      <c r="P30" s="15" t="str">
        <f aca="false">IF(OR(A30="",M30=0),"",ROUND(O30/M30*100,2))</f>
        <v/>
      </c>
    </row>
    <row r="31" customFormat="false" ht="15" hidden="false" customHeight="false" outlineLevel="0" collapsed="false">
      <c r="A31" s="17"/>
      <c r="B31" s="10" t="str">
        <f aca="false">IF(A31="","",G30)</f>
        <v/>
      </c>
      <c r="C31" s="7"/>
      <c r="D31" s="7"/>
      <c r="E31" s="7"/>
      <c r="F31" s="7"/>
      <c r="G31" s="10" t="str">
        <f aca="false">IF(A31="","",B31+C31+D31-E31-F31)</f>
        <v/>
      </c>
      <c r="H31" s="10" t="str">
        <f aca="false">IF(A31="","",G31-B31)</f>
        <v/>
      </c>
      <c r="I31" s="15" t="str">
        <f aca="false">IF(OR(A31="",B31=0),"",ROUND(H31/B31*100,2))</f>
        <v/>
      </c>
      <c r="J31" s="15" t="str">
        <f aca="false">IF(OR(A31="",B31=0),"",ROUND((E31+F31)/B31*100,2))</f>
        <v/>
      </c>
      <c r="K31" s="15" t="str">
        <f aca="false">IF(OR(A31="",B31=0),"",ROUND((E31+F31-D31)/B31*100,2))</f>
        <v/>
      </c>
      <c r="L31" s="15" t="str">
        <f aca="false">IF(OR(A31="",B31=0),"",ROUND((B31+D31-E31-F31)/B31*100,2))</f>
        <v/>
      </c>
      <c r="M31" s="18" t="str">
        <f aca="false">IF(A31="","",M30+N30-O30)</f>
        <v/>
      </c>
      <c r="N31" s="8"/>
      <c r="O31" s="8"/>
      <c r="P31" s="15" t="str">
        <f aca="false">IF(OR(A31="",M31=0),"",ROUND(O31/M31*100,2))</f>
        <v/>
      </c>
    </row>
    <row r="32" customFormat="false" ht="15" hidden="false" customHeight="false" outlineLevel="0" collapsed="false">
      <c r="A32" s="17"/>
      <c r="B32" s="10" t="str">
        <f aca="false">IF(A32="","",G31)</f>
        <v/>
      </c>
      <c r="C32" s="7"/>
      <c r="D32" s="7"/>
      <c r="E32" s="7"/>
      <c r="F32" s="7"/>
      <c r="G32" s="10" t="str">
        <f aca="false">IF(A32="","",B32+C32+D32-E32-F32)</f>
        <v/>
      </c>
      <c r="H32" s="10" t="str">
        <f aca="false">IF(A32="","",G32-B32)</f>
        <v/>
      </c>
      <c r="I32" s="15" t="str">
        <f aca="false">IF(OR(A32="",B32=0),"",ROUND(H32/B32*100,2))</f>
        <v/>
      </c>
      <c r="J32" s="15" t="str">
        <f aca="false">IF(OR(A32="",B32=0),"",ROUND((E32+F32)/B32*100,2))</f>
        <v/>
      </c>
      <c r="K32" s="15" t="str">
        <f aca="false">IF(OR(A32="",B32=0),"",ROUND((E32+F32-D32)/B32*100,2))</f>
        <v/>
      </c>
      <c r="L32" s="15" t="str">
        <f aca="false">IF(OR(A32="",B32=0),"",ROUND((B32+D32-E32-F32)/B32*100,2))</f>
        <v/>
      </c>
      <c r="M32" s="18" t="str">
        <f aca="false">IF(A32="","",M31+N31-O31)</f>
        <v/>
      </c>
      <c r="N32" s="8"/>
      <c r="O32" s="8"/>
      <c r="P32" s="15" t="str">
        <f aca="false">IF(OR(A32="",M32=0),"",ROUND(O32/M32*100,2))</f>
        <v/>
      </c>
    </row>
    <row r="33" customFormat="false" ht="15" hidden="false" customHeight="false" outlineLevel="0" collapsed="false">
      <c r="A33" s="17"/>
      <c r="B33" s="10" t="str">
        <f aca="false">IF(A33="","",G32)</f>
        <v/>
      </c>
      <c r="C33" s="7"/>
      <c r="D33" s="7"/>
      <c r="E33" s="7"/>
      <c r="F33" s="7"/>
      <c r="G33" s="10" t="str">
        <f aca="false">IF(A33="","",B33+C33+D33-E33-F33)</f>
        <v/>
      </c>
      <c r="H33" s="10" t="str">
        <f aca="false">IF(A33="","",G33-B33)</f>
        <v/>
      </c>
      <c r="I33" s="15" t="str">
        <f aca="false">IF(OR(A33="",B33=0),"",ROUND(H33/B33*100,2))</f>
        <v/>
      </c>
      <c r="J33" s="15" t="str">
        <f aca="false">IF(OR(A33="",B33=0),"",ROUND((E33+F33)/B33*100,2))</f>
        <v/>
      </c>
      <c r="K33" s="15" t="str">
        <f aca="false">IF(OR(A33="",B33=0),"",ROUND((E33+F33-D33)/B33*100,2))</f>
        <v/>
      </c>
      <c r="L33" s="15" t="str">
        <f aca="false">IF(OR(A33="",B33=0),"",ROUND((B33+D33-E33-F33)/B33*100,2))</f>
        <v/>
      </c>
      <c r="M33" s="18" t="str">
        <f aca="false">IF(A33="","",M32+N32-O32)</f>
        <v/>
      </c>
      <c r="N33" s="8"/>
      <c r="O33" s="8"/>
      <c r="P33" s="15" t="str">
        <f aca="false">IF(OR(A33="",M33=0),"",ROUND(O33/M33*100,2))</f>
        <v/>
      </c>
    </row>
    <row r="34" customFormat="false" ht="15" hidden="false" customHeight="false" outlineLevel="0" collapsed="false">
      <c r="A34" s="17"/>
      <c r="B34" s="10" t="str">
        <f aca="false">IF(A34="","",G33)</f>
        <v/>
      </c>
      <c r="C34" s="7"/>
      <c r="D34" s="7"/>
      <c r="E34" s="7"/>
      <c r="F34" s="7"/>
      <c r="G34" s="10" t="str">
        <f aca="false">IF(A34="","",B34+C34+D34-E34-F34)</f>
        <v/>
      </c>
      <c r="H34" s="10" t="str">
        <f aca="false">IF(A34="","",G34-B34)</f>
        <v/>
      </c>
      <c r="I34" s="15" t="str">
        <f aca="false">IF(OR(A34="",B34=0),"",ROUND(H34/B34*100,2))</f>
        <v/>
      </c>
      <c r="J34" s="15" t="str">
        <f aca="false">IF(OR(A34="",B34=0),"",ROUND((E34+F34)/B34*100,2))</f>
        <v/>
      </c>
      <c r="K34" s="15" t="str">
        <f aca="false">IF(OR(A34="",B34=0),"",ROUND((E34+F34-D34)/B34*100,2))</f>
        <v/>
      </c>
      <c r="L34" s="15" t="str">
        <f aca="false">IF(OR(A34="",B34=0),"",ROUND((B34+D34-E34-F34)/B34*100,2))</f>
        <v/>
      </c>
      <c r="M34" s="18" t="str">
        <f aca="false">IF(A34="","",M33+N33-O33)</f>
        <v/>
      </c>
      <c r="N34" s="8"/>
      <c r="O34" s="8"/>
      <c r="P34" s="15" t="str">
        <f aca="false">IF(OR(A34="",M34=0),"",ROUND(O34/M34*100,2))</f>
        <v/>
      </c>
    </row>
    <row r="35" customFormat="false" ht="15" hidden="false" customHeight="false" outlineLevel="0" collapsed="false">
      <c r="A35" s="17"/>
      <c r="B35" s="10" t="str">
        <f aca="false">IF(A35="","",G34)</f>
        <v/>
      </c>
      <c r="C35" s="7"/>
      <c r="D35" s="7"/>
      <c r="E35" s="7"/>
      <c r="F35" s="7"/>
      <c r="G35" s="10" t="str">
        <f aca="false">IF(A35="","",B35+C35+D35-E35-F35)</f>
        <v/>
      </c>
      <c r="H35" s="10" t="str">
        <f aca="false">IF(A35="","",G35-B35)</f>
        <v/>
      </c>
      <c r="I35" s="15" t="str">
        <f aca="false">IF(OR(A35="",B35=0),"",ROUND(H35/B35*100,2))</f>
        <v/>
      </c>
      <c r="J35" s="15" t="str">
        <f aca="false">IF(OR(A35="",B35=0),"",ROUND((E35+F35)/B35*100,2))</f>
        <v/>
      </c>
      <c r="K35" s="15" t="str">
        <f aca="false">IF(OR(A35="",B35=0),"",ROUND((E35+F35-D35)/B35*100,2))</f>
        <v/>
      </c>
      <c r="L35" s="15" t="str">
        <f aca="false">IF(OR(A35="",B35=0),"",ROUND((B35+D35-E35-F35)/B35*100,2))</f>
        <v/>
      </c>
      <c r="M35" s="18" t="str">
        <f aca="false">IF(A35="","",M34+N34-O34)</f>
        <v/>
      </c>
      <c r="N35" s="8"/>
      <c r="O35" s="8"/>
      <c r="P35" s="15" t="str">
        <f aca="false">IF(OR(A35="",M35=0),"",ROUND(O35/M35*100,2))</f>
        <v/>
      </c>
    </row>
    <row r="36" customFormat="false" ht="15" hidden="false" customHeight="false" outlineLevel="0" collapsed="false">
      <c r="A36" s="17"/>
      <c r="B36" s="10" t="str">
        <f aca="false">IF(A36="","",G35)</f>
        <v/>
      </c>
      <c r="C36" s="7"/>
      <c r="D36" s="7"/>
      <c r="E36" s="7"/>
      <c r="F36" s="7"/>
      <c r="G36" s="10" t="str">
        <f aca="false">IF(A36="","",B36+C36+D36-E36-F36)</f>
        <v/>
      </c>
      <c r="H36" s="10" t="str">
        <f aca="false">IF(A36="","",G36-B36)</f>
        <v/>
      </c>
      <c r="I36" s="15" t="str">
        <f aca="false">IF(OR(A36="",B36=0),"",ROUND(H36/B36*100,2))</f>
        <v/>
      </c>
      <c r="J36" s="15" t="str">
        <f aca="false">IF(OR(A36="",B36=0),"",ROUND((E36+F36)/B36*100,2))</f>
        <v/>
      </c>
      <c r="K36" s="15" t="str">
        <f aca="false">IF(OR(A36="",B36=0),"",ROUND((E36+F36-D36)/B36*100,2))</f>
        <v/>
      </c>
      <c r="L36" s="15" t="str">
        <f aca="false">IF(OR(A36="",B36=0),"",ROUND((B36+D36-E36-F36)/B36*100,2))</f>
        <v/>
      </c>
      <c r="M36" s="18" t="str">
        <f aca="false">IF(A36="","",M35+N35-O35)</f>
        <v/>
      </c>
      <c r="N36" s="8"/>
      <c r="O36" s="8"/>
      <c r="P36" s="15" t="str">
        <f aca="false">IF(OR(A36="",M36=0),"",ROUND(O36/M36*100,2))</f>
        <v/>
      </c>
    </row>
    <row r="37" customFormat="false" ht="15" hidden="false" customHeight="false" outlineLevel="0" collapsed="false">
      <c r="A37" s="17"/>
      <c r="B37" s="10" t="str">
        <f aca="false">IF(A37="","",G36)</f>
        <v/>
      </c>
      <c r="C37" s="7"/>
      <c r="D37" s="7"/>
      <c r="E37" s="7"/>
      <c r="F37" s="7"/>
      <c r="G37" s="10" t="str">
        <f aca="false">IF(A37="","",B37+C37+D37-E37-F37)</f>
        <v/>
      </c>
      <c r="H37" s="10" t="str">
        <f aca="false">IF(A37="","",G37-B37)</f>
        <v/>
      </c>
      <c r="I37" s="15" t="str">
        <f aca="false">IF(OR(A37="",B37=0),"",ROUND(H37/B37*100,2))</f>
        <v/>
      </c>
      <c r="J37" s="15" t="str">
        <f aca="false">IF(OR(A37="",B37=0),"",ROUND((E37+F37)/B37*100,2))</f>
        <v/>
      </c>
      <c r="K37" s="15" t="str">
        <f aca="false">IF(OR(A37="",B37=0),"",ROUND((E37+F37-D37)/B37*100,2))</f>
        <v/>
      </c>
      <c r="L37" s="15" t="str">
        <f aca="false">IF(OR(A37="",B37=0),"",ROUND((B37+D37-E37-F37)/B37*100,2))</f>
        <v/>
      </c>
      <c r="M37" s="18" t="str">
        <f aca="false">IF(A37="","",M36+N36-O36)</f>
        <v/>
      </c>
      <c r="N37" s="8"/>
      <c r="O37" s="8"/>
      <c r="P37" s="15" t="str">
        <f aca="false">IF(OR(A37="",M37=0),"",ROUND(O37/M37*100,2))</f>
        <v/>
      </c>
    </row>
    <row r="38" customFormat="false" ht="15" hidden="false" customHeight="false" outlineLevel="0" collapsed="false">
      <c r="A38" s="17"/>
      <c r="B38" s="10" t="str">
        <f aca="false">IF(A38="","",G37)</f>
        <v/>
      </c>
      <c r="C38" s="7"/>
      <c r="D38" s="7"/>
      <c r="E38" s="7"/>
      <c r="F38" s="7"/>
      <c r="G38" s="10" t="str">
        <f aca="false">IF(A38="","",B38+C38+D38-E38-F38)</f>
        <v/>
      </c>
      <c r="H38" s="10" t="str">
        <f aca="false">IF(A38="","",G38-B38)</f>
        <v/>
      </c>
      <c r="I38" s="15" t="str">
        <f aca="false">IF(OR(A38="",B38=0),"",ROUND(H38/B38*100,2))</f>
        <v/>
      </c>
      <c r="J38" s="15" t="str">
        <f aca="false">IF(OR(A38="",B38=0),"",ROUND((E38+F38)/B38*100,2))</f>
        <v/>
      </c>
      <c r="K38" s="15" t="str">
        <f aca="false">IF(OR(A38="",B38=0),"",ROUND((E38+F38-D38)/B38*100,2))</f>
        <v/>
      </c>
      <c r="L38" s="15" t="str">
        <f aca="false">IF(OR(A38="",B38=0),"",ROUND((B38+D38-E38-F38)/B38*100,2))</f>
        <v/>
      </c>
      <c r="M38" s="18" t="str">
        <f aca="false">IF(A38="","",M37+N37-O37)</f>
        <v/>
      </c>
      <c r="N38" s="8"/>
      <c r="O38" s="8"/>
      <c r="P38" s="15" t="str">
        <f aca="false">IF(OR(A38="",M38=0),"",ROUND(O38/M38*100,2))</f>
        <v/>
      </c>
    </row>
    <row r="39" customFormat="false" ht="15" hidden="false" customHeight="false" outlineLevel="0" collapsed="false">
      <c r="A39" s="17"/>
      <c r="B39" s="10" t="str">
        <f aca="false">IF(A39="","",G38)</f>
        <v/>
      </c>
      <c r="C39" s="7"/>
      <c r="D39" s="7"/>
      <c r="E39" s="7"/>
      <c r="F39" s="7"/>
      <c r="G39" s="10" t="str">
        <f aca="false">IF(A39="","",B39+C39+D39-E39-F39)</f>
        <v/>
      </c>
      <c r="H39" s="10" t="str">
        <f aca="false">IF(A39="","",G39-B39)</f>
        <v/>
      </c>
      <c r="I39" s="15" t="str">
        <f aca="false">IF(OR(A39="",B39=0),"",ROUND(H39/B39*100,2))</f>
        <v/>
      </c>
      <c r="J39" s="15" t="str">
        <f aca="false">IF(OR(A39="",B39=0),"",ROUND((E39+F39)/B39*100,2))</f>
        <v/>
      </c>
      <c r="K39" s="15" t="str">
        <f aca="false">IF(OR(A39="",B39=0),"",ROUND((E39+F39-D39)/B39*100,2))</f>
        <v/>
      </c>
      <c r="L39" s="15" t="str">
        <f aca="false">IF(OR(A39="",B39=0),"",ROUND((B39+D39-E39-F39)/B39*100,2))</f>
        <v/>
      </c>
      <c r="M39" s="18" t="str">
        <f aca="false">IF(A39="","",M38+N38-O38)</f>
        <v/>
      </c>
      <c r="N39" s="8"/>
      <c r="O39" s="8"/>
      <c r="P39" s="15" t="str">
        <f aca="false">IF(OR(A39="",M39=0),"",ROUND(O39/M39*100,2))</f>
        <v/>
      </c>
    </row>
    <row r="40" customFormat="false" ht="15" hidden="false" customHeight="false" outlineLevel="0" collapsed="false">
      <c r="A40" s="17"/>
      <c r="B40" s="10" t="str">
        <f aca="false">IF(A40="","",G39)</f>
        <v/>
      </c>
      <c r="C40" s="7"/>
      <c r="D40" s="7"/>
      <c r="E40" s="7"/>
      <c r="F40" s="7"/>
      <c r="G40" s="10" t="str">
        <f aca="false">IF(A40="","",B40+C40+D40-E40-F40)</f>
        <v/>
      </c>
      <c r="H40" s="10" t="str">
        <f aca="false">IF(A40="","",G40-B40)</f>
        <v/>
      </c>
      <c r="I40" s="15" t="str">
        <f aca="false">IF(OR(A40="",B40=0),"",ROUND(H40/B40*100,2))</f>
        <v/>
      </c>
      <c r="J40" s="15" t="str">
        <f aca="false">IF(OR(A40="",B40=0),"",ROUND((E40+F40)/B40*100,2))</f>
        <v/>
      </c>
      <c r="K40" s="15" t="str">
        <f aca="false">IF(OR(A40="",B40=0),"",ROUND((E40+F40-D40)/B40*100,2))</f>
        <v/>
      </c>
      <c r="L40" s="15" t="str">
        <f aca="false">IF(OR(A40="",B40=0),"",ROUND((B40+D40-E40-F40)/B40*100,2))</f>
        <v/>
      </c>
      <c r="M40" s="18" t="str">
        <f aca="false">IF(A40="","",M39+N39-O39)</f>
        <v/>
      </c>
      <c r="N40" s="8"/>
      <c r="O40" s="8"/>
      <c r="P40" s="15" t="str">
        <f aca="false">IF(OR(A40="",M40=0),"",ROUND(O40/M40*100,2))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3" t="s">
        <v>47</v>
      </c>
      <c r="B2" s="14" t="n">
        <f aca="false">Plans!E18</f>
        <v>13.33</v>
      </c>
      <c r="C2" s="2" t="s">
        <v>48</v>
      </c>
    </row>
    <row r="3" customFormat="false" ht="15" hidden="false" customHeight="false" outlineLevel="0" collapsed="false">
      <c r="A3" s="3" t="s">
        <v>49</v>
      </c>
      <c r="B3" s="19" t="n">
        <v>80</v>
      </c>
      <c r="C3" s="2" t="s">
        <v>50</v>
      </c>
    </row>
    <row r="4" customFormat="false" ht="15" hidden="false" customHeight="false" outlineLevel="0" collapsed="false">
      <c r="A4" s="3" t="s">
        <v>51</v>
      </c>
      <c r="B4" s="20" t="n">
        <v>3</v>
      </c>
      <c r="C4" s="2" t="s">
        <v>52</v>
      </c>
    </row>
    <row r="5" customFormat="false" ht="15" hidden="false" customHeight="false" outlineLevel="0" collapsed="false">
      <c r="A5" s="3" t="s">
        <v>53</v>
      </c>
      <c r="B5" s="14" t="n">
        <v>30000</v>
      </c>
    </row>
    <row r="6" customFormat="false" ht="15" hidden="false" customHeight="false" outlineLevel="0" collapsed="false">
      <c r="A6" s="3" t="s">
        <v>54</v>
      </c>
      <c r="B6" s="16" t="n">
        <v>100</v>
      </c>
    </row>
    <row r="8" customFormat="false" ht="15" hidden="false" customHeight="false" outlineLevel="0" collapsed="false">
      <c r="A8" s="4" t="s">
        <v>55</v>
      </c>
      <c r="B8" s="12" t="n">
        <f aca="false">IFERROR(ROUND(B5/B6,2),0)</f>
        <v>300</v>
      </c>
      <c r="C8" s="2" t="s">
        <v>56</v>
      </c>
    </row>
    <row r="9" customFormat="false" ht="15" hidden="false" customHeight="false" outlineLevel="0" collapsed="false">
      <c r="A9" s="4" t="s">
        <v>57</v>
      </c>
      <c r="B9" s="21" t="n">
        <f aca="false">IFERROR(ROUND(1/(B4/100),2),"")</f>
        <v>33.33</v>
      </c>
      <c r="C9" s="2" t="s">
        <v>58</v>
      </c>
    </row>
    <row r="10" customFormat="false" ht="15" hidden="false" customHeight="false" outlineLevel="0" collapsed="false">
      <c r="A10" s="4" t="s">
        <v>59</v>
      </c>
      <c r="B10" s="12" t="n">
        <f aca="false">IFERROR(ROUND(B2*B3/100/(B4/100),2),"")</f>
        <v>355.47</v>
      </c>
      <c r="C10" s="2" t="s">
        <v>60</v>
      </c>
    </row>
    <row r="11" customFormat="false" ht="15" hidden="false" customHeight="false" outlineLevel="0" collapsed="false">
      <c r="A11" s="4" t="s">
        <v>61</v>
      </c>
      <c r="B11" s="21" t="n">
        <f aca="false">IFERROR(ROUND(B10/B8,2),"")</f>
        <v>1.18</v>
      </c>
      <c r="C11" s="2" t="s">
        <v>62</v>
      </c>
    </row>
    <row r="12" customFormat="false" ht="15" hidden="false" customHeight="false" outlineLevel="0" collapsed="false">
      <c r="A12" s="4" t="s">
        <v>63</v>
      </c>
      <c r="B12" s="21" t="n">
        <f aca="false">IFERROR(ROUND(B8/(B2*B3/100),2),"")</f>
        <v>28.13</v>
      </c>
      <c r="C12" s="2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3" t="s">
        <v>66</v>
      </c>
      <c r="B2" s="14" t="n">
        <v>120000</v>
      </c>
    </row>
    <row r="3" customFormat="false" ht="15" hidden="false" customHeight="false" outlineLevel="0" collapsed="false">
      <c r="A3" s="3" t="s">
        <v>67</v>
      </c>
      <c r="B3" s="14" t="n">
        <v>25000</v>
      </c>
    </row>
    <row r="4" customFormat="false" ht="15" hidden="false" customHeight="false" outlineLevel="0" collapsed="false">
      <c r="A4" s="3" t="s">
        <v>68</v>
      </c>
      <c r="B4" s="7" t="n">
        <f aca="false">Plans!E16</f>
        <v>2000</v>
      </c>
    </row>
    <row r="6" customFormat="false" ht="15" hidden="false" customHeight="false" outlineLevel="0" collapsed="false">
      <c r="A6" s="4" t="s">
        <v>69</v>
      </c>
      <c r="B6" s="12" t="n">
        <f aca="false">B3-B4</f>
        <v>23000</v>
      </c>
      <c r="C6" s="2" t="s">
        <v>70</v>
      </c>
    </row>
    <row r="7" customFormat="false" ht="15" hidden="false" customHeight="false" outlineLevel="0" collapsed="false">
      <c r="A7" s="4" t="s">
        <v>71</v>
      </c>
      <c r="B7" s="22" t="n">
        <f aca="false">IF(B6&lt;=0,"Cash-positive",ROUND(B2/B6,1))</f>
        <v>5.2</v>
      </c>
    </row>
    <row r="8" customFormat="false" ht="15" hidden="false" customHeight="false" outlineLevel="0" collapsed="false">
      <c r="A8" s="4" t="s">
        <v>72</v>
      </c>
      <c r="B8" s="23" t="n">
        <f aca="true">IF(B6&lt;=0,"",EDATE(TODAY(),INT(B2/B6)))</f>
        <v>46447</v>
      </c>
      <c r="C8" s="2" t="s">
        <v>73</v>
      </c>
    </row>
    <row r="9" customFormat="false" ht="15" hidden="false" customHeight="false" outlineLevel="0" collapsed="false">
      <c r="A9" s="3" t="s">
        <v>74</v>
      </c>
      <c r="B9" s="16" t="n">
        <v>18</v>
      </c>
    </row>
    <row r="10" customFormat="false" ht="15" hidden="false" customHeight="false" outlineLevel="0" collapsed="false">
      <c r="A10" s="4" t="s">
        <v>75</v>
      </c>
      <c r="B10" s="12" t="n">
        <f aca="false">ROUND(B4+B2/B9,2)</f>
        <v>8666.67</v>
      </c>
    </row>
    <row r="11" customFormat="false" ht="15" hidden="false" customHeight="false" outlineLevel="0" collapsed="false">
      <c r="A11" s="4" t="s">
        <v>76</v>
      </c>
      <c r="B11" s="12" t="n">
        <f aca="false">MAX(0,B3-B10)</f>
        <v>16333.33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2026-10-01T08:01:33Z</dcterms:created>
  <dc:creator>openpyxl</dc:creator>
  <dc:description/>
  <dc:language>en-US</dc:language>
  <cp:lastModifiedBy/>
  <dcterms:modified xsi:type="dcterms:W3CDTF">2026-10-01T08:01:33Z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