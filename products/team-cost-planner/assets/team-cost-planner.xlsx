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ettings" sheetId="2" state="visible" r:id="rId4"/>
    <sheet name="Team" sheetId="3" state="visible" r:id="rId5"/>
    <sheet name="Raises" sheetId="4" state="visible" r:id="rId6"/>
    <sheet name="PTO" sheetId="5" state="visible" r:id="rId7"/>
    <sheet name="Hiring &amp; Turnover"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<sst xmlns="http://schemas.openxmlformats.org/spreadsheetml/2006/main" count="130" uniqueCount="117">
  <si>
    <t xml:space="preserve">Team Cost &amp; Headcount Planner</t>
  </si>
  <si>
    <t xml:space="preserve">by Knackdesk · knackdesk.com</t>
  </si>
  <si>
    <t xml:space="preserve">HOW TO USE</t>
  </si>
  <si>
    <t xml:space="preserve">1. Settings: your defaults for employer contributions, hours, weeks worked, productive share, working days and PTO. Every other sheet reads them.</t>
  </si>
  <si>
    <t xml:space="preserve">2. Team: one row per person with salary, benefits and overheads. Employer contributions, total annual and monthly cost, cost per productive hour and the cost multiplier are calculated, with team totals in row 41.</t>
  </si>
  <si>
    <t xml:space="preserve">3. Raises: name a person, choose percent or amount and enter the raise. New salary, monthly difference and the yearly cost to the business (raise plus contributions) are calculated.</t>
  </si>
  <si>
    <t xml:space="preserve">4. PTO: one row per person with entitlement, pay frequency and pay periods completed this year, plus carried-over and taken days. Accrual per period, accrued to date, balance and days still to earn are calculated.</t>
  </si>
  <si>
    <t xml:space="preserve">5. Hiring &amp; Turnover: planned hires with their cost in the plan year, and the cost of turnover per leaver and per year using your average cost per employee.</t>
  </si>
  <si>
    <t xml:space="preserve">LEGEND</t>
  </si>
  <si>
    <t xml:space="preserve">Blue text = a cell you type into.   Black text = a formula, leave it alone.   Yellow fill = key inputs.</t>
  </si>
  <si>
    <t xml:space="preserve">Blue cells that already contain a formula (defaults pulled from Settings or Team) may be overwritten with your own figure.</t>
  </si>
  <si>
    <t xml:space="preserve">DEFINITIONS</t>
  </si>
  <si>
    <t xml:space="preserve">Total annual cost = salary + salary × employer contribution rate + benefits + overheads. Monthly cost = annual ÷ 12.</t>
  </si>
  <si>
    <t xml:space="preserve">Productive hours = hours per week × weeks worked × productive share. Cost per productive hour = total annual cost ÷ productive hours.</t>
  </si>
  <si>
    <t xml:space="preserve">PTO per period = annual days ÷ pay periods per year (weekly 52, biweekly 26, semimonthly 24, monthly 12). Balance = carried over + accrued − taken.</t>
  </si>
  <si>
    <t xml:space="preserve">Turnover cost per leaver = recruiting + vacancy (daily cost × vacant days) + onboarding + ramp-up (daily cost × ramp days × (1 − ramp productivity)).</t>
  </si>
  <si>
    <t xml:space="preserve">Rates for employer contributions and leave rules differ by country and contract; enter your own. Arithmetic only; not legal, tax or HR advice. Support: hello@knackdesk.com</t>
  </si>
  <si>
    <t xml:space="preserve">Settings</t>
  </si>
  <si>
    <t xml:space="preserve">Employer contributions (% of salary)</t>
  </si>
  <si>
    <t xml:space="preserve">Social security, pension, health or unemployment contributions the employer pays on top of gross salary.</t>
  </si>
  <si>
    <t xml:space="preserve">Hours per week</t>
  </si>
  <si>
    <t xml:space="preserve">Contracted hours; overridable per person on the Team sheet.</t>
  </si>
  <si>
    <t xml:space="preserve">Weeks worked per year</t>
  </si>
  <si>
    <t xml:space="preserve">52 minus holiday, public holidays and typical sick leave.</t>
  </si>
  <si>
    <t xml:space="preserve">Productive share of hours (%)</t>
  </si>
  <si>
    <t xml:space="preserve">Share of contracted hours spent on billable or output work.</t>
  </si>
  <si>
    <t xml:space="preserve">Working days per year</t>
  </si>
  <si>
    <t xml:space="preserve">Used for the daily cost in turnover calculations.</t>
  </si>
  <si>
    <t xml:space="preserve">Ramp-up productivity for new hires (%)</t>
  </si>
  <si>
    <t xml:space="preserve">Average output during the ramp-up period as a share of full productivity.</t>
  </si>
  <si>
    <t xml:space="preserve">Default paid time off per year (days)</t>
  </si>
  <si>
    <t xml:space="preserve">Overridable per person on the PTO sheet.</t>
  </si>
  <si>
    <t xml:space="preserve">Default pay frequency</t>
  </si>
  <si>
    <t xml:space="preserve">biweekly</t>
  </si>
  <si>
    <t xml:space="preserve">weekly, biweekly, semimonthly or monthly.</t>
  </si>
  <si>
    <t xml:space="preserve">Plan year</t>
  </si>
  <si>
    <t xml:space="preserve">Hires starting in this year are prorated by the months remaining.</t>
  </si>
  <si>
    <t xml:space="preserve">Team</t>
  </si>
  <si>
    <t xml:space="preserve">One row per person. Contribution rate and hours default to Settings; overwrite them per person if needed.</t>
  </si>
  <si>
    <t xml:space="preserve">Name</t>
  </si>
  <si>
    <t xml:space="preserve">Role</t>
  </si>
  <si>
    <t xml:space="preserve">Start date</t>
  </si>
  <si>
    <t xml:space="preserve">Annual salary</t>
  </si>
  <si>
    <t xml:space="preserve">Employer contrib. %</t>
  </si>
  <si>
    <t xml:space="preserve">Benefits / yr</t>
  </si>
  <si>
    <t xml:space="preserve">Overheads / yr</t>
  </si>
  <si>
    <t xml:space="preserve">Employer contributions</t>
  </si>
  <si>
    <t xml:space="preserve">Total annual cost</t>
  </si>
  <si>
    <t xml:space="preserve">Monthly cost</t>
  </si>
  <si>
    <t xml:space="preserve">Hours / week</t>
  </si>
  <si>
    <t xml:space="preserve">Cost per productive hour</t>
  </si>
  <si>
    <t xml:space="preserve">Cost multiple of salary</t>
  </si>
  <si>
    <t xml:space="preserve">Ana Example</t>
  </si>
  <si>
    <t xml:space="preserve">Designer</t>
  </si>
  <si>
    <t xml:space="preserve">Ben Example</t>
  </si>
  <si>
    <t xml:space="preserve">Developer</t>
  </si>
  <si>
    <t xml:space="preserve">Cara Example</t>
  </si>
  <si>
    <t xml:space="preserve">Support</t>
  </si>
  <si>
    <t xml:space="preserve">Team total</t>
  </si>
  <si>
    <t xml:space="preserve">Headcount</t>
  </si>
  <si>
    <t xml:space="preserve">Average annual cost per person</t>
  </si>
  <si>
    <t xml:space="preserve">Raises</t>
  </si>
  <si>
    <t xml:space="preserve">Type a name from the Team sheet; the current salary is looked up. Choose percent or amount and enter the raise.</t>
  </si>
  <si>
    <t xml:space="preserve">Employee</t>
  </si>
  <si>
    <t xml:space="preserve">Current salary</t>
  </si>
  <si>
    <t xml:space="preserve">Raise type</t>
  </si>
  <si>
    <t xml:space="preserve">Raise (% or amount)</t>
  </si>
  <si>
    <t xml:space="preserve">Raise per year</t>
  </si>
  <si>
    <t xml:space="preserve">New salary</t>
  </si>
  <si>
    <t xml:space="preserve">Raise %</t>
  </si>
  <si>
    <t xml:space="preserve">Monthly difference</t>
  </si>
  <si>
    <t xml:space="preserve">Yearly cost to business</t>
  </si>
  <si>
    <t xml:space="preserve">percent</t>
  </si>
  <si>
    <t xml:space="preserve">amount</t>
  </si>
  <si>
    <t xml:space="preserve">Total</t>
  </si>
  <si>
    <t xml:space="preserve">PTO</t>
  </si>
  <si>
    <t xml:space="preserve">One row per person. Entitlement and pay frequency default to Settings. Periods elapsed = pay periods already completed this year.</t>
  </si>
  <si>
    <t xml:space="preserve">PTO per year (days)</t>
  </si>
  <si>
    <t xml:space="preserve">Pay frequency</t>
  </si>
  <si>
    <t xml:space="preserve">Periods per year</t>
  </si>
  <si>
    <t xml:space="preserve">Periods elapsed</t>
  </si>
  <si>
    <t xml:space="preserve">Accrual per period</t>
  </si>
  <si>
    <t xml:space="preserve">Accrued to date</t>
  </si>
  <si>
    <t xml:space="preserve">Carried over</t>
  </si>
  <si>
    <t xml:space="preserve">Taken</t>
  </si>
  <si>
    <t xml:space="preserve">Balance</t>
  </si>
  <si>
    <t xml:space="preserve">Still to accrue</t>
  </si>
  <si>
    <t xml:space="preserve">Hiring &amp; Turnover</t>
  </si>
  <si>
    <t xml:space="preserve">Planned hires are prorated by the months left in the plan year (Settings). The turnover block uses your average cost per person from the Team sheet.</t>
  </si>
  <si>
    <t xml:space="preserve">Start month</t>
  </si>
  <si>
    <t xml:space="preserve">Benefits + overheads / yr</t>
  </si>
  <si>
    <t xml:space="preserve">Months in plan year</t>
  </si>
  <si>
    <t xml:space="preserve">Cost in plan year</t>
  </si>
  <si>
    <t xml:space="preserve">Account manager</t>
  </si>
  <si>
    <t xml:space="preserve">Junior developer</t>
  </si>
  <si>
    <t xml:space="preserve">Total planned hires</t>
  </si>
  <si>
    <t xml:space="preserve">Turnover cost</t>
  </si>
  <si>
    <t xml:space="preserve">Average annual cost per employee</t>
  </si>
  <si>
    <t xml:space="preserve">Defaults to the Team sheet average; overwrite for a specific role.</t>
  </si>
  <si>
    <t xml:space="preserve">Recruiting and hiring cost per leaver</t>
  </si>
  <si>
    <t xml:space="preserve">Ads, agency fees, interview time.</t>
  </si>
  <si>
    <t xml:space="preserve">Days the role stays vacant</t>
  </si>
  <si>
    <t xml:space="preserve">Onboarding cost per hire</t>
  </si>
  <si>
    <t xml:space="preserve">Training, equipment, admin.</t>
  </si>
  <si>
    <t xml:space="preserve">Ramp-up period (days)</t>
  </si>
  <si>
    <t xml:space="preserve">Productivity during ramp-up (%)</t>
  </si>
  <si>
    <t xml:space="preserve">Annual turnover rate (%)</t>
  </si>
  <si>
    <t xml:space="preserve">Leavers in a year ÷ average headcount.</t>
  </si>
  <si>
    <t xml:space="preserve">Cost per leaver</t>
  </si>
  <si>
    <t xml:space="preserve">recruiting + vacancy + onboarding + ramp-up</t>
  </si>
  <si>
    <t xml:space="preserve">Expected leavers per year</t>
  </si>
  <si>
    <t xml:space="preserve">headcount × turnover rate</t>
  </si>
  <si>
    <t xml:space="preserve">Turnover cost per year</t>
  </si>
  <si>
    <t xml:space="preserve">per leaver × leavers</t>
  </si>
  <si>
    <t xml:space="preserve">Cost per leaver as % of annual cost</t>
  </si>
  <si>
    <t xml:space="preserve">Daily cost of the role</t>
  </si>
  <si>
    <t xml:space="preserve">annual cost ÷ working days</t>
  </si>
</sst>
</file>

<file path=xl/styles.xml><?xml version="1.0" encoding="utf-8"?>
<styleSheet xmlns="http://schemas.openxmlformats.org/spreadsheetml/2006/main">
  <numFmts count="8">
    <numFmt numFmtId="164" formatCode="General"/>
    <numFmt numFmtId="165" formatCode="0.00"/>
    <numFmt numFmtId="166" formatCode="0.0"/>
    <numFmt numFmtId="167" formatCode="0"/>
    <numFmt numFmtId="168" formatCode="yyyy\-mm\-dd"/>
    <numFmt numFmtId="169" formatCode="#,##0.00;\(#,##0.00\);\-"/>
    <numFmt numFmtId="170" formatCode="0.00\%"/>
    <numFmt numFmtId="171" formatCode="mmm\ yyyy"/>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666666"/>
      <name val="Arial"/>
      <family val="0"/>
      <charset val="1"/>
    </font>
    <font>
      <sz val="11"/>
      <name val="Arial"/>
      <family val="0"/>
      <charset val="1"/>
    </font>
    <font>
      <b val="true"/>
      <sz val="11"/>
      <name val="Arial"/>
      <family val="0"/>
      <charset val="1"/>
    </font>
    <font>
      <sz val="11"/>
      <color rgb="FF0000FF"/>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E7E6E6"/>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6" fontId="8" fillId="2" borderId="0" xfId="0" applyFont="true" applyBorder="false" applyAlignment="false" applyProtection="false">
      <alignment horizontal="general" vertical="bottom" textRotation="0" wrapText="false" indent="0" shrinkToFit="false"/>
      <protection locked="true" hidden="false"/>
    </xf>
    <xf numFmtId="167" fontId="8"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9" fontId="8" fillId="2"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71" fontId="8" fillId="2"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row>
    <row r="11" customFormat="false" ht="15" hidden="false" customHeight="false" outlineLevel="0" collapsed="false">
      <c r="A11" s="4" t="s">
        <v>8</v>
      </c>
    </row>
    <row r="12" customFormat="false" ht="15" hidden="false" customHeight="false" outlineLevel="0" collapsed="false">
      <c r="A12" s="3" t="s">
        <v>9</v>
      </c>
    </row>
    <row r="13" customFormat="false" ht="15" hidden="false" customHeight="false" outlineLevel="0" collapsed="false">
      <c r="A13" s="3" t="s">
        <v>10</v>
      </c>
    </row>
    <row r="14" customFormat="false" ht="15" hidden="false" customHeight="false" outlineLevel="0" collapsed="false">
      <c r="A14" s="3"/>
    </row>
    <row r="15" customFormat="false" ht="15" hidden="false" customHeight="false" outlineLevel="0" collapsed="false">
      <c r="A15" s="4" t="s">
        <v>11</v>
      </c>
    </row>
    <row r="16" customFormat="false" ht="15" hidden="false" customHeight="false" outlineLevel="0" collapsed="false">
      <c r="A16" s="3" t="s">
        <v>12</v>
      </c>
    </row>
    <row r="17" customFormat="false" ht="15" hidden="false" customHeight="false" outlineLevel="0" collapsed="false">
      <c r="A17" s="3" t="s">
        <v>13</v>
      </c>
    </row>
    <row r="18" customFormat="false" ht="15" hidden="false" customHeight="false" outlineLevel="0" collapsed="false">
      <c r="A18" s="3" t="s">
        <v>14</v>
      </c>
    </row>
    <row r="19" customFormat="false" ht="15" hidden="false" customHeight="false" outlineLevel="0" collapsed="false">
      <c r="A19" s="3" t="s">
        <v>15</v>
      </c>
    </row>
    <row r="20" customFormat="false" ht="15" hidden="false" customHeight="false" outlineLevel="0" collapsed="false">
      <c r="A20" s="3"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70"/>
  </cols>
  <sheetData>
    <row r="1" customFormat="false" ht="17.35" hidden="false" customHeight="false" outlineLevel="0" collapsed="false">
      <c r="A1" s="1" t="s">
        <v>17</v>
      </c>
    </row>
    <row r="2" customFormat="false" ht="15" hidden="false" customHeight="false" outlineLevel="0" collapsed="false">
      <c r="A2" s="3" t="s">
        <v>18</v>
      </c>
      <c r="B2" s="5" t="n">
        <v>12</v>
      </c>
      <c r="C2" s="2" t="s">
        <v>19</v>
      </c>
    </row>
    <row r="3" customFormat="false" ht="15" hidden="false" customHeight="false" outlineLevel="0" collapsed="false">
      <c r="A3" s="3" t="s">
        <v>20</v>
      </c>
      <c r="B3" s="6" t="n">
        <v>40</v>
      </c>
      <c r="C3" s="2" t="s">
        <v>21</v>
      </c>
    </row>
    <row r="4" customFormat="false" ht="15" hidden="false" customHeight="false" outlineLevel="0" collapsed="false">
      <c r="A4" s="3" t="s">
        <v>22</v>
      </c>
      <c r="B4" s="6" t="n">
        <v>46</v>
      </c>
      <c r="C4" s="2" t="s">
        <v>23</v>
      </c>
    </row>
    <row r="5" customFormat="false" ht="15" hidden="false" customHeight="false" outlineLevel="0" collapsed="false">
      <c r="A5" s="3" t="s">
        <v>24</v>
      </c>
      <c r="B5" s="6" t="n">
        <v>80</v>
      </c>
      <c r="C5" s="2" t="s">
        <v>25</v>
      </c>
    </row>
    <row r="6" customFormat="false" ht="15" hidden="false" customHeight="false" outlineLevel="0" collapsed="false">
      <c r="A6" s="3" t="s">
        <v>26</v>
      </c>
      <c r="B6" s="7" t="n">
        <v>240</v>
      </c>
      <c r="C6" s="2" t="s">
        <v>27</v>
      </c>
    </row>
    <row r="7" customFormat="false" ht="15" hidden="false" customHeight="false" outlineLevel="0" collapsed="false">
      <c r="A7" s="3" t="s">
        <v>28</v>
      </c>
      <c r="B7" s="6" t="n">
        <v>50</v>
      </c>
      <c r="C7" s="2" t="s">
        <v>29</v>
      </c>
    </row>
    <row r="8" customFormat="false" ht="15" hidden="false" customHeight="false" outlineLevel="0" collapsed="false">
      <c r="A8" s="3" t="s">
        <v>30</v>
      </c>
      <c r="B8" s="6" t="n">
        <v>20</v>
      </c>
      <c r="C8" s="2" t="s">
        <v>31</v>
      </c>
    </row>
    <row r="9" customFormat="false" ht="15" hidden="false" customHeight="false" outlineLevel="0" collapsed="false">
      <c r="A9" s="3" t="s">
        <v>32</v>
      </c>
      <c r="B9" s="8" t="s">
        <v>33</v>
      </c>
      <c r="C9" s="2" t="s">
        <v>34</v>
      </c>
    </row>
    <row r="10" customFormat="false" ht="15" hidden="false" customHeight="false" outlineLevel="0" collapsed="false">
      <c r="A10" s="3" t="s">
        <v>35</v>
      </c>
      <c r="B10" s="7" t="n">
        <v>2026</v>
      </c>
      <c r="C10" s="2" t="s">
        <v>36</v>
      </c>
    </row>
  </sheetData>
  <dataValidations count="1">
    <dataValidation allowBlank="true" errorStyle="stop" operator="between" showDropDown="false" showErrorMessage="false" showInputMessage="false" sqref="B9" type="list">
      <formula1>"weekly,biweekly,semimonthly,monthly"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18"/>
    <col collapsed="false" customWidth="true" hidden="false" outlineLevel="0" max="3" min="3" style="0" width="12"/>
    <col collapsed="false" customWidth="true" hidden="false" outlineLevel="0" max="4" min="4" style="0" width="14"/>
    <col collapsed="false" customWidth="true" hidden="false" outlineLevel="0" max="5" min="5" style="0" width="12"/>
    <col collapsed="false" customWidth="true" hidden="false" outlineLevel="0" max="7" min="6" style="0" width="13"/>
    <col collapsed="false" customWidth="true" hidden="false" outlineLevel="0" max="8" min="8" style="0" width="14"/>
    <col collapsed="false" customWidth="true" hidden="false" outlineLevel="0" max="9" min="9" style="0" width="15"/>
    <col collapsed="false" customWidth="true" hidden="false" outlineLevel="0" max="10" min="10" style="0" width="13"/>
    <col collapsed="false" customWidth="true" hidden="false" outlineLevel="0" max="11" min="11" style="0" width="11"/>
    <col collapsed="false" customWidth="true" hidden="false" outlineLevel="0" max="12" min="12" style="0" width="14"/>
    <col collapsed="false" customWidth="true" hidden="false" outlineLevel="0" max="13" min="13" style="0" width="13"/>
  </cols>
  <sheetData>
    <row r="1" customFormat="false" ht="17.35" hidden="false" customHeight="false" outlineLevel="0" collapsed="false">
      <c r="A1" s="1" t="s">
        <v>37</v>
      </c>
    </row>
    <row r="2" customFormat="false" ht="15" hidden="false" customHeight="false" outlineLevel="0" collapsed="false">
      <c r="A2" s="2" t="s">
        <v>38</v>
      </c>
    </row>
    <row r="4" customFormat="false" ht="39.55" hidden="false" customHeight="false" outlineLevel="0" collapsed="false">
      <c r="A4" s="9" t="s">
        <v>39</v>
      </c>
      <c r="B4" s="9" t="s">
        <v>40</v>
      </c>
      <c r="C4" s="9" t="s">
        <v>41</v>
      </c>
      <c r="D4" s="9" t="s">
        <v>42</v>
      </c>
      <c r="E4" s="9" t="s">
        <v>43</v>
      </c>
      <c r="F4" s="9" t="s">
        <v>44</v>
      </c>
      <c r="G4" s="9" t="s">
        <v>45</v>
      </c>
      <c r="H4" s="9" t="s">
        <v>46</v>
      </c>
      <c r="I4" s="9" t="s">
        <v>47</v>
      </c>
      <c r="J4" s="9" t="s">
        <v>48</v>
      </c>
      <c r="K4" s="9" t="s">
        <v>49</v>
      </c>
      <c r="L4" s="9" t="s">
        <v>50</v>
      </c>
      <c r="M4" s="9" t="s">
        <v>51</v>
      </c>
    </row>
    <row r="5" customFormat="false" ht="15" hidden="false" customHeight="false" outlineLevel="0" collapsed="false">
      <c r="A5" s="8" t="s">
        <v>52</v>
      </c>
      <c r="B5" s="10" t="s">
        <v>53</v>
      </c>
      <c r="C5" s="11" t="n">
        <v>45352</v>
      </c>
      <c r="D5" s="12" t="n">
        <v>50000</v>
      </c>
      <c r="E5" s="13" t="n">
        <f aca="false">IF(A5="","",Settings!$B$2)</f>
        <v>12</v>
      </c>
      <c r="F5" s="14" t="n">
        <v>4000</v>
      </c>
      <c r="G5" s="14" t="n">
        <v>3000</v>
      </c>
      <c r="H5" s="15" t="n">
        <f aca="false">IF(A5="","",ROUND(D5*E5/100,2))</f>
        <v>6000</v>
      </c>
      <c r="I5" s="15" t="n">
        <f aca="false">IF(A5="","",D5+H5+F5+G5)</f>
        <v>63000</v>
      </c>
      <c r="J5" s="15" t="n">
        <f aca="false">IF(A5="","",ROUND(I5/12,2))</f>
        <v>5250</v>
      </c>
      <c r="K5" s="16" t="n">
        <f aca="false">IF(A5="","",Settings!$B$3)</f>
        <v>40</v>
      </c>
      <c r="L5" s="15" t="n">
        <f aca="false">IF(A5="","",IFERROR(ROUND(I5/(K5*Settings!$B$4*Settings!$B$5/100),2),""))</f>
        <v>42.8</v>
      </c>
      <c r="M5" s="17" t="n">
        <f aca="false">IF(A5="","",IFERROR(ROUND(I5/D5,2),""))</f>
        <v>1.26</v>
      </c>
    </row>
    <row r="6" customFormat="false" ht="15" hidden="false" customHeight="false" outlineLevel="0" collapsed="false">
      <c r="A6" s="10" t="s">
        <v>54</v>
      </c>
      <c r="B6" s="10" t="s">
        <v>55</v>
      </c>
      <c r="C6" s="11" t="n">
        <v>45915</v>
      </c>
      <c r="D6" s="14" t="n">
        <v>64000</v>
      </c>
      <c r="E6" s="13" t="n">
        <f aca="false">IF(A6="","",Settings!$B$2)</f>
        <v>12</v>
      </c>
      <c r="F6" s="14" t="n">
        <v>4500</v>
      </c>
      <c r="G6" s="14" t="n">
        <v>3200</v>
      </c>
      <c r="H6" s="15" t="n">
        <f aca="false">IF(A6="","",ROUND(D6*E6/100,2))</f>
        <v>7680</v>
      </c>
      <c r="I6" s="15" t="n">
        <f aca="false">IF(A6="","",D6+H6+F6+G6)</f>
        <v>79380</v>
      </c>
      <c r="J6" s="15" t="n">
        <f aca="false">IF(A6="","",ROUND(I6/12,2))</f>
        <v>6615</v>
      </c>
      <c r="K6" s="16" t="n">
        <f aca="false">IF(A6="","",Settings!$B$3)</f>
        <v>40</v>
      </c>
      <c r="L6" s="15" t="n">
        <f aca="false">IF(A6="","",IFERROR(ROUND(I6/(K6*Settings!$B$4*Settings!$B$5/100),2),""))</f>
        <v>53.93</v>
      </c>
      <c r="M6" s="17" t="n">
        <f aca="false">IF(A6="","",IFERROR(ROUND(I6/D6,2),""))</f>
        <v>1.24</v>
      </c>
    </row>
    <row r="7" customFormat="false" ht="15" hidden="false" customHeight="false" outlineLevel="0" collapsed="false">
      <c r="A7" s="10" t="s">
        <v>56</v>
      </c>
      <c r="B7" s="10" t="s">
        <v>57</v>
      </c>
      <c r="C7" s="11" t="n">
        <v>46032</v>
      </c>
      <c r="D7" s="14" t="n">
        <v>38000</v>
      </c>
      <c r="E7" s="13" t="n">
        <f aca="false">IF(A7="","",Settings!$B$2)</f>
        <v>12</v>
      </c>
      <c r="F7" s="14" t="n">
        <v>3000</v>
      </c>
      <c r="G7" s="14" t="n">
        <v>2000</v>
      </c>
      <c r="H7" s="15" t="n">
        <f aca="false">IF(A7="","",ROUND(D7*E7/100,2))</f>
        <v>4560</v>
      </c>
      <c r="I7" s="15" t="n">
        <f aca="false">IF(A7="","",D7+H7+F7+G7)</f>
        <v>47560</v>
      </c>
      <c r="J7" s="15" t="n">
        <f aca="false">IF(A7="","",ROUND(I7/12,2))</f>
        <v>3963.33</v>
      </c>
      <c r="K7" s="16" t="n">
        <f aca="false">IF(A7="","",Settings!$B$3)</f>
        <v>40</v>
      </c>
      <c r="L7" s="15" t="n">
        <f aca="false">IF(A7="","",IFERROR(ROUND(I7/(K7*Settings!$B$4*Settings!$B$5/100),2),""))</f>
        <v>32.31</v>
      </c>
      <c r="M7" s="17" t="n">
        <f aca="false">IF(A7="","",IFERROR(ROUND(I7/D7,2),""))</f>
        <v>1.25</v>
      </c>
    </row>
    <row r="8" customFormat="false" ht="15" hidden="false" customHeight="false" outlineLevel="0" collapsed="false">
      <c r="A8" s="10"/>
      <c r="B8" s="10"/>
      <c r="C8" s="11"/>
      <c r="D8" s="14"/>
      <c r="E8" s="13" t="str">
        <f aca="false">IF(A8="","",Settings!$B$2)</f>
        <v/>
      </c>
      <c r="F8" s="14"/>
      <c r="G8" s="14"/>
      <c r="H8" s="15" t="str">
        <f aca="false">IF(A8="","",ROUND(D8*E8/100,2))</f>
        <v/>
      </c>
      <c r="I8" s="15" t="str">
        <f aca="false">IF(A8="","",D8+H8+F8+G8)</f>
        <v/>
      </c>
      <c r="J8" s="15" t="str">
        <f aca="false">IF(A8="","",ROUND(I8/12,2))</f>
        <v/>
      </c>
      <c r="K8" s="16" t="str">
        <f aca="false">IF(A8="","",Settings!$B$3)</f>
        <v/>
      </c>
      <c r="L8" s="15" t="str">
        <f aca="false">IF(A8="","",IFERROR(ROUND(I8/(K8*Settings!$B$4*Settings!$B$5/100),2),""))</f>
        <v/>
      </c>
      <c r="M8" s="17" t="str">
        <f aca="false">IF(A8="","",IFERROR(ROUND(I8/D8,2),""))</f>
        <v/>
      </c>
    </row>
    <row r="9" customFormat="false" ht="15" hidden="false" customHeight="false" outlineLevel="0" collapsed="false">
      <c r="A9" s="10"/>
      <c r="B9" s="10"/>
      <c r="C9" s="11"/>
      <c r="D9" s="14"/>
      <c r="E9" s="13" t="str">
        <f aca="false">IF(A9="","",Settings!$B$2)</f>
        <v/>
      </c>
      <c r="F9" s="14"/>
      <c r="G9" s="14"/>
      <c r="H9" s="15" t="str">
        <f aca="false">IF(A9="","",ROUND(D9*E9/100,2))</f>
        <v/>
      </c>
      <c r="I9" s="15" t="str">
        <f aca="false">IF(A9="","",D9+H9+F9+G9)</f>
        <v/>
      </c>
      <c r="J9" s="15" t="str">
        <f aca="false">IF(A9="","",ROUND(I9/12,2))</f>
        <v/>
      </c>
      <c r="K9" s="16" t="str">
        <f aca="false">IF(A9="","",Settings!$B$3)</f>
        <v/>
      </c>
      <c r="L9" s="15" t="str">
        <f aca="false">IF(A9="","",IFERROR(ROUND(I9/(K9*Settings!$B$4*Settings!$B$5/100),2),""))</f>
        <v/>
      </c>
      <c r="M9" s="17" t="str">
        <f aca="false">IF(A9="","",IFERROR(ROUND(I9/D9,2),""))</f>
        <v/>
      </c>
    </row>
    <row r="10" customFormat="false" ht="15" hidden="false" customHeight="false" outlineLevel="0" collapsed="false">
      <c r="A10" s="10"/>
      <c r="B10" s="10"/>
      <c r="C10" s="11"/>
      <c r="D10" s="14"/>
      <c r="E10" s="13" t="str">
        <f aca="false">IF(A10="","",Settings!$B$2)</f>
        <v/>
      </c>
      <c r="F10" s="14"/>
      <c r="G10" s="14"/>
      <c r="H10" s="15" t="str">
        <f aca="false">IF(A10="","",ROUND(D10*E10/100,2))</f>
        <v/>
      </c>
      <c r="I10" s="15" t="str">
        <f aca="false">IF(A10="","",D10+H10+F10+G10)</f>
        <v/>
      </c>
      <c r="J10" s="15" t="str">
        <f aca="false">IF(A10="","",ROUND(I10/12,2))</f>
        <v/>
      </c>
      <c r="K10" s="16" t="str">
        <f aca="false">IF(A10="","",Settings!$B$3)</f>
        <v/>
      </c>
      <c r="L10" s="15" t="str">
        <f aca="false">IF(A10="","",IFERROR(ROUND(I10/(K10*Settings!$B$4*Settings!$B$5/100),2),""))</f>
        <v/>
      </c>
      <c r="M10" s="17" t="str">
        <f aca="false">IF(A10="","",IFERROR(ROUND(I10/D10,2),""))</f>
        <v/>
      </c>
    </row>
    <row r="11" customFormat="false" ht="15" hidden="false" customHeight="false" outlineLevel="0" collapsed="false">
      <c r="A11" s="10"/>
      <c r="B11" s="10"/>
      <c r="C11" s="11"/>
      <c r="D11" s="14"/>
      <c r="E11" s="13" t="str">
        <f aca="false">IF(A11="","",Settings!$B$2)</f>
        <v/>
      </c>
      <c r="F11" s="14"/>
      <c r="G11" s="14"/>
      <c r="H11" s="15" t="str">
        <f aca="false">IF(A11="","",ROUND(D11*E11/100,2))</f>
        <v/>
      </c>
      <c r="I11" s="15" t="str">
        <f aca="false">IF(A11="","",D11+H11+F11+G11)</f>
        <v/>
      </c>
      <c r="J11" s="15" t="str">
        <f aca="false">IF(A11="","",ROUND(I11/12,2))</f>
        <v/>
      </c>
      <c r="K11" s="16" t="str">
        <f aca="false">IF(A11="","",Settings!$B$3)</f>
        <v/>
      </c>
      <c r="L11" s="15" t="str">
        <f aca="false">IF(A11="","",IFERROR(ROUND(I11/(K11*Settings!$B$4*Settings!$B$5/100),2),""))</f>
        <v/>
      </c>
      <c r="M11" s="17" t="str">
        <f aca="false">IF(A11="","",IFERROR(ROUND(I11/D11,2),""))</f>
        <v/>
      </c>
    </row>
    <row r="12" customFormat="false" ht="15" hidden="false" customHeight="false" outlineLevel="0" collapsed="false">
      <c r="A12" s="10"/>
      <c r="B12" s="10"/>
      <c r="C12" s="11"/>
      <c r="D12" s="14"/>
      <c r="E12" s="13" t="str">
        <f aca="false">IF(A12="","",Settings!$B$2)</f>
        <v/>
      </c>
      <c r="F12" s="14"/>
      <c r="G12" s="14"/>
      <c r="H12" s="15" t="str">
        <f aca="false">IF(A12="","",ROUND(D12*E12/100,2))</f>
        <v/>
      </c>
      <c r="I12" s="15" t="str">
        <f aca="false">IF(A12="","",D12+H12+F12+G12)</f>
        <v/>
      </c>
      <c r="J12" s="15" t="str">
        <f aca="false">IF(A12="","",ROUND(I12/12,2))</f>
        <v/>
      </c>
      <c r="K12" s="16" t="str">
        <f aca="false">IF(A12="","",Settings!$B$3)</f>
        <v/>
      </c>
      <c r="L12" s="15" t="str">
        <f aca="false">IF(A12="","",IFERROR(ROUND(I12/(K12*Settings!$B$4*Settings!$B$5/100),2),""))</f>
        <v/>
      </c>
      <c r="M12" s="17" t="str">
        <f aca="false">IF(A12="","",IFERROR(ROUND(I12/D12,2),""))</f>
        <v/>
      </c>
    </row>
    <row r="13" customFormat="false" ht="15" hidden="false" customHeight="false" outlineLevel="0" collapsed="false">
      <c r="A13" s="10"/>
      <c r="B13" s="10"/>
      <c r="C13" s="11"/>
      <c r="D13" s="14"/>
      <c r="E13" s="13" t="str">
        <f aca="false">IF(A13="","",Settings!$B$2)</f>
        <v/>
      </c>
      <c r="F13" s="14"/>
      <c r="G13" s="14"/>
      <c r="H13" s="15" t="str">
        <f aca="false">IF(A13="","",ROUND(D13*E13/100,2))</f>
        <v/>
      </c>
      <c r="I13" s="15" t="str">
        <f aca="false">IF(A13="","",D13+H13+F13+G13)</f>
        <v/>
      </c>
      <c r="J13" s="15" t="str">
        <f aca="false">IF(A13="","",ROUND(I13/12,2))</f>
        <v/>
      </c>
      <c r="K13" s="16" t="str">
        <f aca="false">IF(A13="","",Settings!$B$3)</f>
        <v/>
      </c>
      <c r="L13" s="15" t="str">
        <f aca="false">IF(A13="","",IFERROR(ROUND(I13/(K13*Settings!$B$4*Settings!$B$5/100),2),""))</f>
        <v/>
      </c>
      <c r="M13" s="17" t="str">
        <f aca="false">IF(A13="","",IFERROR(ROUND(I13/D13,2),""))</f>
        <v/>
      </c>
    </row>
    <row r="14" customFormat="false" ht="15" hidden="false" customHeight="false" outlineLevel="0" collapsed="false">
      <c r="A14" s="10"/>
      <c r="B14" s="10"/>
      <c r="C14" s="11"/>
      <c r="D14" s="14"/>
      <c r="E14" s="13" t="str">
        <f aca="false">IF(A14="","",Settings!$B$2)</f>
        <v/>
      </c>
      <c r="F14" s="14"/>
      <c r="G14" s="14"/>
      <c r="H14" s="15" t="str">
        <f aca="false">IF(A14="","",ROUND(D14*E14/100,2))</f>
        <v/>
      </c>
      <c r="I14" s="15" t="str">
        <f aca="false">IF(A14="","",D14+H14+F14+G14)</f>
        <v/>
      </c>
      <c r="J14" s="15" t="str">
        <f aca="false">IF(A14="","",ROUND(I14/12,2))</f>
        <v/>
      </c>
      <c r="K14" s="16" t="str">
        <f aca="false">IF(A14="","",Settings!$B$3)</f>
        <v/>
      </c>
      <c r="L14" s="15" t="str">
        <f aca="false">IF(A14="","",IFERROR(ROUND(I14/(K14*Settings!$B$4*Settings!$B$5/100),2),""))</f>
        <v/>
      </c>
      <c r="M14" s="17" t="str">
        <f aca="false">IF(A14="","",IFERROR(ROUND(I14/D14,2),""))</f>
        <v/>
      </c>
    </row>
    <row r="15" customFormat="false" ht="15" hidden="false" customHeight="false" outlineLevel="0" collapsed="false">
      <c r="A15" s="10"/>
      <c r="B15" s="10"/>
      <c r="C15" s="11"/>
      <c r="D15" s="14"/>
      <c r="E15" s="13" t="str">
        <f aca="false">IF(A15="","",Settings!$B$2)</f>
        <v/>
      </c>
      <c r="F15" s="14"/>
      <c r="G15" s="14"/>
      <c r="H15" s="15" t="str">
        <f aca="false">IF(A15="","",ROUND(D15*E15/100,2))</f>
        <v/>
      </c>
      <c r="I15" s="15" t="str">
        <f aca="false">IF(A15="","",D15+H15+F15+G15)</f>
        <v/>
      </c>
      <c r="J15" s="15" t="str">
        <f aca="false">IF(A15="","",ROUND(I15/12,2))</f>
        <v/>
      </c>
      <c r="K15" s="16" t="str">
        <f aca="false">IF(A15="","",Settings!$B$3)</f>
        <v/>
      </c>
      <c r="L15" s="15" t="str">
        <f aca="false">IF(A15="","",IFERROR(ROUND(I15/(K15*Settings!$B$4*Settings!$B$5/100),2),""))</f>
        <v/>
      </c>
      <c r="M15" s="17" t="str">
        <f aca="false">IF(A15="","",IFERROR(ROUND(I15/D15,2),""))</f>
        <v/>
      </c>
    </row>
    <row r="16" customFormat="false" ht="15" hidden="false" customHeight="false" outlineLevel="0" collapsed="false">
      <c r="A16" s="10"/>
      <c r="B16" s="10"/>
      <c r="C16" s="11"/>
      <c r="D16" s="14"/>
      <c r="E16" s="13" t="str">
        <f aca="false">IF(A16="","",Settings!$B$2)</f>
        <v/>
      </c>
      <c r="F16" s="14"/>
      <c r="G16" s="14"/>
      <c r="H16" s="15" t="str">
        <f aca="false">IF(A16="","",ROUND(D16*E16/100,2))</f>
        <v/>
      </c>
      <c r="I16" s="15" t="str">
        <f aca="false">IF(A16="","",D16+H16+F16+G16)</f>
        <v/>
      </c>
      <c r="J16" s="15" t="str">
        <f aca="false">IF(A16="","",ROUND(I16/12,2))</f>
        <v/>
      </c>
      <c r="K16" s="16" t="str">
        <f aca="false">IF(A16="","",Settings!$B$3)</f>
        <v/>
      </c>
      <c r="L16" s="15" t="str">
        <f aca="false">IF(A16="","",IFERROR(ROUND(I16/(K16*Settings!$B$4*Settings!$B$5/100),2),""))</f>
        <v/>
      </c>
      <c r="M16" s="17" t="str">
        <f aca="false">IF(A16="","",IFERROR(ROUND(I16/D16,2),""))</f>
        <v/>
      </c>
    </row>
    <row r="17" customFormat="false" ht="15" hidden="false" customHeight="false" outlineLevel="0" collapsed="false">
      <c r="A17" s="10"/>
      <c r="B17" s="10"/>
      <c r="C17" s="11"/>
      <c r="D17" s="14"/>
      <c r="E17" s="13" t="str">
        <f aca="false">IF(A17="","",Settings!$B$2)</f>
        <v/>
      </c>
      <c r="F17" s="14"/>
      <c r="G17" s="14"/>
      <c r="H17" s="15" t="str">
        <f aca="false">IF(A17="","",ROUND(D17*E17/100,2))</f>
        <v/>
      </c>
      <c r="I17" s="15" t="str">
        <f aca="false">IF(A17="","",D17+H17+F17+G17)</f>
        <v/>
      </c>
      <c r="J17" s="15" t="str">
        <f aca="false">IF(A17="","",ROUND(I17/12,2))</f>
        <v/>
      </c>
      <c r="K17" s="16" t="str">
        <f aca="false">IF(A17="","",Settings!$B$3)</f>
        <v/>
      </c>
      <c r="L17" s="15" t="str">
        <f aca="false">IF(A17="","",IFERROR(ROUND(I17/(K17*Settings!$B$4*Settings!$B$5/100),2),""))</f>
        <v/>
      </c>
      <c r="M17" s="17" t="str">
        <f aca="false">IF(A17="","",IFERROR(ROUND(I17/D17,2),""))</f>
        <v/>
      </c>
    </row>
    <row r="18" customFormat="false" ht="15" hidden="false" customHeight="false" outlineLevel="0" collapsed="false">
      <c r="A18" s="10"/>
      <c r="B18" s="10"/>
      <c r="C18" s="11"/>
      <c r="D18" s="14"/>
      <c r="E18" s="13" t="str">
        <f aca="false">IF(A18="","",Settings!$B$2)</f>
        <v/>
      </c>
      <c r="F18" s="14"/>
      <c r="G18" s="14"/>
      <c r="H18" s="15" t="str">
        <f aca="false">IF(A18="","",ROUND(D18*E18/100,2))</f>
        <v/>
      </c>
      <c r="I18" s="15" t="str">
        <f aca="false">IF(A18="","",D18+H18+F18+G18)</f>
        <v/>
      </c>
      <c r="J18" s="15" t="str">
        <f aca="false">IF(A18="","",ROUND(I18/12,2))</f>
        <v/>
      </c>
      <c r="K18" s="16" t="str">
        <f aca="false">IF(A18="","",Settings!$B$3)</f>
        <v/>
      </c>
      <c r="L18" s="15" t="str">
        <f aca="false">IF(A18="","",IFERROR(ROUND(I18/(K18*Settings!$B$4*Settings!$B$5/100),2),""))</f>
        <v/>
      </c>
      <c r="M18" s="17" t="str">
        <f aca="false">IF(A18="","",IFERROR(ROUND(I18/D18,2),""))</f>
        <v/>
      </c>
    </row>
    <row r="19" customFormat="false" ht="15" hidden="false" customHeight="false" outlineLevel="0" collapsed="false">
      <c r="A19" s="10"/>
      <c r="B19" s="10"/>
      <c r="C19" s="11"/>
      <c r="D19" s="14"/>
      <c r="E19" s="13" t="str">
        <f aca="false">IF(A19="","",Settings!$B$2)</f>
        <v/>
      </c>
      <c r="F19" s="14"/>
      <c r="G19" s="14"/>
      <c r="H19" s="15" t="str">
        <f aca="false">IF(A19="","",ROUND(D19*E19/100,2))</f>
        <v/>
      </c>
      <c r="I19" s="15" t="str">
        <f aca="false">IF(A19="","",D19+H19+F19+G19)</f>
        <v/>
      </c>
      <c r="J19" s="15" t="str">
        <f aca="false">IF(A19="","",ROUND(I19/12,2))</f>
        <v/>
      </c>
      <c r="K19" s="16" t="str">
        <f aca="false">IF(A19="","",Settings!$B$3)</f>
        <v/>
      </c>
      <c r="L19" s="15" t="str">
        <f aca="false">IF(A19="","",IFERROR(ROUND(I19/(K19*Settings!$B$4*Settings!$B$5/100),2),""))</f>
        <v/>
      </c>
      <c r="M19" s="17" t="str">
        <f aca="false">IF(A19="","",IFERROR(ROUND(I19/D19,2),""))</f>
        <v/>
      </c>
    </row>
    <row r="20" customFormat="false" ht="15" hidden="false" customHeight="false" outlineLevel="0" collapsed="false">
      <c r="A20" s="10"/>
      <c r="B20" s="10"/>
      <c r="C20" s="11"/>
      <c r="D20" s="14"/>
      <c r="E20" s="13" t="str">
        <f aca="false">IF(A20="","",Settings!$B$2)</f>
        <v/>
      </c>
      <c r="F20" s="14"/>
      <c r="G20" s="14"/>
      <c r="H20" s="15" t="str">
        <f aca="false">IF(A20="","",ROUND(D20*E20/100,2))</f>
        <v/>
      </c>
      <c r="I20" s="15" t="str">
        <f aca="false">IF(A20="","",D20+H20+F20+G20)</f>
        <v/>
      </c>
      <c r="J20" s="15" t="str">
        <f aca="false">IF(A20="","",ROUND(I20/12,2))</f>
        <v/>
      </c>
      <c r="K20" s="16" t="str">
        <f aca="false">IF(A20="","",Settings!$B$3)</f>
        <v/>
      </c>
      <c r="L20" s="15" t="str">
        <f aca="false">IF(A20="","",IFERROR(ROUND(I20/(K20*Settings!$B$4*Settings!$B$5/100),2),""))</f>
        <v/>
      </c>
      <c r="M20" s="17" t="str">
        <f aca="false">IF(A20="","",IFERROR(ROUND(I20/D20,2),""))</f>
        <v/>
      </c>
    </row>
    <row r="21" customFormat="false" ht="15" hidden="false" customHeight="false" outlineLevel="0" collapsed="false">
      <c r="A21" s="10"/>
      <c r="B21" s="10"/>
      <c r="C21" s="11"/>
      <c r="D21" s="14"/>
      <c r="E21" s="13" t="str">
        <f aca="false">IF(A21="","",Settings!$B$2)</f>
        <v/>
      </c>
      <c r="F21" s="14"/>
      <c r="G21" s="14"/>
      <c r="H21" s="15" t="str">
        <f aca="false">IF(A21="","",ROUND(D21*E21/100,2))</f>
        <v/>
      </c>
      <c r="I21" s="15" t="str">
        <f aca="false">IF(A21="","",D21+H21+F21+G21)</f>
        <v/>
      </c>
      <c r="J21" s="15" t="str">
        <f aca="false">IF(A21="","",ROUND(I21/12,2))</f>
        <v/>
      </c>
      <c r="K21" s="16" t="str">
        <f aca="false">IF(A21="","",Settings!$B$3)</f>
        <v/>
      </c>
      <c r="L21" s="15" t="str">
        <f aca="false">IF(A21="","",IFERROR(ROUND(I21/(K21*Settings!$B$4*Settings!$B$5/100),2),""))</f>
        <v/>
      </c>
      <c r="M21" s="17" t="str">
        <f aca="false">IF(A21="","",IFERROR(ROUND(I21/D21,2),""))</f>
        <v/>
      </c>
    </row>
    <row r="22" customFormat="false" ht="15" hidden="false" customHeight="false" outlineLevel="0" collapsed="false">
      <c r="A22" s="10"/>
      <c r="B22" s="10"/>
      <c r="C22" s="11"/>
      <c r="D22" s="14"/>
      <c r="E22" s="13" t="str">
        <f aca="false">IF(A22="","",Settings!$B$2)</f>
        <v/>
      </c>
      <c r="F22" s="14"/>
      <c r="G22" s="14"/>
      <c r="H22" s="15" t="str">
        <f aca="false">IF(A22="","",ROUND(D22*E22/100,2))</f>
        <v/>
      </c>
      <c r="I22" s="15" t="str">
        <f aca="false">IF(A22="","",D22+H22+F22+G22)</f>
        <v/>
      </c>
      <c r="J22" s="15" t="str">
        <f aca="false">IF(A22="","",ROUND(I22/12,2))</f>
        <v/>
      </c>
      <c r="K22" s="16" t="str">
        <f aca="false">IF(A22="","",Settings!$B$3)</f>
        <v/>
      </c>
      <c r="L22" s="15" t="str">
        <f aca="false">IF(A22="","",IFERROR(ROUND(I22/(K22*Settings!$B$4*Settings!$B$5/100),2),""))</f>
        <v/>
      </c>
      <c r="M22" s="17" t="str">
        <f aca="false">IF(A22="","",IFERROR(ROUND(I22/D22,2),""))</f>
        <v/>
      </c>
    </row>
    <row r="23" customFormat="false" ht="15" hidden="false" customHeight="false" outlineLevel="0" collapsed="false">
      <c r="A23" s="10"/>
      <c r="B23" s="10"/>
      <c r="C23" s="11"/>
      <c r="D23" s="14"/>
      <c r="E23" s="13" t="str">
        <f aca="false">IF(A23="","",Settings!$B$2)</f>
        <v/>
      </c>
      <c r="F23" s="14"/>
      <c r="G23" s="14"/>
      <c r="H23" s="15" t="str">
        <f aca="false">IF(A23="","",ROUND(D23*E23/100,2))</f>
        <v/>
      </c>
      <c r="I23" s="15" t="str">
        <f aca="false">IF(A23="","",D23+H23+F23+G23)</f>
        <v/>
      </c>
      <c r="J23" s="15" t="str">
        <f aca="false">IF(A23="","",ROUND(I23/12,2))</f>
        <v/>
      </c>
      <c r="K23" s="16" t="str">
        <f aca="false">IF(A23="","",Settings!$B$3)</f>
        <v/>
      </c>
      <c r="L23" s="15" t="str">
        <f aca="false">IF(A23="","",IFERROR(ROUND(I23/(K23*Settings!$B$4*Settings!$B$5/100),2),""))</f>
        <v/>
      </c>
      <c r="M23" s="17" t="str">
        <f aca="false">IF(A23="","",IFERROR(ROUND(I23/D23,2),""))</f>
        <v/>
      </c>
    </row>
    <row r="24" customFormat="false" ht="15" hidden="false" customHeight="false" outlineLevel="0" collapsed="false">
      <c r="A24" s="10"/>
      <c r="B24" s="10"/>
      <c r="C24" s="11"/>
      <c r="D24" s="14"/>
      <c r="E24" s="13" t="str">
        <f aca="false">IF(A24="","",Settings!$B$2)</f>
        <v/>
      </c>
      <c r="F24" s="14"/>
      <c r="G24" s="14"/>
      <c r="H24" s="15" t="str">
        <f aca="false">IF(A24="","",ROUND(D24*E24/100,2))</f>
        <v/>
      </c>
      <c r="I24" s="15" t="str">
        <f aca="false">IF(A24="","",D24+H24+F24+G24)</f>
        <v/>
      </c>
      <c r="J24" s="15" t="str">
        <f aca="false">IF(A24="","",ROUND(I24/12,2))</f>
        <v/>
      </c>
      <c r="K24" s="16" t="str">
        <f aca="false">IF(A24="","",Settings!$B$3)</f>
        <v/>
      </c>
      <c r="L24" s="15" t="str">
        <f aca="false">IF(A24="","",IFERROR(ROUND(I24/(K24*Settings!$B$4*Settings!$B$5/100),2),""))</f>
        <v/>
      </c>
      <c r="M24" s="17" t="str">
        <f aca="false">IF(A24="","",IFERROR(ROUND(I24/D24,2),""))</f>
        <v/>
      </c>
    </row>
    <row r="25" customFormat="false" ht="15" hidden="false" customHeight="false" outlineLevel="0" collapsed="false">
      <c r="A25" s="10"/>
      <c r="B25" s="10"/>
      <c r="C25" s="11"/>
      <c r="D25" s="14"/>
      <c r="E25" s="13" t="str">
        <f aca="false">IF(A25="","",Settings!$B$2)</f>
        <v/>
      </c>
      <c r="F25" s="14"/>
      <c r="G25" s="14"/>
      <c r="H25" s="15" t="str">
        <f aca="false">IF(A25="","",ROUND(D25*E25/100,2))</f>
        <v/>
      </c>
      <c r="I25" s="15" t="str">
        <f aca="false">IF(A25="","",D25+H25+F25+G25)</f>
        <v/>
      </c>
      <c r="J25" s="15" t="str">
        <f aca="false">IF(A25="","",ROUND(I25/12,2))</f>
        <v/>
      </c>
      <c r="K25" s="16" t="str">
        <f aca="false">IF(A25="","",Settings!$B$3)</f>
        <v/>
      </c>
      <c r="L25" s="15" t="str">
        <f aca="false">IF(A25="","",IFERROR(ROUND(I25/(K25*Settings!$B$4*Settings!$B$5/100),2),""))</f>
        <v/>
      </c>
      <c r="M25" s="17" t="str">
        <f aca="false">IF(A25="","",IFERROR(ROUND(I25/D25,2),""))</f>
        <v/>
      </c>
    </row>
    <row r="26" customFormat="false" ht="15" hidden="false" customHeight="false" outlineLevel="0" collapsed="false">
      <c r="A26" s="10"/>
      <c r="B26" s="10"/>
      <c r="C26" s="11"/>
      <c r="D26" s="14"/>
      <c r="E26" s="13" t="str">
        <f aca="false">IF(A26="","",Settings!$B$2)</f>
        <v/>
      </c>
      <c r="F26" s="14"/>
      <c r="G26" s="14"/>
      <c r="H26" s="15" t="str">
        <f aca="false">IF(A26="","",ROUND(D26*E26/100,2))</f>
        <v/>
      </c>
      <c r="I26" s="15" t="str">
        <f aca="false">IF(A26="","",D26+H26+F26+G26)</f>
        <v/>
      </c>
      <c r="J26" s="15" t="str">
        <f aca="false">IF(A26="","",ROUND(I26/12,2))</f>
        <v/>
      </c>
      <c r="K26" s="16" t="str">
        <f aca="false">IF(A26="","",Settings!$B$3)</f>
        <v/>
      </c>
      <c r="L26" s="15" t="str">
        <f aca="false">IF(A26="","",IFERROR(ROUND(I26/(K26*Settings!$B$4*Settings!$B$5/100),2),""))</f>
        <v/>
      </c>
      <c r="M26" s="17" t="str">
        <f aca="false">IF(A26="","",IFERROR(ROUND(I26/D26,2),""))</f>
        <v/>
      </c>
    </row>
    <row r="27" customFormat="false" ht="15" hidden="false" customHeight="false" outlineLevel="0" collapsed="false">
      <c r="A27" s="10"/>
      <c r="B27" s="10"/>
      <c r="C27" s="11"/>
      <c r="D27" s="14"/>
      <c r="E27" s="13" t="str">
        <f aca="false">IF(A27="","",Settings!$B$2)</f>
        <v/>
      </c>
      <c r="F27" s="14"/>
      <c r="G27" s="14"/>
      <c r="H27" s="15" t="str">
        <f aca="false">IF(A27="","",ROUND(D27*E27/100,2))</f>
        <v/>
      </c>
      <c r="I27" s="15" t="str">
        <f aca="false">IF(A27="","",D27+H27+F27+G27)</f>
        <v/>
      </c>
      <c r="J27" s="15" t="str">
        <f aca="false">IF(A27="","",ROUND(I27/12,2))</f>
        <v/>
      </c>
      <c r="K27" s="16" t="str">
        <f aca="false">IF(A27="","",Settings!$B$3)</f>
        <v/>
      </c>
      <c r="L27" s="15" t="str">
        <f aca="false">IF(A27="","",IFERROR(ROUND(I27/(K27*Settings!$B$4*Settings!$B$5/100),2),""))</f>
        <v/>
      </c>
      <c r="M27" s="17" t="str">
        <f aca="false">IF(A27="","",IFERROR(ROUND(I27/D27,2),""))</f>
        <v/>
      </c>
    </row>
    <row r="28" customFormat="false" ht="15" hidden="false" customHeight="false" outlineLevel="0" collapsed="false">
      <c r="A28" s="10"/>
      <c r="B28" s="10"/>
      <c r="C28" s="11"/>
      <c r="D28" s="14"/>
      <c r="E28" s="13" t="str">
        <f aca="false">IF(A28="","",Settings!$B$2)</f>
        <v/>
      </c>
      <c r="F28" s="14"/>
      <c r="G28" s="14"/>
      <c r="H28" s="15" t="str">
        <f aca="false">IF(A28="","",ROUND(D28*E28/100,2))</f>
        <v/>
      </c>
      <c r="I28" s="15" t="str">
        <f aca="false">IF(A28="","",D28+H28+F28+G28)</f>
        <v/>
      </c>
      <c r="J28" s="15" t="str">
        <f aca="false">IF(A28="","",ROUND(I28/12,2))</f>
        <v/>
      </c>
      <c r="K28" s="16" t="str">
        <f aca="false">IF(A28="","",Settings!$B$3)</f>
        <v/>
      </c>
      <c r="L28" s="15" t="str">
        <f aca="false">IF(A28="","",IFERROR(ROUND(I28/(K28*Settings!$B$4*Settings!$B$5/100),2),""))</f>
        <v/>
      </c>
      <c r="M28" s="17" t="str">
        <f aca="false">IF(A28="","",IFERROR(ROUND(I28/D28,2),""))</f>
        <v/>
      </c>
    </row>
    <row r="29" customFormat="false" ht="15" hidden="false" customHeight="false" outlineLevel="0" collapsed="false">
      <c r="A29" s="10"/>
      <c r="B29" s="10"/>
      <c r="C29" s="11"/>
      <c r="D29" s="14"/>
      <c r="E29" s="13" t="str">
        <f aca="false">IF(A29="","",Settings!$B$2)</f>
        <v/>
      </c>
      <c r="F29" s="14"/>
      <c r="G29" s="14"/>
      <c r="H29" s="15" t="str">
        <f aca="false">IF(A29="","",ROUND(D29*E29/100,2))</f>
        <v/>
      </c>
      <c r="I29" s="15" t="str">
        <f aca="false">IF(A29="","",D29+H29+F29+G29)</f>
        <v/>
      </c>
      <c r="J29" s="15" t="str">
        <f aca="false">IF(A29="","",ROUND(I29/12,2))</f>
        <v/>
      </c>
      <c r="K29" s="16" t="str">
        <f aca="false">IF(A29="","",Settings!$B$3)</f>
        <v/>
      </c>
      <c r="L29" s="15" t="str">
        <f aca="false">IF(A29="","",IFERROR(ROUND(I29/(K29*Settings!$B$4*Settings!$B$5/100),2),""))</f>
        <v/>
      </c>
      <c r="M29" s="17" t="str">
        <f aca="false">IF(A29="","",IFERROR(ROUND(I29/D29,2),""))</f>
        <v/>
      </c>
    </row>
    <row r="30" customFormat="false" ht="15" hidden="false" customHeight="false" outlineLevel="0" collapsed="false">
      <c r="A30" s="10"/>
      <c r="B30" s="10"/>
      <c r="C30" s="11"/>
      <c r="D30" s="14"/>
      <c r="E30" s="13" t="str">
        <f aca="false">IF(A30="","",Settings!$B$2)</f>
        <v/>
      </c>
      <c r="F30" s="14"/>
      <c r="G30" s="14"/>
      <c r="H30" s="15" t="str">
        <f aca="false">IF(A30="","",ROUND(D30*E30/100,2))</f>
        <v/>
      </c>
      <c r="I30" s="15" t="str">
        <f aca="false">IF(A30="","",D30+H30+F30+G30)</f>
        <v/>
      </c>
      <c r="J30" s="15" t="str">
        <f aca="false">IF(A30="","",ROUND(I30/12,2))</f>
        <v/>
      </c>
      <c r="K30" s="16" t="str">
        <f aca="false">IF(A30="","",Settings!$B$3)</f>
        <v/>
      </c>
      <c r="L30" s="15" t="str">
        <f aca="false">IF(A30="","",IFERROR(ROUND(I30/(K30*Settings!$B$4*Settings!$B$5/100),2),""))</f>
        <v/>
      </c>
      <c r="M30" s="17" t="str">
        <f aca="false">IF(A30="","",IFERROR(ROUND(I30/D30,2),""))</f>
        <v/>
      </c>
    </row>
    <row r="31" customFormat="false" ht="15" hidden="false" customHeight="false" outlineLevel="0" collapsed="false">
      <c r="A31" s="10"/>
      <c r="B31" s="10"/>
      <c r="C31" s="11"/>
      <c r="D31" s="14"/>
      <c r="E31" s="13" t="str">
        <f aca="false">IF(A31="","",Settings!$B$2)</f>
        <v/>
      </c>
      <c r="F31" s="14"/>
      <c r="G31" s="14"/>
      <c r="H31" s="15" t="str">
        <f aca="false">IF(A31="","",ROUND(D31*E31/100,2))</f>
        <v/>
      </c>
      <c r="I31" s="15" t="str">
        <f aca="false">IF(A31="","",D31+H31+F31+G31)</f>
        <v/>
      </c>
      <c r="J31" s="15" t="str">
        <f aca="false">IF(A31="","",ROUND(I31/12,2))</f>
        <v/>
      </c>
      <c r="K31" s="16" t="str">
        <f aca="false">IF(A31="","",Settings!$B$3)</f>
        <v/>
      </c>
      <c r="L31" s="15" t="str">
        <f aca="false">IF(A31="","",IFERROR(ROUND(I31/(K31*Settings!$B$4*Settings!$B$5/100),2),""))</f>
        <v/>
      </c>
      <c r="M31" s="17" t="str">
        <f aca="false">IF(A31="","",IFERROR(ROUND(I31/D31,2),""))</f>
        <v/>
      </c>
    </row>
    <row r="32" customFormat="false" ht="15" hidden="false" customHeight="false" outlineLevel="0" collapsed="false">
      <c r="A32" s="10"/>
      <c r="B32" s="10"/>
      <c r="C32" s="11"/>
      <c r="D32" s="14"/>
      <c r="E32" s="13" t="str">
        <f aca="false">IF(A32="","",Settings!$B$2)</f>
        <v/>
      </c>
      <c r="F32" s="14"/>
      <c r="G32" s="14"/>
      <c r="H32" s="15" t="str">
        <f aca="false">IF(A32="","",ROUND(D32*E32/100,2))</f>
        <v/>
      </c>
      <c r="I32" s="15" t="str">
        <f aca="false">IF(A32="","",D32+H32+F32+G32)</f>
        <v/>
      </c>
      <c r="J32" s="15" t="str">
        <f aca="false">IF(A32="","",ROUND(I32/12,2))</f>
        <v/>
      </c>
      <c r="K32" s="16" t="str">
        <f aca="false">IF(A32="","",Settings!$B$3)</f>
        <v/>
      </c>
      <c r="L32" s="15" t="str">
        <f aca="false">IF(A32="","",IFERROR(ROUND(I32/(K32*Settings!$B$4*Settings!$B$5/100),2),""))</f>
        <v/>
      </c>
      <c r="M32" s="17" t="str">
        <f aca="false">IF(A32="","",IFERROR(ROUND(I32/D32,2),""))</f>
        <v/>
      </c>
    </row>
    <row r="33" customFormat="false" ht="15" hidden="false" customHeight="false" outlineLevel="0" collapsed="false">
      <c r="A33" s="10"/>
      <c r="B33" s="10"/>
      <c r="C33" s="11"/>
      <c r="D33" s="14"/>
      <c r="E33" s="13" t="str">
        <f aca="false">IF(A33="","",Settings!$B$2)</f>
        <v/>
      </c>
      <c r="F33" s="14"/>
      <c r="G33" s="14"/>
      <c r="H33" s="15" t="str">
        <f aca="false">IF(A33="","",ROUND(D33*E33/100,2))</f>
        <v/>
      </c>
      <c r="I33" s="15" t="str">
        <f aca="false">IF(A33="","",D33+H33+F33+G33)</f>
        <v/>
      </c>
      <c r="J33" s="15" t="str">
        <f aca="false">IF(A33="","",ROUND(I33/12,2))</f>
        <v/>
      </c>
      <c r="K33" s="16" t="str">
        <f aca="false">IF(A33="","",Settings!$B$3)</f>
        <v/>
      </c>
      <c r="L33" s="15" t="str">
        <f aca="false">IF(A33="","",IFERROR(ROUND(I33/(K33*Settings!$B$4*Settings!$B$5/100),2),""))</f>
        <v/>
      </c>
      <c r="M33" s="17" t="str">
        <f aca="false">IF(A33="","",IFERROR(ROUND(I33/D33,2),""))</f>
        <v/>
      </c>
    </row>
    <row r="34" customFormat="false" ht="15" hidden="false" customHeight="false" outlineLevel="0" collapsed="false">
      <c r="A34" s="10"/>
      <c r="B34" s="10"/>
      <c r="C34" s="11"/>
      <c r="D34" s="14"/>
      <c r="E34" s="13" t="str">
        <f aca="false">IF(A34="","",Settings!$B$2)</f>
        <v/>
      </c>
      <c r="F34" s="14"/>
      <c r="G34" s="14"/>
      <c r="H34" s="15" t="str">
        <f aca="false">IF(A34="","",ROUND(D34*E34/100,2))</f>
        <v/>
      </c>
      <c r="I34" s="15" t="str">
        <f aca="false">IF(A34="","",D34+H34+F34+G34)</f>
        <v/>
      </c>
      <c r="J34" s="15" t="str">
        <f aca="false">IF(A34="","",ROUND(I34/12,2))</f>
        <v/>
      </c>
      <c r="K34" s="16" t="str">
        <f aca="false">IF(A34="","",Settings!$B$3)</f>
        <v/>
      </c>
      <c r="L34" s="15" t="str">
        <f aca="false">IF(A34="","",IFERROR(ROUND(I34/(K34*Settings!$B$4*Settings!$B$5/100),2),""))</f>
        <v/>
      </c>
      <c r="M34" s="17" t="str">
        <f aca="false">IF(A34="","",IFERROR(ROUND(I34/D34,2),""))</f>
        <v/>
      </c>
    </row>
    <row r="35" customFormat="false" ht="15" hidden="false" customHeight="false" outlineLevel="0" collapsed="false">
      <c r="A35" s="10"/>
      <c r="B35" s="10"/>
      <c r="C35" s="11"/>
      <c r="D35" s="14"/>
      <c r="E35" s="13" t="str">
        <f aca="false">IF(A35="","",Settings!$B$2)</f>
        <v/>
      </c>
      <c r="F35" s="14"/>
      <c r="G35" s="14"/>
      <c r="H35" s="15" t="str">
        <f aca="false">IF(A35="","",ROUND(D35*E35/100,2))</f>
        <v/>
      </c>
      <c r="I35" s="15" t="str">
        <f aca="false">IF(A35="","",D35+H35+F35+G35)</f>
        <v/>
      </c>
      <c r="J35" s="15" t="str">
        <f aca="false">IF(A35="","",ROUND(I35/12,2))</f>
        <v/>
      </c>
      <c r="K35" s="16" t="str">
        <f aca="false">IF(A35="","",Settings!$B$3)</f>
        <v/>
      </c>
      <c r="L35" s="15" t="str">
        <f aca="false">IF(A35="","",IFERROR(ROUND(I35/(K35*Settings!$B$4*Settings!$B$5/100),2),""))</f>
        <v/>
      </c>
      <c r="M35" s="17" t="str">
        <f aca="false">IF(A35="","",IFERROR(ROUND(I35/D35,2),""))</f>
        <v/>
      </c>
    </row>
    <row r="36" customFormat="false" ht="15" hidden="false" customHeight="false" outlineLevel="0" collapsed="false">
      <c r="A36" s="10"/>
      <c r="B36" s="10"/>
      <c r="C36" s="11"/>
      <c r="D36" s="14"/>
      <c r="E36" s="13" t="str">
        <f aca="false">IF(A36="","",Settings!$B$2)</f>
        <v/>
      </c>
      <c r="F36" s="14"/>
      <c r="G36" s="14"/>
      <c r="H36" s="15" t="str">
        <f aca="false">IF(A36="","",ROUND(D36*E36/100,2))</f>
        <v/>
      </c>
      <c r="I36" s="15" t="str">
        <f aca="false">IF(A36="","",D36+H36+F36+G36)</f>
        <v/>
      </c>
      <c r="J36" s="15" t="str">
        <f aca="false">IF(A36="","",ROUND(I36/12,2))</f>
        <v/>
      </c>
      <c r="K36" s="16" t="str">
        <f aca="false">IF(A36="","",Settings!$B$3)</f>
        <v/>
      </c>
      <c r="L36" s="15" t="str">
        <f aca="false">IF(A36="","",IFERROR(ROUND(I36/(K36*Settings!$B$4*Settings!$B$5/100),2),""))</f>
        <v/>
      </c>
      <c r="M36" s="17" t="str">
        <f aca="false">IF(A36="","",IFERROR(ROUND(I36/D36,2),""))</f>
        <v/>
      </c>
    </row>
    <row r="37" customFormat="false" ht="15" hidden="false" customHeight="false" outlineLevel="0" collapsed="false">
      <c r="A37" s="10"/>
      <c r="B37" s="10"/>
      <c r="C37" s="11"/>
      <c r="D37" s="14"/>
      <c r="E37" s="13" t="str">
        <f aca="false">IF(A37="","",Settings!$B$2)</f>
        <v/>
      </c>
      <c r="F37" s="14"/>
      <c r="G37" s="14"/>
      <c r="H37" s="15" t="str">
        <f aca="false">IF(A37="","",ROUND(D37*E37/100,2))</f>
        <v/>
      </c>
      <c r="I37" s="15" t="str">
        <f aca="false">IF(A37="","",D37+H37+F37+G37)</f>
        <v/>
      </c>
      <c r="J37" s="15" t="str">
        <f aca="false">IF(A37="","",ROUND(I37/12,2))</f>
        <v/>
      </c>
      <c r="K37" s="16" t="str">
        <f aca="false">IF(A37="","",Settings!$B$3)</f>
        <v/>
      </c>
      <c r="L37" s="15" t="str">
        <f aca="false">IF(A37="","",IFERROR(ROUND(I37/(K37*Settings!$B$4*Settings!$B$5/100),2),""))</f>
        <v/>
      </c>
      <c r="M37" s="17" t="str">
        <f aca="false">IF(A37="","",IFERROR(ROUND(I37/D37,2),""))</f>
        <v/>
      </c>
    </row>
    <row r="38" customFormat="false" ht="15" hidden="false" customHeight="false" outlineLevel="0" collapsed="false">
      <c r="A38" s="10"/>
      <c r="B38" s="10"/>
      <c r="C38" s="11"/>
      <c r="D38" s="14"/>
      <c r="E38" s="13" t="str">
        <f aca="false">IF(A38="","",Settings!$B$2)</f>
        <v/>
      </c>
      <c r="F38" s="14"/>
      <c r="G38" s="14"/>
      <c r="H38" s="15" t="str">
        <f aca="false">IF(A38="","",ROUND(D38*E38/100,2))</f>
        <v/>
      </c>
      <c r="I38" s="15" t="str">
        <f aca="false">IF(A38="","",D38+H38+F38+G38)</f>
        <v/>
      </c>
      <c r="J38" s="15" t="str">
        <f aca="false">IF(A38="","",ROUND(I38/12,2))</f>
        <v/>
      </c>
      <c r="K38" s="16" t="str">
        <f aca="false">IF(A38="","",Settings!$B$3)</f>
        <v/>
      </c>
      <c r="L38" s="15" t="str">
        <f aca="false">IF(A38="","",IFERROR(ROUND(I38/(K38*Settings!$B$4*Settings!$B$5/100),2),""))</f>
        <v/>
      </c>
      <c r="M38" s="17" t="str">
        <f aca="false">IF(A38="","",IFERROR(ROUND(I38/D38,2),""))</f>
        <v/>
      </c>
    </row>
    <row r="39" customFormat="false" ht="15" hidden="false" customHeight="false" outlineLevel="0" collapsed="false">
      <c r="A39" s="10"/>
      <c r="B39" s="10"/>
      <c r="C39" s="11"/>
      <c r="D39" s="14"/>
      <c r="E39" s="13" t="str">
        <f aca="false">IF(A39="","",Settings!$B$2)</f>
        <v/>
      </c>
      <c r="F39" s="14"/>
      <c r="G39" s="14"/>
      <c r="H39" s="15" t="str">
        <f aca="false">IF(A39="","",ROUND(D39*E39/100,2))</f>
        <v/>
      </c>
      <c r="I39" s="15" t="str">
        <f aca="false">IF(A39="","",D39+H39+F39+G39)</f>
        <v/>
      </c>
      <c r="J39" s="15" t="str">
        <f aca="false">IF(A39="","",ROUND(I39/12,2))</f>
        <v/>
      </c>
      <c r="K39" s="16" t="str">
        <f aca="false">IF(A39="","",Settings!$B$3)</f>
        <v/>
      </c>
      <c r="L39" s="15" t="str">
        <f aca="false">IF(A39="","",IFERROR(ROUND(I39/(K39*Settings!$B$4*Settings!$B$5/100),2),""))</f>
        <v/>
      </c>
      <c r="M39" s="17" t="str">
        <f aca="false">IF(A39="","",IFERROR(ROUND(I39/D39,2),""))</f>
        <v/>
      </c>
    </row>
    <row r="40" customFormat="false" ht="15" hidden="false" customHeight="false" outlineLevel="0" collapsed="false">
      <c r="A40" s="10"/>
      <c r="B40" s="10"/>
      <c r="C40" s="11"/>
      <c r="D40" s="14"/>
      <c r="E40" s="13" t="str">
        <f aca="false">IF(A40="","",Settings!$B$2)</f>
        <v/>
      </c>
      <c r="F40" s="14"/>
      <c r="G40" s="14"/>
      <c r="H40" s="15" t="str">
        <f aca="false">IF(A40="","",ROUND(D40*E40/100,2))</f>
        <v/>
      </c>
      <c r="I40" s="15" t="str">
        <f aca="false">IF(A40="","",D40+H40+F40+G40)</f>
        <v/>
      </c>
      <c r="J40" s="15" t="str">
        <f aca="false">IF(A40="","",ROUND(I40/12,2))</f>
        <v/>
      </c>
      <c r="K40" s="16" t="str">
        <f aca="false">IF(A40="","",Settings!$B$3)</f>
        <v/>
      </c>
      <c r="L40" s="15" t="str">
        <f aca="false">IF(A40="","",IFERROR(ROUND(I40/(K40*Settings!$B$4*Settings!$B$5/100),2),""))</f>
        <v/>
      </c>
      <c r="M40" s="17" t="str">
        <f aca="false">IF(A40="","",IFERROR(ROUND(I40/D40,2),""))</f>
        <v/>
      </c>
    </row>
    <row r="41" customFormat="false" ht="15" hidden="false" customHeight="false" outlineLevel="0" collapsed="false">
      <c r="A41" s="4" t="s">
        <v>58</v>
      </c>
      <c r="B41" s="4" t="s">
        <v>59</v>
      </c>
      <c r="C41" s="18" t="n">
        <f aca="false">COUNTA(A5:A40)</f>
        <v>3</v>
      </c>
      <c r="D41" s="19" t="n">
        <f aca="false">SUM(D5:D40)</f>
        <v>152000</v>
      </c>
      <c r="F41" s="19" t="n">
        <f aca="false">SUM(F5:F40)</f>
        <v>11500</v>
      </c>
      <c r="G41" s="19" t="n">
        <f aca="false">SUM(G5:G40)</f>
        <v>8200</v>
      </c>
      <c r="H41" s="19" t="n">
        <f aca="false">SUM(H5:H40)</f>
        <v>18240</v>
      </c>
      <c r="I41" s="19" t="n">
        <f aca="false">SUM(I5:I40)</f>
        <v>189940</v>
      </c>
      <c r="J41" s="19" t="n">
        <f aca="false">SUM(J5:J40)</f>
        <v>15828.33</v>
      </c>
    </row>
    <row r="42" customFormat="false" ht="15" hidden="false" customHeight="false" outlineLevel="0" collapsed="false">
      <c r="A42" s="4" t="s">
        <v>60</v>
      </c>
      <c r="I42" s="19" t="n">
        <f aca="false">IFERROR(ROUND(I41/C41,2),0)</f>
        <v>63313.33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3" min="3" style="0" width="11"/>
    <col collapsed="false" customWidth="true" hidden="false" outlineLevel="0" max="4" min="4" style="0" width="14"/>
    <col collapsed="false" customWidth="true" hidden="false" outlineLevel="0" max="5" min="5" style="0" width="13"/>
    <col collapsed="false" customWidth="true" hidden="false" outlineLevel="0" max="6" min="6" style="0" width="14"/>
    <col collapsed="false" customWidth="true" hidden="false" outlineLevel="0" max="7" min="7" style="0" width="10"/>
    <col collapsed="false" customWidth="true" hidden="false" outlineLevel="0" max="8" min="8" style="0" width="13"/>
    <col collapsed="false" customWidth="true" hidden="false" outlineLevel="0" max="9" min="9" style="0" width="12"/>
    <col collapsed="false" customWidth="true" hidden="false" outlineLevel="0" max="10" min="10" style="0" width="15"/>
  </cols>
  <sheetData>
    <row r="1" customFormat="false" ht="17.35" hidden="false" customHeight="false" outlineLevel="0" collapsed="false">
      <c r="A1" s="1" t="s">
        <v>61</v>
      </c>
    </row>
    <row r="2" customFormat="false" ht="15" hidden="false" customHeight="false" outlineLevel="0" collapsed="false">
      <c r="A2" s="2" t="s">
        <v>62</v>
      </c>
    </row>
    <row r="4" customFormat="false" ht="26.85" hidden="false" customHeight="false" outlineLevel="0" collapsed="false">
      <c r="A4" s="9" t="s">
        <v>63</v>
      </c>
      <c r="B4" s="9" t="s">
        <v>64</v>
      </c>
      <c r="C4" s="9" t="s">
        <v>65</v>
      </c>
      <c r="D4" s="9" t="s">
        <v>66</v>
      </c>
      <c r="E4" s="9" t="s">
        <v>67</v>
      </c>
      <c r="F4" s="9" t="s">
        <v>68</v>
      </c>
      <c r="G4" s="9" t="s">
        <v>69</v>
      </c>
      <c r="H4" s="9" t="s">
        <v>70</v>
      </c>
      <c r="I4" s="9" t="s">
        <v>43</v>
      </c>
      <c r="J4" s="9" t="s">
        <v>71</v>
      </c>
    </row>
    <row r="5" customFormat="false" ht="15" hidden="false" customHeight="false" outlineLevel="0" collapsed="false">
      <c r="A5" s="8" t="s">
        <v>52</v>
      </c>
      <c r="B5" s="14" t="n">
        <f aca="false">IF(A5="","",IFERROR(INDEX(Team!$D$5:$D$40,MATCH(A5,Team!$A$5:$A$40,0)),""))</f>
        <v>50000</v>
      </c>
      <c r="C5" s="10" t="s">
        <v>72</v>
      </c>
      <c r="D5" s="5" t="n">
        <v>5</v>
      </c>
      <c r="E5" s="15" t="n">
        <f aca="false">IF(A5="","",IF(C5="percent",ROUND(B5*D5/100,2),D5))</f>
        <v>2500</v>
      </c>
      <c r="F5" s="15" t="n">
        <f aca="false">IF(A5="","",B5+E5)</f>
        <v>52500</v>
      </c>
      <c r="G5" s="20" t="n">
        <f aca="false">IF(A5="","",IFERROR(ROUND(E5/B5*100,2),""))</f>
        <v>5</v>
      </c>
      <c r="H5" s="15" t="n">
        <f aca="false">IF(A5="","",ROUND(E5/12,2))</f>
        <v>208.33</v>
      </c>
      <c r="I5" s="13" t="n">
        <f aca="false">IF(A5="","",Settings!$B$2)</f>
        <v>12</v>
      </c>
      <c r="J5" s="15" t="n">
        <f aca="false">IF(A5="","",ROUND(E5*(1+I5/100),2))</f>
        <v>2800</v>
      </c>
    </row>
    <row r="6" customFormat="false" ht="15" hidden="false" customHeight="false" outlineLevel="0" collapsed="false">
      <c r="A6" s="10" t="s">
        <v>54</v>
      </c>
      <c r="B6" s="14" t="n">
        <f aca="false">IF(A6="","",IFERROR(INDEX(Team!$D$5:$D$40,MATCH(A6,Team!$A$5:$A$40,0)),""))</f>
        <v>64000</v>
      </c>
      <c r="C6" s="10" t="s">
        <v>73</v>
      </c>
      <c r="D6" s="13" t="n">
        <v>3000</v>
      </c>
      <c r="E6" s="15" t="n">
        <f aca="false">IF(A6="","",IF(C6="percent",ROUND(B6*D6/100,2),D6))</f>
        <v>3000</v>
      </c>
      <c r="F6" s="15" t="n">
        <f aca="false">IF(A6="","",B6+E6)</f>
        <v>67000</v>
      </c>
      <c r="G6" s="20" t="n">
        <f aca="false">IF(A6="","",IFERROR(ROUND(E6/B6*100,2),""))</f>
        <v>4.69</v>
      </c>
      <c r="H6" s="15" t="n">
        <f aca="false">IF(A6="","",ROUND(E6/12,2))</f>
        <v>250</v>
      </c>
      <c r="I6" s="13" t="n">
        <f aca="false">IF(A6="","",Settings!$B$2)</f>
        <v>12</v>
      </c>
      <c r="J6" s="15" t="n">
        <f aca="false">IF(A6="","",ROUND(E6*(1+I6/100),2))</f>
        <v>3360</v>
      </c>
    </row>
    <row r="7" customFormat="false" ht="15" hidden="false" customHeight="false" outlineLevel="0" collapsed="false">
      <c r="A7" s="10"/>
      <c r="B7" s="14" t="str">
        <f aca="false">IF(A7="","",IFERROR(INDEX(Team!$D$5:$D$40,MATCH(A7,Team!$A$5:$A$40,0)),""))</f>
        <v/>
      </c>
      <c r="C7" s="10"/>
      <c r="D7" s="13"/>
      <c r="E7" s="15" t="str">
        <f aca="false">IF(A7="","",IF(C7="percent",ROUND(B7*D7/100,2),D7))</f>
        <v/>
      </c>
      <c r="F7" s="15" t="str">
        <f aca="false">IF(A7="","",B7+E7)</f>
        <v/>
      </c>
      <c r="G7" s="20" t="str">
        <f aca="false">IF(A7="","",IFERROR(ROUND(E7/B7*100,2),""))</f>
        <v/>
      </c>
      <c r="H7" s="15" t="str">
        <f aca="false">IF(A7="","",ROUND(E7/12,2))</f>
        <v/>
      </c>
      <c r="I7" s="13" t="str">
        <f aca="false">IF(A7="","",Settings!$B$2)</f>
        <v/>
      </c>
      <c r="J7" s="15" t="str">
        <f aca="false">IF(A7="","",ROUND(E7*(1+I7/100),2))</f>
        <v/>
      </c>
    </row>
    <row r="8" customFormat="false" ht="15" hidden="false" customHeight="false" outlineLevel="0" collapsed="false">
      <c r="A8" s="10"/>
      <c r="B8" s="14" t="str">
        <f aca="false">IF(A8="","",IFERROR(INDEX(Team!$D$5:$D$40,MATCH(A8,Team!$A$5:$A$40,0)),""))</f>
        <v/>
      </c>
      <c r="C8" s="10"/>
      <c r="D8" s="13"/>
      <c r="E8" s="15" t="str">
        <f aca="false">IF(A8="","",IF(C8="percent",ROUND(B8*D8/100,2),D8))</f>
        <v/>
      </c>
      <c r="F8" s="15" t="str">
        <f aca="false">IF(A8="","",B8+E8)</f>
        <v/>
      </c>
      <c r="G8" s="20" t="str">
        <f aca="false">IF(A8="","",IFERROR(ROUND(E8/B8*100,2),""))</f>
        <v/>
      </c>
      <c r="H8" s="15" t="str">
        <f aca="false">IF(A8="","",ROUND(E8/12,2))</f>
        <v/>
      </c>
      <c r="I8" s="13" t="str">
        <f aca="false">IF(A8="","",Settings!$B$2)</f>
        <v/>
      </c>
      <c r="J8" s="15" t="str">
        <f aca="false">IF(A8="","",ROUND(E8*(1+I8/100),2))</f>
        <v/>
      </c>
    </row>
    <row r="9" customFormat="false" ht="15" hidden="false" customHeight="false" outlineLevel="0" collapsed="false">
      <c r="A9" s="10"/>
      <c r="B9" s="14" t="str">
        <f aca="false">IF(A9="","",IFERROR(INDEX(Team!$D$5:$D$40,MATCH(A9,Team!$A$5:$A$40,0)),""))</f>
        <v/>
      </c>
      <c r="C9" s="10"/>
      <c r="D9" s="13"/>
      <c r="E9" s="15" t="str">
        <f aca="false">IF(A9="","",IF(C9="percent",ROUND(B9*D9/100,2),D9))</f>
        <v/>
      </c>
      <c r="F9" s="15" t="str">
        <f aca="false">IF(A9="","",B9+E9)</f>
        <v/>
      </c>
      <c r="G9" s="20" t="str">
        <f aca="false">IF(A9="","",IFERROR(ROUND(E9/B9*100,2),""))</f>
        <v/>
      </c>
      <c r="H9" s="15" t="str">
        <f aca="false">IF(A9="","",ROUND(E9/12,2))</f>
        <v/>
      </c>
      <c r="I9" s="13" t="str">
        <f aca="false">IF(A9="","",Settings!$B$2)</f>
        <v/>
      </c>
      <c r="J9" s="15" t="str">
        <f aca="false">IF(A9="","",ROUND(E9*(1+I9/100),2))</f>
        <v/>
      </c>
    </row>
    <row r="10" customFormat="false" ht="15" hidden="false" customHeight="false" outlineLevel="0" collapsed="false">
      <c r="A10" s="10"/>
      <c r="B10" s="14" t="str">
        <f aca="false">IF(A10="","",IFERROR(INDEX(Team!$D$5:$D$40,MATCH(A10,Team!$A$5:$A$40,0)),""))</f>
        <v/>
      </c>
      <c r="C10" s="10"/>
      <c r="D10" s="13"/>
      <c r="E10" s="15" t="str">
        <f aca="false">IF(A10="","",IF(C10="percent",ROUND(B10*D10/100,2),D10))</f>
        <v/>
      </c>
      <c r="F10" s="15" t="str">
        <f aca="false">IF(A10="","",B10+E10)</f>
        <v/>
      </c>
      <c r="G10" s="20" t="str">
        <f aca="false">IF(A10="","",IFERROR(ROUND(E10/B10*100,2),""))</f>
        <v/>
      </c>
      <c r="H10" s="15" t="str">
        <f aca="false">IF(A10="","",ROUND(E10/12,2))</f>
        <v/>
      </c>
      <c r="I10" s="13" t="str">
        <f aca="false">IF(A10="","",Settings!$B$2)</f>
        <v/>
      </c>
      <c r="J10" s="15" t="str">
        <f aca="false">IF(A10="","",ROUND(E10*(1+I10/100),2))</f>
        <v/>
      </c>
    </row>
    <row r="11" customFormat="false" ht="15" hidden="false" customHeight="false" outlineLevel="0" collapsed="false">
      <c r="A11" s="10"/>
      <c r="B11" s="14" t="str">
        <f aca="false">IF(A11="","",IFERROR(INDEX(Team!$D$5:$D$40,MATCH(A11,Team!$A$5:$A$40,0)),""))</f>
        <v/>
      </c>
      <c r="C11" s="10"/>
      <c r="D11" s="13"/>
      <c r="E11" s="15" t="str">
        <f aca="false">IF(A11="","",IF(C11="percent",ROUND(B11*D11/100,2),D11))</f>
        <v/>
      </c>
      <c r="F11" s="15" t="str">
        <f aca="false">IF(A11="","",B11+E11)</f>
        <v/>
      </c>
      <c r="G11" s="20" t="str">
        <f aca="false">IF(A11="","",IFERROR(ROUND(E11/B11*100,2),""))</f>
        <v/>
      </c>
      <c r="H11" s="15" t="str">
        <f aca="false">IF(A11="","",ROUND(E11/12,2))</f>
        <v/>
      </c>
      <c r="I11" s="13" t="str">
        <f aca="false">IF(A11="","",Settings!$B$2)</f>
        <v/>
      </c>
      <c r="J11" s="15" t="str">
        <f aca="false">IF(A11="","",ROUND(E11*(1+I11/100),2))</f>
        <v/>
      </c>
    </row>
    <row r="12" customFormat="false" ht="15" hidden="false" customHeight="false" outlineLevel="0" collapsed="false">
      <c r="A12" s="10"/>
      <c r="B12" s="14" t="str">
        <f aca="false">IF(A12="","",IFERROR(INDEX(Team!$D$5:$D$40,MATCH(A12,Team!$A$5:$A$40,0)),""))</f>
        <v/>
      </c>
      <c r="C12" s="10"/>
      <c r="D12" s="13"/>
      <c r="E12" s="15" t="str">
        <f aca="false">IF(A12="","",IF(C12="percent",ROUND(B12*D12/100,2),D12))</f>
        <v/>
      </c>
      <c r="F12" s="15" t="str">
        <f aca="false">IF(A12="","",B12+E12)</f>
        <v/>
      </c>
      <c r="G12" s="20" t="str">
        <f aca="false">IF(A12="","",IFERROR(ROUND(E12/B12*100,2),""))</f>
        <v/>
      </c>
      <c r="H12" s="15" t="str">
        <f aca="false">IF(A12="","",ROUND(E12/12,2))</f>
        <v/>
      </c>
      <c r="I12" s="13" t="str">
        <f aca="false">IF(A12="","",Settings!$B$2)</f>
        <v/>
      </c>
      <c r="J12" s="15" t="str">
        <f aca="false">IF(A12="","",ROUND(E12*(1+I12/100),2))</f>
        <v/>
      </c>
    </row>
    <row r="13" customFormat="false" ht="15" hidden="false" customHeight="false" outlineLevel="0" collapsed="false">
      <c r="A13" s="10"/>
      <c r="B13" s="14" t="str">
        <f aca="false">IF(A13="","",IFERROR(INDEX(Team!$D$5:$D$40,MATCH(A13,Team!$A$5:$A$40,0)),""))</f>
        <v/>
      </c>
      <c r="C13" s="10"/>
      <c r="D13" s="13"/>
      <c r="E13" s="15" t="str">
        <f aca="false">IF(A13="","",IF(C13="percent",ROUND(B13*D13/100,2),D13))</f>
        <v/>
      </c>
      <c r="F13" s="15" t="str">
        <f aca="false">IF(A13="","",B13+E13)</f>
        <v/>
      </c>
      <c r="G13" s="20" t="str">
        <f aca="false">IF(A13="","",IFERROR(ROUND(E13/B13*100,2),""))</f>
        <v/>
      </c>
      <c r="H13" s="15" t="str">
        <f aca="false">IF(A13="","",ROUND(E13/12,2))</f>
        <v/>
      </c>
      <c r="I13" s="13" t="str">
        <f aca="false">IF(A13="","",Settings!$B$2)</f>
        <v/>
      </c>
      <c r="J13" s="15" t="str">
        <f aca="false">IF(A13="","",ROUND(E13*(1+I13/100),2))</f>
        <v/>
      </c>
    </row>
    <row r="14" customFormat="false" ht="15" hidden="false" customHeight="false" outlineLevel="0" collapsed="false">
      <c r="A14" s="10"/>
      <c r="B14" s="14" t="str">
        <f aca="false">IF(A14="","",IFERROR(INDEX(Team!$D$5:$D$40,MATCH(A14,Team!$A$5:$A$40,0)),""))</f>
        <v/>
      </c>
      <c r="C14" s="10"/>
      <c r="D14" s="13"/>
      <c r="E14" s="15" t="str">
        <f aca="false">IF(A14="","",IF(C14="percent",ROUND(B14*D14/100,2),D14))</f>
        <v/>
      </c>
      <c r="F14" s="15" t="str">
        <f aca="false">IF(A14="","",B14+E14)</f>
        <v/>
      </c>
      <c r="G14" s="20" t="str">
        <f aca="false">IF(A14="","",IFERROR(ROUND(E14/B14*100,2),""))</f>
        <v/>
      </c>
      <c r="H14" s="15" t="str">
        <f aca="false">IF(A14="","",ROUND(E14/12,2))</f>
        <v/>
      </c>
      <c r="I14" s="13" t="str">
        <f aca="false">IF(A14="","",Settings!$B$2)</f>
        <v/>
      </c>
      <c r="J14" s="15" t="str">
        <f aca="false">IF(A14="","",ROUND(E14*(1+I14/100),2))</f>
        <v/>
      </c>
    </row>
    <row r="15" customFormat="false" ht="15" hidden="false" customHeight="false" outlineLevel="0" collapsed="false">
      <c r="A15" s="10"/>
      <c r="B15" s="14" t="str">
        <f aca="false">IF(A15="","",IFERROR(INDEX(Team!$D$5:$D$40,MATCH(A15,Team!$A$5:$A$40,0)),""))</f>
        <v/>
      </c>
      <c r="C15" s="10"/>
      <c r="D15" s="13"/>
      <c r="E15" s="15" t="str">
        <f aca="false">IF(A15="","",IF(C15="percent",ROUND(B15*D15/100,2),D15))</f>
        <v/>
      </c>
      <c r="F15" s="15" t="str">
        <f aca="false">IF(A15="","",B15+E15)</f>
        <v/>
      </c>
      <c r="G15" s="20" t="str">
        <f aca="false">IF(A15="","",IFERROR(ROUND(E15/B15*100,2),""))</f>
        <v/>
      </c>
      <c r="H15" s="15" t="str">
        <f aca="false">IF(A15="","",ROUND(E15/12,2))</f>
        <v/>
      </c>
      <c r="I15" s="13" t="str">
        <f aca="false">IF(A15="","",Settings!$B$2)</f>
        <v/>
      </c>
      <c r="J15" s="15" t="str">
        <f aca="false">IF(A15="","",ROUND(E15*(1+I15/100),2))</f>
        <v/>
      </c>
    </row>
    <row r="16" customFormat="false" ht="15" hidden="false" customHeight="false" outlineLevel="0" collapsed="false">
      <c r="A16" s="10"/>
      <c r="B16" s="14" t="str">
        <f aca="false">IF(A16="","",IFERROR(INDEX(Team!$D$5:$D$40,MATCH(A16,Team!$A$5:$A$40,0)),""))</f>
        <v/>
      </c>
      <c r="C16" s="10"/>
      <c r="D16" s="13"/>
      <c r="E16" s="15" t="str">
        <f aca="false">IF(A16="","",IF(C16="percent",ROUND(B16*D16/100,2),D16))</f>
        <v/>
      </c>
      <c r="F16" s="15" t="str">
        <f aca="false">IF(A16="","",B16+E16)</f>
        <v/>
      </c>
      <c r="G16" s="20" t="str">
        <f aca="false">IF(A16="","",IFERROR(ROUND(E16/B16*100,2),""))</f>
        <v/>
      </c>
      <c r="H16" s="15" t="str">
        <f aca="false">IF(A16="","",ROUND(E16/12,2))</f>
        <v/>
      </c>
      <c r="I16" s="13" t="str">
        <f aca="false">IF(A16="","",Settings!$B$2)</f>
        <v/>
      </c>
      <c r="J16" s="15" t="str">
        <f aca="false">IF(A16="","",ROUND(E16*(1+I16/100),2))</f>
        <v/>
      </c>
    </row>
    <row r="17" customFormat="false" ht="15" hidden="false" customHeight="false" outlineLevel="0" collapsed="false">
      <c r="A17" s="10"/>
      <c r="B17" s="14" t="str">
        <f aca="false">IF(A17="","",IFERROR(INDEX(Team!$D$5:$D$40,MATCH(A17,Team!$A$5:$A$40,0)),""))</f>
        <v/>
      </c>
      <c r="C17" s="10"/>
      <c r="D17" s="13"/>
      <c r="E17" s="15" t="str">
        <f aca="false">IF(A17="","",IF(C17="percent",ROUND(B17*D17/100,2),D17))</f>
        <v/>
      </c>
      <c r="F17" s="15" t="str">
        <f aca="false">IF(A17="","",B17+E17)</f>
        <v/>
      </c>
      <c r="G17" s="20" t="str">
        <f aca="false">IF(A17="","",IFERROR(ROUND(E17/B17*100,2),""))</f>
        <v/>
      </c>
      <c r="H17" s="15" t="str">
        <f aca="false">IF(A17="","",ROUND(E17/12,2))</f>
        <v/>
      </c>
      <c r="I17" s="13" t="str">
        <f aca="false">IF(A17="","",Settings!$B$2)</f>
        <v/>
      </c>
      <c r="J17" s="15" t="str">
        <f aca="false">IF(A17="","",ROUND(E17*(1+I17/100),2))</f>
        <v/>
      </c>
    </row>
    <row r="18" customFormat="false" ht="15" hidden="false" customHeight="false" outlineLevel="0" collapsed="false">
      <c r="A18" s="10"/>
      <c r="B18" s="14" t="str">
        <f aca="false">IF(A18="","",IFERROR(INDEX(Team!$D$5:$D$40,MATCH(A18,Team!$A$5:$A$40,0)),""))</f>
        <v/>
      </c>
      <c r="C18" s="10"/>
      <c r="D18" s="13"/>
      <c r="E18" s="15" t="str">
        <f aca="false">IF(A18="","",IF(C18="percent",ROUND(B18*D18/100,2),D18))</f>
        <v/>
      </c>
      <c r="F18" s="15" t="str">
        <f aca="false">IF(A18="","",B18+E18)</f>
        <v/>
      </c>
      <c r="G18" s="20" t="str">
        <f aca="false">IF(A18="","",IFERROR(ROUND(E18/B18*100,2),""))</f>
        <v/>
      </c>
      <c r="H18" s="15" t="str">
        <f aca="false">IF(A18="","",ROUND(E18/12,2))</f>
        <v/>
      </c>
      <c r="I18" s="13" t="str">
        <f aca="false">IF(A18="","",Settings!$B$2)</f>
        <v/>
      </c>
      <c r="J18" s="15" t="str">
        <f aca="false">IF(A18="","",ROUND(E18*(1+I18/100),2))</f>
        <v/>
      </c>
    </row>
    <row r="19" customFormat="false" ht="15" hidden="false" customHeight="false" outlineLevel="0" collapsed="false">
      <c r="A19" s="10"/>
      <c r="B19" s="14" t="str">
        <f aca="false">IF(A19="","",IFERROR(INDEX(Team!$D$5:$D$40,MATCH(A19,Team!$A$5:$A$40,0)),""))</f>
        <v/>
      </c>
      <c r="C19" s="10"/>
      <c r="D19" s="13"/>
      <c r="E19" s="15" t="str">
        <f aca="false">IF(A19="","",IF(C19="percent",ROUND(B19*D19/100,2),D19))</f>
        <v/>
      </c>
      <c r="F19" s="15" t="str">
        <f aca="false">IF(A19="","",B19+E19)</f>
        <v/>
      </c>
      <c r="G19" s="20" t="str">
        <f aca="false">IF(A19="","",IFERROR(ROUND(E19/B19*100,2),""))</f>
        <v/>
      </c>
      <c r="H19" s="15" t="str">
        <f aca="false">IF(A19="","",ROUND(E19/12,2))</f>
        <v/>
      </c>
      <c r="I19" s="13" t="str">
        <f aca="false">IF(A19="","",Settings!$B$2)</f>
        <v/>
      </c>
      <c r="J19" s="15" t="str">
        <f aca="false">IF(A19="","",ROUND(E19*(1+I19/100),2))</f>
        <v/>
      </c>
    </row>
    <row r="20" customFormat="false" ht="15" hidden="false" customHeight="false" outlineLevel="0" collapsed="false">
      <c r="A20" s="10"/>
      <c r="B20" s="14" t="str">
        <f aca="false">IF(A20="","",IFERROR(INDEX(Team!$D$5:$D$40,MATCH(A20,Team!$A$5:$A$40,0)),""))</f>
        <v/>
      </c>
      <c r="C20" s="10"/>
      <c r="D20" s="13"/>
      <c r="E20" s="15" t="str">
        <f aca="false">IF(A20="","",IF(C20="percent",ROUND(B20*D20/100,2),D20))</f>
        <v/>
      </c>
      <c r="F20" s="15" t="str">
        <f aca="false">IF(A20="","",B20+E20)</f>
        <v/>
      </c>
      <c r="G20" s="20" t="str">
        <f aca="false">IF(A20="","",IFERROR(ROUND(E20/B20*100,2),""))</f>
        <v/>
      </c>
      <c r="H20" s="15" t="str">
        <f aca="false">IF(A20="","",ROUND(E20/12,2))</f>
        <v/>
      </c>
      <c r="I20" s="13" t="str">
        <f aca="false">IF(A20="","",Settings!$B$2)</f>
        <v/>
      </c>
      <c r="J20" s="15" t="str">
        <f aca="false">IF(A20="","",ROUND(E20*(1+I20/100),2))</f>
        <v/>
      </c>
    </row>
    <row r="21" customFormat="false" ht="15" hidden="false" customHeight="false" outlineLevel="0" collapsed="false">
      <c r="A21" s="4" t="s">
        <v>74</v>
      </c>
      <c r="E21" s="19" t="n">
        <f aca="false">SUM(E5:E20)</f>
        <v>5500</v>
      </c>
      <c r="H21" s="19" t="n">
        <f aca="false">SUM(H5:H20)</f>
        <v>458.33</v>
      </c>
      <c r="J21" s="19" t="n">
        <f aca="false">SUM(J5:J20)</f>
        <v>6160</v>
      </c>
    </row>
  </sheetData>
  <dataValidations count="1">
    <dataValidation allowBlank="true" errorStyle="stop" operator="between" showDropDown="false" showErrorMessage="false" showInputMessage="false" sqref="C5:C20" type="list">
      <formula1>"percent,amount"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13"/>
    <col collapsed="false" customWidth="true" hidden="false" outlineLevel="0" max="5" min="4" style="0" width="11"/>
    <col collapsed="false" customWidth="true" hidden="false" outlineLevel="0" max="7" min="6" style="0" width="12"/>
    <col collapsed="false" customWidth="true" hidden="false" outlineLevel="0" max="8" min="8" style="0" width="11"/>
    <col collapsed="false" customWidth="true" hidden="false" outlineLevel="0" max="9" min="9" style="0" width="9"/>
    <col collapsed="false" customWidth="true" hidden="false" outlineLevel="0" max="10" min="10" style="0" width="11"/>
    <col collapsed="false" customWidth="true" hidden="false" outlineLevel="0" max="11" min="11" style="0" width="12"/>
  </cols>
  <sheetData>
    <row r="1" customFormat="false" ht="17.35" hidden="false" customHeight="false" outlineLevel="0" collapsed="false">
      <c r="A1" s="1" t="s">
        <v>75</v>
      </c>
    </row>
    <row r="2" customFormat="false" ht="15" hidden="false" customHeight="false" outlineLevel="0" collapsed="false">
      <c r="A2" s="2" t="s">
        <v>76</v>
      </c>
    </row>
    <row r="4" customFormat="false" ht="26.85" hidden="false" customHeight="false" outlineLevel="0" collapsed="false">
      <c r="A4" s="9" t="s">
        <v>63</v>
      </c>
      <c r="B4" s="9" t="s">
        <v>77</v>
      </c>
      <c r="C4" s="9" t="s">
        <v>78</v>
      </c>
      <c r="D4" s="9" t="s">
        <v>79</v>
      </c>
      <c r="E4" s="9" t="s">
        <v>80</v>
      </c>
      <c r="F4" s="9" t="s">
        <v>81</v>
      </c>
      <c r="G4" s="9" t="s">
        <v>82</v>
      </c>
      <c r="H4" s="9" t="s">
        <v>83</v>
      </c>
      <c r="I4" s="9" t="s">
        <v>84</v>
      </c>
      <c r="J4" s="9" t="s">
        <v>85</v>
      </c>
      <c r="K4" s="9" t="s">
        <v>86</v>
      </c>
    </row>
    <row r="5" customFormat="false" ht="15" hidden="false" customHeight="false" outlineLevel="0" collapsed="false">
      <c r="A5" s="8" t="s">
        <v>52</v>
      </c>
      <c r="B5" s="13" t="n">
        <f aca="false">IF(A5="","",Settings!$B$8)</f>
        <v>20</v>
      </c>
      <c r="C5" s="10" t="str">
        <f aca="false">IF(A5="","",Settings!$B$9)</f>
        <v>biweekly</v>
      </c>
      <c r="D5" s="21" t="n">
        <f aca="false">IF(A5="","",IF(C5="weekly",52,IF(C5="biweekly",26,IF(C5="semimonthly",24,IF(C5="monthly",12,"")))))</f>
        <v>26</v>
      </c>
      <c r="E5" s="7" t="n">
        <v>13</v>
      </c>
      <c r="F5" s="17" t="n">
        <f aca="false">IF(A5="","",IFERROR(ROUND(B5/D5,2),""))</f>
        <v>0.77</v>
      </c>
      <c r="G5" s="17" t="n">
        <f aca="false">IF(A5="","",IFERROR(ROUND(B5/D5*E5,2),""))</f>
        <v>10</v>
      </c>
      <c r="H5" s="13" t="n">
        <v>3</v>
      </c>
      <c r="I5" s="13" t="n">
        <v>5</v>
      </c>
      <c r="J5" s="17" t="n">
        <f aca="false">IF(A5="","",IFERROR(ROUND(H5+G5-I5,2),""))</f>
        <v>8</v>
      </c>
      <c r="K5" s="17" t="n">
        <f aca="false">IF(A5="","",IFERROR(ROUND(B5-G5,2),""))</f>
        <v>10</v>
      </c>
    </row>
    <row r="6" customFormat="false" ht="15" hidden="false" customHeight="false" outlineLevel="0" collapsed="false">
      <c r="A6" s="10" t="s">
        <v>54</v>
      </c>
      <c r="B6" s="13" t="n">
        <f aca="false">IF(A6="","",Settings!$B$8)</f>
        <v>20</v>
      </c>
      <c r="C6" s="10" t="str">
        <f aca="false">IF(A6="","",Settings!$B$9)</f>
        <v>biweekly</v>
      </c>
      <c r="D6" s="21" t="n">
        <f aca="false">IF(A6="","",IF(C6="weekly",52,IF(C6="biweekly",26,IF(C6="semimonthly",24,IF(C6="monthly",12,"")))))</f>
        <v>26</v>
      </c>
      <c r="E6" s="22" t="n">
        <v>13</v>
      </c>
      <c r="F6" s="17" t="n">
        <f aca="false">IF(A6="","",IFERROR(ROUND(B6/D6,2),""))</f>
        <v>0.77</v>
      </c>
      <c r="G6" s="17" t="n">
        <f aca="false">IF(A6="","",IFERROR(ROUND(B6/D6*E6,2),""))</f>
        <v>10</v>
      </c>
      <c r="H6" s="13" t="n">
        <v>0</v>
      </c>
      <c r="I6" s="13" t="n">
        <v>2</v>
      </c>
      <c r="J6" s="17" t="n">
        <f aca="false">IF(A6="","",IFERROR(ROUND(H6+G6-I6,2),""))</f>
        <v>8</v>
      </c>
      <c r="K6" s="17" t="n">
        <f aca="false">IF(A6="","",IFERROR(ROUND(B6-G6,2),""))</f>
        <v>10</v>
      </c>
    </row>
    <row r="7" customFormat="false" ht="15" hidden="false" customHeight="false" outlineLevel="0" collapsed="false">
      <c r="A7" s="10" t="s">
        <v>56</v>
      </c>
      <c r="B7" s="13" t="n">
        <f aca="false">IF(A7="","",Settings!$B$8)</f>
        <v>20</v>
      </c>
      <c r="C7" s="10" t="str">
        <f aca="false">IF(A7="","",Settings!$B$9)</f>
        <v>biweekly</v>
      </c>
      <c r="D7" s="21" t="n">
        <f aca="false">IF(A7="","",IF(C7="weekly",52,IF(C7="biweekly",26,IF(C7="semimonthly",24,IF(C7="monthly",12,"")))))</f>
        <v>26</v>
      </c>
      <c r="E7" s="22" t="n">
        <v>13</v>
      </c>
      <c r="F7" s="17" t="n">
        <f aca="false">IF(A7="","",IFERROR(ROUND(B7/D7,2),""))</f>
        <v>0.77</v>
      </c>
      <c r="G7" s="17" t="n">
        <f aca="false">IF(A7="","",IFERROR(ROUND(B7/D7*E7,2),""))</f>
        <v>10</v>
      </c>
      <c r="H7" s="13" t="n">
        <v>0</v>
      </c>
      <c r="I7" s="13" t="n">
        <v>0</v>
      </c>
      <c r="J7" s="17" t="n">
        <f aca="false">IF(A7="","",IFERROR(ROUND(H7+G7-I7,2),""))</f>
        <v>10</v>
      </c>
      <c r="K7" s="17" t="n">
        <f aca="false">IF(A7="","",IFERROR(ROUND(B7-G7,2),""))</f>
        <v>10</v>
      </c>
    </row>
    <row r="8" customFormat="false" ht="15" hidden="false" customHeight="false" outlineLevel="0" collapsed="false">
      <c r="A8" s="10"/>
      <c r="B8" s="13" t="str">
        <f aca="false">IF(A8="","",Settings!$B$8)</f>
        <v/>
      </c>
      <c r="C8" s="10" t="str">
        <f aca="false">IF(A8="","",Settings!$B$9)</f>
        <v/>
      </c>
      <c r="D8" s="21" t="str">
        <f aca="false">IF(A8="","",IF(C8="weekly",52,IF(C8="biweekly",26,IF(C8="semimonthly",24,IF(C8="monthly",12,"")))))</f>
        <v/>
      </c>
      <c r="E8" s="22"/>
      <c r="F8" s="17" t="str">
        <f aca="false">IF(A8="","",IFERROR(ROUND(B8/D8,2),""))</f>
        <v/>
      </c>
      <c r="G8" s="17" t="str">
        <f aca="false">IF(A8="","",IFERROR(ROUND(B8/D8*E8,2),""))</f>
        <v/>
      </c>
      <c r="H8" s="13"/>
      <c r="I8" s="13"/>
      <c r="J8" s="17" t="str">
        <f aca="false">IF(A8="","",IFERROR(ROUND(H8+G8-I8,2),""))</f>
        <v/>
      </c>
      <c r="K8" s="17" t="str">
        <f aca="false">IF(A8="","",IFERROR(ROUND(B8-G8,2),""))</f>
        <v/>
      </c>
    </row>
    <row r="9" customFormat="false" ht="15" hidden="false" customHeight="false" outlineLevel="0" collapsed="false">
      <c r="A9" s="10"/>
      <c r="B9" s="13" t="str">
        <f aca="false">IF(A9="","",Settings!$B$8)</f>
        <v/>
      </c>
      <c r="C9" s="10" t="str">
        <f aca="false">IF(A9="","",Settings!$B$9)</f>
        <v/>
      </c>
      <c r="D9" s="21" t="str">
        <f aca="false">IF(A9="","",IF(C9="weekly",52,IF(C9="biweekly",26,IF(C9="semimonthly",24,IF(C9="monthly",12,"")))))</f>
        <v/>
      </c>
      <c r="E9" s="22"/>
      <c r="F9" s="17" t="str">
        <f aca="false">IF(A9="","",IFERROR(ROUND(B9/D9,2),""))</f>
        <v/>
      </c>
      <c r="G9" s="17" t="str">
        <f aca="false">IF(A9="","",IFERROR(ROUND(B9/D9*E9,2),""))</f>
        <v/>
      </c>
      <c r="H9" s="13"/>
      <c r="I9" s="13"/>
      <c r="J9" s="17" t="str">
        <f aca="false">IF(A9="","",IFERROR(ROUND(H9+G9-I9,2),""))</f>
        <v/>
      </c>
      <c r="K9" s="17" t="str">
        <f aca="false">IF(A9="","",IFERROR(ROUND(B9-G9,2),""))</f>
        <v/>
      </c>
    </row>
    <row r="10" customFormat="false" ht="15" hidden="false" customHeight="false" outlineLevel="0" collapsed="false">
      <c r="A10" s="10"/>
      <c r="B10" s="13" t="str">
        <f aca="false">IF(A10="","",Settings!$B$8)</f>
        <v/>
      </c>
      <c r="C10" s="10" t="str">
        <f aca="false">IF(A10="","",Settings!$B$9)</f>
        <v/>
      </c>
      <c r="D10" s="21" t="str">
        <f aca="false">IF(A10="","",IF(C10="weekly",52,IF(C10="biweekly",26,IF(C10="semimonthly",24,IF(C10="monthly",12,"")))))</f>
        <v/>
      </c>
      <c r="E10" s="22"/>
      <c r="F10" s="17" t="str">
        <f aca="false">IF(A10="","",IFERROR(ROUND(B10/D10,2),""))</f>
        <v/>
      </c>
      <c r="G10" s="17" t="str">
        <f aca="false">IF(A10="","",IFERROR(ROUND(B10/D10*E10,2),""))</f>
        <v/>
      </c>
      <c r="H10" s="13"/>
      <c r="I10" s="13"/>
      <c r="J10" s="17" t="str">
        <f aca="false">IF(A10="","",IFERROR(ROUND(H10+G10-I10,2),""))</f>
        <v/>
      </c>
      <c r="K10" s="17" t="str">
        <f aca="false">IF(A10="","",IFERROR(ROUND(B10-G10,2),""))</f>
        <v/>
      </c>
    </row>
    <row r="11" customFormat="false" ht="15" hidden="false" customHeight="false" outlineLevel="0" collapsed="false">
      <c r="A11" s="10"/>
      <c r="B11" s="13" t="str">
        <f aca="false">IF(A11="","",Settings!$B$8)</f>
        <v/>
      </c>
      <c r="C11" s="10" t="str">
        <f aca="false">IF(A11="","",Settings!$B$9)</f>
        <v/>
      </c>
      <c r="D11" s="21" t="str">
        <f aca="false">IF(A11="","",IF(C11="weekly",52,IF(C11="biweekly",26,IF(C11="semimonthly",24,IF(C11="monthly",12,"")))))</f>
        <v/>
      </c>
      <c r="E11" s="22"/>
      <c r="F11" s="17" t="str">
        <f aca="false">IF(A11="","",IFERROR(ROUND(B11/D11,2),""))</f>
        <v/>
      </c>
      <c r="G11" s="17" t="str">
        <f aca="false">IF(A11="","",IFERROR(ROUND(B11/D11*E11,2),""))</f>
        <v/>
      </c>
      <c r="H11" s="13"/>
      <c r="I11" s="13"/>
      <c r="J11" s="17" t="str">
        <f aca="false">IF(A11="","",IFERROR(ROUND(H11+G11-I11,2),""))</f>
        <v/>
      </c>
      <c r="K11" s="17" t="str">
        <f aca="false">IF(A11="","",IFERROR(ROUND(B11-G11,2),""))</f>
        <v/>
      </c>
    </row>
    <row r="12" customFormat="false" ht="15" hidden="false" customHeight="false" outlineLevel="0" collapsed="false">
      <c r="A12" s="10"/>
      <c r="B12" s="13" t="str">
        <f aca="false">IF(A12="","",Settings!$B$8)</f>
        <v/>
      </c>
      <c r="C12" s="10" t="str">
        <f aca="false">IF(A12="","",Settings!$B$9)</f>
        <v/>
      </c>
      <c r="D12" s="21" t="str">
        <f aca="false">IF(A12="","",IF(C12="weekly",52,IF(C12="biweekly",26,IF(C12="semimonthly",24,IF(C12="monthly",12,"")))))</f>
        <v/>
      </c>
      <c r="E12" s="22"/>
      <c r="F12" s="17" t="str">
        <f aca="false">IF(A12="","",IFERROR(ROUND(B12/D12,2),""))</f>
        <v/>
      </c>
      <c r="G12" s="17" t="str">
        <f aca="false">IF(A12="","",IFERROR(ROUND(B12/D12*E12,2),""))</f>
        <v/>
      </c>
      <c r="H12" s="13"/>
      <c r="I12" s="13"/>
      <c r="J12" s="17" t="str">
        <f aca="false">IF(A12="","",IFERROR(ROUND(H12+G12-I12,2),""))</f>
        <v/>
      </c>
      <c r="K12" s="17" t="str">
        <f aca="false">IF(A12="","",IFERROR(ROUND(B12-G12,2),""))</f>
        <v/>
      </c>
    </row>
    <row r="13" customFormat="false" ht="15" hidden="false" customHeight="false" outlineLevel="0" collapsed="false">
      <c r="A13" s="10"/>
      <c r="B13" s="13" t="str">
        <f aca="false">IF(A13="","",Settings!$B$8)</f>
        <v/>
      </c>
      <c r="C13" s="10" t="str">
        <f aca="false">IF(A13="","",Settings!$B$9)</f>
        <v/>
      </c>
      <c r="D13" s="21" t="str">
        <f aca="false">IF(A13="","",IF(C13="weekly",52,IF(C13="biweekly",26,IF(C13="semimonthly",24,IF(C13="monthly",12,"")))))</f>
        <v/>
      </c>
      <c r="E13" s="22"/>
      <c r="F13" s="17" t="str">
        <f aca="false">IF(A13="","",IFERROR(ROUND(B13/D13,2),""))</f>
        <v/>
      </c>
      <c r="G13" s="17" t="str">
        <f aca="false">IF(A13="","",IFERROR(ROUND(B13/D13*E13,2),""))</f>
        <v/>
      </c>
      <c r="H13" s="13"/>
      <c r="I13" s="13"/>
      <c r="J13" s="17" t="str">
        <f aca="false">IF(A13="","",IFERROR(ROUND(H13+G13-I13,2),""))</f>
        <v/>
      </c>
      <c r="K13" s="17" t="str">
        <f aca="false">IF(A13="","",IFERROR(ROUND(B13-G13,2),""))</f>
        <v/>
      </c>
    </row>
    <row r="14" customFormat="false" ht="15" hidden="false" customHeight="false" outlineLevel="0" collapsed="false">
      <c r="A14" s="10"/>
      <c r="B14" s="13" t="str">
        <f aca="false">IF(A14="","",Settings!$B$8)</f>
        <v/>
      </c>
      <c r="C14" s="10" t="str">
        <f aca="false">IF(A14="","",Settings!$B$9)</f>
        <v/>
      </c>
      <c r="D14" s="21" t="str">
        <f aca="false">IF(A14="","",IF(C14="weekly",52,IF(C14="biweekly",26,IF(C14="semimonthly",24,IF(C14="monthly",12,"")))))</f>
        <v/>
      </c>
      <c r="E14" s="22"/>
      <c r="F14" s="17" t="str">
        <f aca="false">IF(A14="","",IFERROR(ROUND(B14/D14,2),""))</f>
        <v/>
      </c>
      <c r="G14" s="17" t="str">
        <f aca="false">IF(A14="","",IFERROR(ROUND(B14/D14*E14,2),""))</f>
        <v/>
      </c>
      <c r="H14" s="13"/>
      <c r="I14" s="13"/>
      <c r="J14" s="17" t="str">
        <f aca="false">IF(A14="","",IFERROR(ROUND(H14+G14-I14,2),""))</f>
        <v/>
      </c>
      <c r="K14" s="17" t="str">
        <f aca="false">IF(A14="","",IFERROR(ROUND(B14-G14,2),""))</f>
        <v/>
      </c>
    </row>
    <row r="15" customFormat="false" ht="15" hidden="false" customHeight="false" outlineLevel="0" collapsed="false">
      <c r="A15" s="10"/>
      <c r="B15" s="13" t="str">
        <f aca="false">IF(A15="","",Settings!$B$8)</f>
        <v/>
      </c>
      <c r="C15" s="10" t="str">
        <f aca="false">IF(A15="","",Settings!$B$9)</f>
        <v/>
      </c>
      <c r="D15" s="21" t="str">
        <f aca="false">IF(A15="","",IF(C15="weekly",52,IF(C15="biweekly",26,IF(C15="semimonthly",24,IF(C15="monthly",12,"")))))</f>
        <v/>
      </c>
      <c r="E15" s="22"/>
      <c r="F15" s="17" t="str">
        <f aca="false">IF(A15="","",IFERROR(ROUND(B15/D15,2),""))</f>
        <v/>
      </c>
      <c r="G15" s="17" t="str">
        <f aca="false">IF(A15="","",IFERROR(ROUND(B15/D15*E15,2),""))</f>
        <v/>
      </c>
      <c r="H15" s="13"/>
      <c r="I15" s="13"/>
      <c r="J15" s="17" t="str">
        <f aca="false">IF(A15="","",IFERROR(ROUND(H15+G15-I15,2),""))</f>
        <v/>
      </c>
      <c r="K15" s="17" t="str">
        <f aca="false">IF(A15="","",IFERROR(ROUND(B15-G15,2),""))</f>
        <v/>
      </c>
    </row>
    <row r="16" customFormat="false" ht="15" hidden="false" customHeight="false" outlineLevel="0" collapsed="false">
      <c r="A16" s="10"/>
      <c r="B16" s="13" t="str">
        <f aca="false">IF(A16="","",Settings!$B$8)</f>
        <v/>
      </c>
      <c r="C16" s="10" t="str">
        <f aca="false">IF(A16="","",Settings!$B$9)</f>
        <v/>
      </c>
      <c r="D16" s="21" t="str">
        <f aca="false">IF(A16="","",IF(C16="weekly",52,IF(C16="biweekly",26,IF(C16="semimonthly",24,IF(C16="monthly",12,"")))))</f>
        <v/>
      </c>
      <c r="E16" s="22"/>
      <c r="F16" s="17" t="str">
        <f aca="false">IF(A16="","",IFERROR(ROUND(B16/D16,2),""))</f>
        <v/>
      </c>
      <c r="G16" s="17" t="str">
        <f aca="false">IF(A16="","",IFERROR(ROUND(B16/D16*E16,2),""))</f>
        <v/>
      </c>
      <c r="H16" s="13"/>
      <c r="I16" s="13"/>
      <c r="J16" s="17" t="str">
        <f aca="false">IF(A16="","",IFERROR(ROUND(H16+G16-I16,2),""))</f>
        <v/>
      </c>
      <c r="K16" s="17" t="str">
        <f aca="false">IF(A16="","",IFERROR(ROUND(B16-G16,2),""))</f>
        <v/>
      </c>
    </row>
    <row r="17" customFormat="false" ht="15" hidden="false" customHeight="false" outlineLevel="0" collapsed="false">
      <c r="A17" s="10"/>
      <c r="B17" s="13" t="str">
        <f aca="false">IF(A17="","",Settings!$B$8)</f>
        <v/>
      </c>
      <c r="C17" s="10" t="str">
        <f aca="false">IF(A17="","",Settings!$B$9)</f>
        <v/>
      </c>
      <c r="D17" s="21" t="str">
        <f aca="false">IF(A17="","",IF(C17="weekly",52,IF(C17="biweekly",26,IF(C17="semimonthly",24,IF(C17="monthly",12,"")))))</f>
        <v/>
      </c>
      <c r="E17" s="22"/>
      <c r="F17" s="17" t="str">
        <f aca="false">IF(A17="","",IFERROR(ROUND(B17/D17,2),""))</f>
        <v/>
      </c>
      <c r="G17" s="17" t="str">
        <f aca="false">IF(A17="","",IFERROR(ROUND(B17/D17*E17,2),""))</f>
        <v/>
      </c>
      <c r="H17" s="13"/>
      <c r="I17" s="13"/>
      <c r="J17" s="17" t="str">
        <f aca="false">IF(A17="","",IFERROR(ROUND(H17+G17-I17,2),""))</f>
        <v/>
      </c>
      <c r="K17" s="17" t="str">
        <f aca="false">IF(A17="","",IFERROR(ROUND(B17-G17,2),""))</f>
        <v/>
      </c>
    </row>
    <row r="18" customFormat="false" ht="15" hidden="false" customHeight="false" outlineLevel="0" collapsed="false">
      <c r="A18" s="10"/>
      <c r="B18" s="13" t="str">
        <f aca="false">IF(A18="","",Settings!$B$8)</f>
        <v/>
      </c>
      <c r="C18" s="10" t="str">
        <f aca="false">IF(A18="","",Settings!$B$9)</f>
        <v/>
      </c>
      <c r="D18" s="21" t="str">
        <f aca="false">IF(A18="","",IF(C18="weekly",52,IF(C18="biweekly",26,IF(C18="semimonthly",24,IF(C18="monthly",12,"")))))</f>
        <v/>
      </c>
      <c r="E18" s="22"/>
      <c r="F18" s="17" t="str">
        <f aca="false">IF(A18="","",IFERROR(ROUND(B18/D18,2),""))</f>
        <v/>
      </c>
      <c r="G18" s="17" t="str">
        <f aca="false">IF(A18="","",IFERROR(ROUND(B18/D18*E18,2),""))</f>
        <v/>
      </c>
      <c r="H18" s="13"/>
      <c r="I18" s="13"/>
      <c r="J18" s="17" t="str">
        <f aca="false">IF(A18="","",IFERROR(ROUND(H18+G18-I18,2),""))</f>
        <v/>
      </c>
      <c r="K18" s="17" t="str">
        <f aca="false">IF(A18="","",IFERROR(ROUND(B18-G18,2),""))</f>
        <v/>
      </c>
    </row>
    <row r="19" customFormat="false" ht="15" hidden="false" customHeight="false" outlineLevel="0" collapsed="false">
      <c r="A19" s="10"/>
      <c r="B19" s="13" t="str">
        <f aca="false">IF(A19="","",Settings!$B$8)</f>
        <v/>
      </c>
      <c r="C19" s="10" t="str">
        <f aca="false">IF(A19="","",Settings!$B$9)</f>
        <v/>
      </c>
      <c r="D19" s="21" t="str">
        <f aca="false">IF(A19="","",IF(C19="weekly",52,IF(C19="biweekly",26,IF(C19="semimonthly",24,IF(C19="monthly",12,"")))))</f>
        <v/>
      </c>
      <c r="E19" s="22"/>
      <c r="F19" s="17" t="str">
        <f aca="false">IF(A19="","",IFERROR(ROUND(B19/D19,2),""))</f>
        <v/>
      </c>
      <c r="G19" s="17" t="str">
        <f aca="false">IF(A19="","",IFERROR(ROUND(B19/D19*E19,2),""))</f>
        <v/>
      </c>
      <c r="H19" s="13"/>
      <c r="I19" s="13"/>
      <c r="J19" s="17" t="str">
        <f aca="false">IF(A19="","",IFERROR(ROUND(H19+G19-I19,2),""))</f>
        <v/>
      </c>
      <c r="K19" s="17" t="str">
        <f aca="false">IF(A19="","",IFERROR(ROUND(B19-G19,2),""))</f>
        <v/>
      </c>
    </row>
    <row r="20" customFormat="false" ht="15" hidden="false" customHeight="false" outlineLevel="0" collapsed="false">
      <c r="A20" s="10"/>
      <c r="B20" s="13" t="str">
        <f aca="false">IF(A20="","",Settings!$B$8)</f>
        <v/>
      </c>
      <c r="C20" s="10" t="str">
        <f aca="false">IF(A20="","",Settings!$B$9)</f>
        <v/>
      </c>
      <c r="D20" s="21" t="str">
        <f aca="false">IF(A20="","",IF(C20="weekly",52,IF(C20="biweekly",26,IF(C20="semimonthly",24,IF(C20="monthly",12,"")))))</f>
        <v/>
      </c>
      <c r="E20" s="22"/>
      <c r="F20" s="17" t="str">
        <f aca="false">IF(A20="","",IFERROR(ROUND(B20/D20,2),""))</f>
        <v/>
      </c>
      <c r="G20" s="17" t="str">
        <f aca="false">IF(A20="","",IFERROR(ROUND(B20/D20*E20,2),""))</f>
        <v/>
      </c>
      <c r="H20" s="13"/>
      <c r="I20" s="13"/>
      <c r="J20" s="17" t="str">
        <f aca="false">IF(A20="","",IFERROR(ROUND(H20+G20-I20,2),""))</f>
        <v/>
      </c>
      <c r="K20" s="17" t="str">
        <f aca="false">IF(A20="","",IFERROR(ROUND(B20-G20,2),""))</f>
        <v/>
      </c>
    </row>
    <row r="21" customFormat="false" ht="15" hidden="false" customHeight="false" outlineLevel="0" collapsed="false">
      <c r="A21" s="10"/>
      <c r="B21" s="13" t="str">
        <f aca="false">IF(A21="","",Settings!$B$8)</f>
        <v/>
      </c>
      <c r="C21" s="10" t="str">
        <f aca="false">IF(A21="","",Settings!$B$9)</f>
        <v/>
      </c>
      <c r="D21" s="21" t="str">
        <f aca="false">IF(A21="","",IF(C21="weekly",52,IF(C21="biweekly",26,IF(C21="semimonthly",24,IF(C21="monthly",12,"")))))</f>
        <v/>
      </c>
      <c r="E21" s="22"/>
      <c r="F21" s="17" t="str">
        <f aca="false">IF(A21="","",IFERROR(ROUND(B21/D21,2),""))</f>
        <v/>
      </c>
      <c r="G21" s="17" t="str">
        <f aca="false">IF(A21="","",IFERROR(ROUND(B21/D21*E21,2),""))</f>
        <v/>
      </c>
      <c r="H21" s="13"/>
      <c r="I21" s="13"/>
      <c r="J21" s="17" t="str">
        <f aca="false">IF(A21="","",IFERROR(ROUND(H21+G21-I21,2),""))</f>
        <v/>
      </c>
      <c r="K21" s="17" t="str">
        <f aca="false">IF(A21="","",IFERROR(ROUND(B21-G21,2),""))</f>
        <v/>
      </c>
    </row>
    <row r="22" customFormat="false" ht="15" hidden="false" customHeight="false" outlineLevel="0" collapsed="false">
      <c r="A22" s="10"/>
      <c r="B22" s="13" t="str">
        <f aca="false">IF(A22="","",Settings!$B$8)</f>
        <v/>
      </c>
      <c r="C22" s="10" t="str">
        <f aca="false">IF(A22="","",Settings!$B$9)</f>
        <v/>
      </c>
      <c r="D22" s="21" t="str">
        <f aca="false">IF(A22="","",IF(C22="weekly",52,IF(C22="biweekly",26,IF(C22="semimonthly",24,IF(C22="monthly",12,"")))))</f>
        <v/>
      </c>
      <c r="E22" s="22"/>
      <c r="F22" s="17" t="str">
        <f aca="false">IF(A22="","",IFERROR(ROUND(B22/D22,2),""))</f>
        <v/>
      </c>
      <c r="G22" s="17" t="str">
        <f aca="false">IF(A22="","",IFERROR(ROUND(B22/D22*E22,2),""))</f>
        <v/>
      </c>
      <c r="H22" s="13"/>
      <c r="I22" s="13"/>
      <c r="J22" s="17" t="str">
        <f aca="false">IF(A22="","",IFERROR(ROUND(H22+G22-I22,2),""))</f>
        <v/>
      </c>
      <c r="K22" s="17" t="str">
        <f aca="false">IF(A22="","",IFERROR(ROUND(B22-G22,2),""))</f>
        <v/>
      </c>
    </row>
    <row r="23" customFormat="false" ht="15" hidden="false" customHeight="false" outlineLevel="0" collapsed="false">
      <c r="A23" s="10"/>
      <c r="B23" s="13" t="str">
        <f aca="false">IF(A23="","",Settings!$B$8)</f>
        <v/>
      </c>
      <c r="C23" s="10" t="str">
        <f aca="false">IF(A23="","",Settings!$B$9)</f>
        <v/>
      </c>
      <c r="D23" s="21" t="str">
        <f aca="false">IF(A23="","",IF(C23="weekly",52,IF(C23="biweekly",26,IF(C23="semimonthly",24,IF(C23="monthly",12,"")))))</f>
        <v/>
      </c>
      <c r="E23" s="22"/>
      <c r="F23" s="17" t="str">
        <f aca="false">IF(A23="","",IFERROR(ROUND(B23/D23,2),""))</f>
        <v/>
      </c>
      <c r="G23" s="17" t="str">
        <f aca="false">IF(A23="","",IFERROR(ROUND(B23/D23*E23,2),""))</f>
        <v/>
      </c>
      <c r="H23" s="13"/>
      <c r="I23" s="13"/>
      <c r="J23" s="17" t="str">
        <f aca="false">IF(A23="","",IFERROR(ROUND(H23+G23-I23,2),""))</f>
        <v/>
      </c>
      <c r="K23" s="17" t="str">
        <f aca="false">IF(A23="","",IFERROR(ROUND(B23-G23,2),""))</f>
        <v/>
      </c>
    </row>
    <row r="24" customFormat="false" ht="15" hidden="false" customHeight="false" outlineLevel="0" collapsed="false">
      <c r="A24" s="10"/>
      <c r="B24" s="13" t="str">
        <f aca="false">IF(A24="","",Settings!$B$8)</f>
        <v/>
      </c>
      <c r="C24" s="10" t="str">
        <f aca="false">IF(A24="","",Settings!$B$9)</f>
        <v/>
      </c>
      <c r="D24" s="21" t="str">
        <f aca="false">IF(A24="","",IF(C24="weekly",52,IF(C24="biweekly",26,IF(C24="semimonthly",24,IF(C24="monthly",12,"")))))</f>
        <v/>
      </c>
      <c r="E24" s="22"/>
      <c r="F24" s="17" t="str">
        <f aca="false">IF(A24="","",IFERROR(ROUND(B24/D24,2),""))</f>
        <v/>
      </c>
      <c r="G24" s="17" t="str">
        <f aca="false">IF(A24="","",IFERROR(ROUND(B24/D24*E24,2),""))</f>
        <v/>
      </c>
      <c r="H24" s="13"/>
      <c r="I24" s="13"/>
      <c r="J24" s="17" t="str">
        <f aca="false">IF(A24="","",IFERROR(ROUND(H24+G24-I24,2),""))</f>
        <v/>
      </c>
      <c r="K24" s="17" t="str">
        <f aca="false">IF(A24="","",IFERROR(ROUND(B24-G24,2),""))</f>
        <v/>
      </c>
    </row>
    <row r="25" customFormat="false" ht="15" hidden="false" customHeight="false" outlineLevel="0" collapsed="false">
      <c r="A25" s="10"/>
      <c r="B25" s="13" t="str">
        <f aca="false">IF(A25="","",Settings!$B$8)</f>
        <v/>
      </c>
      <c r="C25" s="10" t="str">
        <f aca="false">IF(A25="","",Settings!$B$9)</f>
        <v/>
      </c>
      <c r="D25" s="21" t="str">
        <f aca="false">IF(A25="","",IF(C25="weekly",52,IF(C25="biweekly",26,IF(C25="semimonthly",24,IF(C25="monthly",12,"")))))</f>
        <v/>
      </c>
      <c r="E25" s="22"/>
      <c r="F25" s="17" t="str">
        <f aca="false">IF(A25="","",IFERROR(ROUND(B25/D25,2),""))</f>
        <v/>
      </c>
      <c r="G25" s="17" t="str">
        <f aca="false">IF(A25="","",IFERROR(ROUND(B25/D25*E25,2),""))</f>
        <v/>
      </c>
      <c r="H25" s="13"/>
      <c r="I25" s="13"/>
      <c r="J25" s="17" t="str">
        <f aca="false">IF(A25="","",IFERROR(ROUND(H25+G25-I25,2),""))</f>
        <v/>
      </c>
      <c r="K25" s="17" t="str">
        <f aca="false">IF(A25="","",IFERROR(ROUND(B25-G25,2),""))</f>
        <v/>
      </c>
    </row>
    <row r="26" customFormat="false" ht="15" hidden="false" customHeight="false" outlineLevel="0" collapsed="false">
      <c r="A26" s="10"/>
      <c r="B26" s="13" t="str">
        <f aca="false">IF(A26="","",Settings!$B$8)</f>
        <v/>
      </c>
      <c r="C26" s="10" t="str">
        <f aca="false">IF(A26="","",Settings!$B$9)</f>
        <v/>
      </c>
      <c r="D26" s="21" t="str">
        <f aca="false">IF(A26="","",IF(C26="weekly",52,IF(C26="biweekly",26,IF(C26="semimonthly",24,IF(C26="monthly",12,"")))))</f>
        <v/>
      </c>
      <c r="E26" s="22"/>
      <c r="F26" s="17" t="str">
        <f aca="false">IF(A26="","",IFERROR(ROUND(B26/D26,2),""))</f>
        <v/>
      </c>
      <c r="G26" s="17" t="str">
        <f aca="false">IF(A26="","",IFERROR(ROUND(B26/D26*E26,2),""))</f>
        <v/>
      </c>
      <c r="H26" s="13"/>
      <c r="I26" s="13"/>
      <c r="J26" s="17" t="str">
        <f aca="false">IF(A26="","",IFERROR(ROUND(H26+G26-I26,2),""))</f>
        <v/>
      </c>
      <c r="K26" s="17" t="str">
        <f aca="false">IF(A26="","",IFERROR(ROUND(B26-G26,2),""))</f>
        <v/>
      </c>
    </row>
    <row r="27" customFormat="false" ht="15" hidden="false" customHeight="false" outlineLevel="0" collapsed="false">
      <c r="A27" s="10"/>
      <c r="B27" s="13" t="str">
        <f aca="false">IF(A27="","",Settings!$B$8)</f>
        <v/>
      </c>
      <c r="C27" s="10" t="str">
        <f aca="false">IF(A27="","",Settings!$B$9)</f>
        <v/>
      </c>
      <c r="D27" s="21" t="str">
        <f aca="false">IF(A27="","",IF(C27="weekly",52,IF(C27="biweekly",26,IF(C27="semimonthly",24,IF(C27="monthly",12,"")))))</f>
        <v/>
      </c>
      <c r="E27" s="22"/>
      <c r="F27" s="17" t="str">
        <f aca="false">IF(A27="","",IFERROR(ROUND(B27/D27,2),""))</f>
        <v/>
      </c>
      <c r="G27" s="17" t="str">
        <f aca="false">IF(A27="","",IFERROR(ROUND(B27/D27*E27,2),""))</f>
        <v/>
      </c>
      <c r="H27" s="13"/>
      <c r="I27" s="13"/>
      <c r="J27" s="17" t="str">
        <f aca="false">IF(A27="","",IFERROR(ROUND(H27+G27-I27,2),""))</f>
        <v/>
      </c>
      <c r="K27" s="17" t="str">
        <f aca="false">IF(A27="","",IFERROR(ROUND(B27-G27,2),""))</f>
        <v/>
      </c>
    </row>
    <row r="28" customFormat="false" ht="15" hidden="false" customHeight="false" outlineLevel="0" collapsed="false">
      <c r="A28" s="10"/>
      <c r="B28" s="13" t="str">
        <f aca="false">IF(A28="","",Settings!$B$8)</f>
        <v/>
      </c>
      <c r="C28" s="10" t="str">
        <f aca="false">IF(A28="","",Settings!$B$9)</f>
        <v/>
      </c>
      <c r="D28" s="21" t="str">
        <f aca="false">IF(A28="","",IF(C28="weekly",52,IF(C28="biweekly",26,IF(C28="semimonthly",24,IF(C28="monthly",12,"")))))</f>
        <v/>
      </c>
      <c r="E28" s="22"/>
      <c r="F28" s="17" t="str">
        <f aca="false">IF(A28="","",IFERROR(ROUND(B28/D28,2),""))</f>
        <v/>
      </c>
      <c r="G28" s="17" t="str">
        <f aca="false">IF(A28="","",IFERROR(ROUND(B28/D28*E28,2),""))</f>
        <v/>
      </c>
      <c r="H28" s="13"/>
      <c r="I28" s="13"/>
      <c r="J28" s="17" t="str">
        <f aca="false">IF(A28="","",IFERROR(ROUND(H28+G28-I28,2),""))</f>
        <v/>
      </c>
      <c r="K28" s="17" t="str">
        <f aca="false">IF(A28="","",IFERROR(ROUND(B28-G28,2),""))</f>
        <v/>
      </c>
    </row>
    <row r="29" customFormat="false" ht="15" hidden="false" customHeight="false" outlineLevel="0" collapsed="false">
      <c r="A29" s="10"/>
      <c r="B29" s="13" t="str">
        <f aca="false">IF(A29="","",Settings!$B$8)</f>
        <v/>
      </c>
      <c r="C29" s="10" t="str">
        <f aca="false">IF(A29="","",Settings!$B$9)</f>
        <v/>
      </c>
      <c r="D29" s="21" t="str">
        <f aca="false">IF(A29="","",IF(C29="weekly",52,IF(C29="biweekly",26,IF(C29="semimonthly",24,IF(C29="monthly",12,"")))))</f>
        <v/>
      </c>
      <c r="E29" s="22"/>
      <c r="F29" s="17" t="str">
        <f aca="false">IF(A29="","",IFERROR(ROUND(B29/D29,2),""))</f>
        <v/>
      </c>
      <c r="G29" s="17" t="str">
        <f aca="false">IF(A29="","",IFERROR(ROUND(B29/D29*E29,2),""))</f>
        <v/>
      </c>
      <c r="H29" s="13"/>
      <c r="I29" s="13"/>
      <c r="J29" s="17" t="str">
        <f aca="false">IF(A29="","",IFERROR(ROUND(H29+G29-I29,2),""))</f>
        <v/>
      </c>
      <c r="K29" s="17" t="str">
        <f aca="false">IF(A29="","",IFERROR(ROUND(B29-G29,2),""))</f>
        <v/>
      </c>
    </row>
    <row r="30" customFormat="false" ht="15" hidden="false" customHeight="false" outlineLevel="0" collapsed="false">
      <c r="A30" s="10"/>
      <c r="B30" s="13" t="str">
        <f aca="false">IF(A30="","",Settings!$B$8)</f>
        <v/>
      </c>
      <c r="C30" s="10" t="str">
        <f aca="false">IF(A30="","",Settings!$B$9)</f>
        <v/>
      </c>
      <c r="D30" s="21" t="str">
        <f aca="false">IF(A30="","",IF(C30="weekly",52,IF(C30="biweekly",26,IF(C30="semimonthly",24,IF(C30="monthly",12,"")))))</f>
        <v/>
      </c>
      <c r="E30" s="22"/>
      <c r="F30" s="17" t="str">
        <f aca="false">IF(A30="","",IFERROR(ROUND(B30/D30,2),""))</f>
        <v/>
      </c>
      <c r="G30" s="17" t="str">
        <f aca="false">IF(A30="","",IFERROR(ROUND(B30/D30*E30,2),""))</f>
        <v/>
      </c>
      <c r="H30" s="13"/>
      <c r="I30" s="13"/>
      <c r="J30" s="17" t="str">
        <f aca="false">IF(A30="","",IFERROR(ROUND(H30+G30-I30,2),""))</f>
        <v/>
      </c>
      <c r="K30" s="17" t="str">
        <f aca="false">IF(A30="","",IFERROR(ROUND(B30-G30,2),""))</f>
        <v/>
      </c>
    </row>
    <row r="31" customFormat="false" ht="15" hidden="false" customHeight="false" outlineLevel="0" collapsed="false">
      <c r="A31" s="10"/>
      <c r="B31" s="13" t="str">
        <f aca="false">IF(A31="","",Settings!$B$8)</f>
        <v/>
      </c>
      <c r="C31" s="10" t="str">
        <f aca="false">IF(A31="","",Settings!$B$9)</f>
        <v/>
      </c>
      <c r="D31" s="21" t="str">
        <f aca="false">IF(A31="","",IF(C31="weekly",52,IF(C31="biweekly",26,IF(C31="semimonthly",24,IF(C31="monthly",12,"")))))</f>
        <v/>
      </c>
      <c r="E31" s="22"/>
      <c r="F31" s="17" t="str">
        <f aca="false">IF(A31="","",IFERROR(ROUND(B31/D31,2),""))</f>
        <v/>
      </c>
      <c r="G31" s="17" t="str">
        <f aca="false">IF(A31="","",IFERROR(ROUND(B31/D31*E31,2),""))</f>
        <v/>
      </c>
      <c r="H31" s="13"/>
      <c r="I31" s="13"/>
      <c r="J31" s="17" t="str">
        <f aca="false">IF(A31="","",IFERROR(ROUND(H31+G31-I31,2),""))</f>
        <v/>
      </c>
      <c r="K31" s="17" t="str">
        <f aca="false">IF(A31="","",IFERROR(ROUND(B31-G31,2),""))</f>
        <v/>
      </c>
    </row>
    <row r="32" customFormat="false" ht="15" hidden="false" customHeight="false" outlineLevel="0" collapsed="false">
      <c r="A32" s="10"/>
      <c r="B32" s="13" t="str">
        <f aca="false">IF(A32="","",Settings!$B$8)</f>
        <v/>
      </c>
      <c r="C32" s="10" t="str">
        <f aca="false">IF(A32="","",Settings!$B$9)</f>
        <v/>
      </c>
      <c r="D32" s="21" t="str">
        <f aca="false">IF(A32="","",IF(C32="weekly",52,IF(C32="biweekly",26,IF(C32="semimonthly",24,IF(C32="monthly",12,"")))))</f>
        <v/>
      </c>
      <c r="E32" s="22"/>
      <c r="F32" s="17" t="str">
        <f aca="false">IF(A32="","",IFERROR(ROUND(B32/D32,2),""))</f>
        <v/>
      </c>
      <c r="G32" s="17" t="str">
        <f aca="false">IF(A32="","",IFERROR(ROUND(B32/D32*E32,2),""))</f>
        <v/>
      </c>
      <c r="H32" s="13"/>
      <c r="I32" s="13"/>
      <c r="J32" s="17" t="str">
        <f aca="false">IF(A32="","",IFERROR(ROUND(H32+G32-I32,2),""))</f>
        <v/>
      </c>
      <c r="K32" s="17" t="str">
        <f aca="false">IF(A32="","",IFERROR(ROUND(B32-G32,2),""))</f>
        <v/>
      </c>
    </row>
    <row r="33" customFormat="false" ht="15" hidden="false" customHeight="false" outlineLevel="0" collapsed="false">
      <c r="A33" s="10"/>
      <c r="B33" s="13" t="str">
        <f aca="false">IF(A33="","",Settings!$B$8)</f>
        <v/>
      </c>
      <c r="C33" s="10" t="str">
        <f aca="false">IF(A33="","",Settings!$B$9)</f>
        <v/>
      </c>
      <c r="D33" s="21" t="str">
        <f aca="false">IF(A33="","",IF(C33="weekly",52,IF(C33="biweekly",26,IF(C33="semimonthly",24,IF(C33="monthly",12,"")))))</f>
        <v/>
      </c>
      <c r="E33" s="22"/>
      <c r="F33" s="17" t="str">
        <f aca="false">IF(A33="","",IFERROR(ROUND(B33/D33,2),""))</f>
        <v/>
      </c>
      <c r="G33" s="17" t="str">
        <f aca="false">IF(A33="","",IFERROR(ROUND(B33/D33*E33,2),""))</f>
        <v/>
      </c>
      <c r="H33" s="13"/>
      <c r="I33" s="13"/>
      <c r="J33" s="17" t="str">
        <f aca="false">IF(A33="","",IFERROR(ROUND(H33+G33-I33,2),""))</f>
        <v/>
      </c>
      <c r="K33" s="17" t="str">
        <f aca="false">IF(A33="","",IFERROR(ROUND(B33-G33,2),""))</f>
        <v/>
      </c>
    </row>
    <row r="34" customFormat="false" ht="15" hidden="false" customHeight="false" outlineLevel="0" collapsed="false">
      <c r="A34" s="10"/>
      <c r="B34" s="13" t="str">
        <f aca="false">IF(A34="","",Settings!$B$8)</f>
        <v/>
      </c>
      <c r="C34" s="10" t="str">
        <f aca="false">IF(A34="","",Settings!$B$9)</f>
        <v/>
      </c>
      <c r="D34" s="21" t="str">
        <f aca="false">IF(A34="","",IF(C34="weekly",52,IF(C34="biweekly",26,IF(C34="semimonthly",24,IF(C34="monthly",12,"")))))</f>
        <v/>
      </c>
      <c r="E34" s="22"/>
      <c r="F34" s="17" t="str">
        <f aca="false">IF(A34="","",IFERROR(ROUND(B34/D34,2),""))</f>
        <v/>
      </c>
      <c r="G34" s="17" t="str">
        <f aca="false">IF(A34="","",IFERROR(ROUND(B34/D34*E34,2),""))</f>
        <v/>
      </c>
      <c r="H34" s="13"/>
      <c r="I34" s="13"/>
      <c r="J34" s="17" t="str">
        <f aca="false">IF(A34="","",IFERROR(ROUND(H34+G34-I34,2),""))</f>
        <v/>
      </c>
      <c r="K34" s="17" t="str">
        <f aca="false">IF(A34="","",IFERROR(ROUND(B34-G34,2),""))</f>
        <v/>
      </c>
    </row>
    <row r="35" customFormat="false" ht="15" hidden="false" customHeight="false" outlineLevel="0" collapsed="false">
      <c r="A35" s="10"/>
      <c r="B35" s="13" t="str">
        <f aca="false">IF(A35="","",Settings!$B$8)</f>
        <v/>
      </c>
      <c r="C35" s="10" t="str">
        <f aca="false">IF(A35="","",Settings!$B$9)</f>
        <v/>
      </c>
      <c r="D35" s="21" t="str">
        <f aca="false">IF(A35="","",IF(C35="weekly",52,IF(C35="biweekly",26,IF(C35="semimonthly",24,IF(C35="monthly",12,"")))))</f>
        <v/>
      </c>
      <c r="E35" s="22"/>
      <c r="F35" s="17" t="str">
        <f aca="false">IF(A35="","",IFERROR(ROUND(B35/D35,2),""))</f>
        <v/>
      </c>
      <c r="G35" s="17" t="str">
        <f aca="false">IF(A35="","",IFERROR(ROUND(B35/D35*E35,2),""))</f>
        <v/>
      </c>
      <c r="H35" s="13"/>
      <c r="I35" s="13"/>
      <c r="J35" s="17" t="str">
        <f aca="false">IF(A35="","",IFERROR(ROUND(H35+G35-I35,2),""))</f>
        <v/>
      </c>
      <c r="K35" s="17" t="str">
        <f aca="false">IF(A35="","",IFERROR(ROUND(B35-G35,2),""))</f>
        <v/>
      </c>
    </row>
    <row r="36" customFormat="false" ht="15" hidden="false" customHeight="false" outlineLevel="0" collapsed="false">
      <c r="A36" s="10"/>
      <c r="B36" s="13" t="str">
        <f aca="false">IF(A36="","",Settings!$B$8)</f>
        <v/>
      </c>
      <c r="C36" s="10" t="str">
        <f aca="false">IF(A36="","",Settings!$B$9)</f>
        <v/>
      </c>
      <c r="D36" s="21" t="str">
        <f aca="false">IF(A36="","",IF(C36="weekly",52,IF(C36="biweekly",26,IF(C36="semimonthly",24,IF(C36="monthly",12,"")))))</f>
        <v/>
      </c>
      <c r="E36" s="22"/>
      <c r="F36" s="17" t="str">
        <f aca="false">IF(A36="","",IFERROR(ROUND(B36/D36,2),""))</f>
        <v/>
      </c>
      <c r="G36" s="17" t="str">
        <f aca="false">IF(A36="","",IFERROR(ROUND(B36/D36*E36,2),""))</f>
        <v/>
      </c>
      <c r="H36" s="13"/>
      <c r="I36" s="13"/>
      <c r="J36" s="17" t="str">
        <f aca="false">IF(A36="","",IFERROR(ROUND(H36+G36-I36,2),""))</f>
        <v/>
      </c>
      <c r="K36" s="17" t="str">
        <f aca="false">IF(A36="","",IFERROR(ROUND(B36-G36,2),""))</f>
        <v/>
      </c>
    </row>
    <row r="37" customFormat="false" ht="15" hidden="false" customHeight="false" outlineLevel="0" collapsed="false">
      <c r="A37" s="10"/>
      <c r="B37" s="13" t="str">
        <f aca="false">IF(A37="","",Settings!$B$8)</f>
        <v/>
      </c>
      <c r="C37" s="10" t="str">
        <f aca="false">IF(A37="","",Settings!$B$9)</f>
        <v/>
      </c>
      <c r="D37" s="21" t="str">
        <f aca="false">IF(A37="","",IF(C37="weekly",52,IF(C37="biweekly",26,IF(C37="semimonthly",24,IF(C37="monthly",12,"")))))</f>
        <v/>
      </c>
      <c r="E37" s="22"/>
      <c r="F37" s="17" t="str">
        <f aca="false">IF(A37="","",IFERROR(ROUND(B37/D37,2),""))</f>
        <v/>
      </c>
      <c r="G37" s="17" t="str">
        <f aca="false">IF(A37="","",IFERROR(ROUND(B37/D37*E37,2),""))</f>
        <v/>
      </c>
      <c r="H37" s="13"/>
      <c r="I37" s="13"/>
      <c r="J37" s="17" t="str">
        <f aca="false">IF(A37="","",IFERROR(ROUND(H37+G37-I37,2),""))</f>
        <v/>
      </c>
      <c r="K37" s="17" t="str">
        <f aca="false">IF(A37="","",IFERROR(ROUND(B37-G37,2),""))</f>
        <v/>
      </c>
    </row>
    <row r="38" customFormat="false" ht="15" hidden="false" customHeight="false" outlineLevel="0" collapsed="false">
      <c r="A38" s="10"/>
      <c r="B38" s="13" t="str">
        <f aca="false">IF(A38="","",Settings!$B$8)</f>
        <v/>
      </c>
      <c r="C38" s="10" t="str">
        <f aca="false">IF(A38="","",Settings!$B$9)</f>
        <v/>
      </c>
      <c r="D38" s="21" t="str">
        <f aca="false">IF(A38="","",IF(C38="weekly",52,IF(C38="biweekly",26,IF(C38="semimonthly",24,IF(C38="monthly",12,"")))))</f>
        <v/>
      </c>
      <c r="E38" s="22"/>
      <c r="F38" s="17" t="str">
        <f aca="false">IF(A38="","",IFERROR(ROUND(B38/D38,2),""))</f>
        <v/>
      </c>
      <c r="G38" s="17" t="str">
        <f aca="false">IF(A38="","",IFERROR(ROUND(B38/D38*E38,2),""))</f>
        <v/>
      </c>
      <c r="H38" s="13"/>
      <c r="I38" s="13"/>
      <c r="J38" s="17" t="str">
        <f aca="false">IF(A38="","",IFERROR(ROUND(H38+G38-I38,2),""))</f>
        <v/>
      </c>
      <c r="K38" s="17" t="str">
        <f aca="false">IF(A38="","",IFERROR(ROUND(B38-G38,2),""))</f>
        <v/>
      </c>
    </row>
    <row r="39" customFormat="false" ht="15" hidden="false" customHeight="false" outlineLevel="0" collapsed="false">
      <c r="A39" s="10"/>
      <c r="B39" s="13" t="str">
        <f aca="false">IF(A39="","",Settings!$B$8)</f>
        <v/>
      </c>
      <c r="C39" s="10" t="str">
        <f aca="false">IF(A39="","",Settings!$B$9)</f>
        <v/>
      </c>
      <c r="D39" s="21" t="str">
        <f aca="false">IF(A39="","",IF(C39="weekly",52,IF(C39="biweekly",26,IF(C39="semimonthly",24,IF(C39="monthly",12,"")))))</f>
        <v/>
      </c>
      <c r="E39" s="22"/>
      <c r="F39" s="17" t="str">
        <f aca="false">IF(A39="","",IFERROR(ROUND(B39/D39,2),""))</f>
        <v/>
      </c>
      <c r="G39" s="17" t="str">
        <f aca="false">IF(A39="","",IFERROR(ROUND(B39/D39*E39,2),""))</f>
        <v/>
      </c>
      <c r="H39" s="13"/>
      <c r="I39" s="13"/>
      <c r="J39" s="17" t="str">
        <f aca="false">IF(A39="","",IFERROR(ROUND(H39+G39-I39,2),""))</f>
        <v/>
      </c>
      <c r="K39" s="17" t="str">
        <f aca="false">IF(A39="","",IFERROR(ROUND(B39-G39,2),""))</f>
        <v/>
      </c>
    </row>
    <row r="40" customFormat="false" ht="15" hidden="false" customHeight="false" outlineLevel="0" collapsed="false">
      <c r="A40" s="10"/>
      <c r="B40" s="13" t="str">
        <f aca="false">IF(A40="","",Settings!$B$8)</f>
        <v/>
      </c>
      <c r="C40" s="10" t="str">
        <f aca="false">IF(A40="","",Settings!$B$9)</f>
        <v/>
      </c>
      <c r="D40" s="21" t="str">
        <f aca="false">IF(A40="","",IF(C40="weekly",52,IF(C40="biweekly",26,IF(C40="semimonthly",24,IF(C40="monthly",12,"")))))</f>
        <v/>
      </c>
      <c r="E40" s="22"/>
      <c r="F40" s="17" t="str">
        <f aca="false">IF(A40="","",IFERROR(ROUND(B40/D40,2),""))</f>
        <v/>
      </c>
      <c r="G40" s="17" t="str">
        <f aca="false">IF(A40="","",IFERROR(ROUND(B40/D40*E40,2),""))</f>
        <v/>
      </c>
      <c r="H40" s="13"/>
      <c r="I40" s="13"/>
      <c r="J40" s="17" t="str">
        <f aca="false">IF(A40="","",IFERROR(ROUND(H40+G40-I40,2),""))</f>
        <v/>
      </c>
      <c r="K40" s="17" t="str">
        <f aca="false">IF(A40="","",IFERROR(ROUND(B40-G40,2),""))</f>
        <v/>
      </c>
    </row>
  </sheetData>
  <dataValidations count="1">
    <dataValidation allowBlank="true" errorStyle="stop" operator="between" showDropDown="false" showErrorMessage="false" showInputMessage="false" sqref="C5:C40" type="list">
      <formula1>"weekly,biweekly,semimonthly,monthly"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3" min="3" style="0" width="14"/>
    <col collapsed="false" customWidth="true" hidden="false" outlineLevel="0" max="4" min="4" style="0" width="12"/>
    <col collapsed="false" customWidth="true" hidden="false" outlineLevel="0" max="5" min="5" style="0" width="16"/>
    <col collapsed="false" customWidth="true" hidden="false" outlineLevel="0" max="6" min="6" style="0" width="15"/>
    <col collapsed="false" customWidth="true" hidden="false" outlineLevel="0" max="7" min="7" style="0" width="12"/>
    <col collapsed="false" customWidth="true" hidden="false" outlineLevel="0" max="8" min="8" style="0" width="15"/>
  </cols>
  <sheetData>
    <row r="1" customFormat="false" ht="17.35" hidden="false" customHeight="false" outlineLevel="0" collapsed="false">
      <c r="A1" s="1" t="s">
        <v>87</v>
      </c>
    </row>
    <row r="2" customFormat="false" ht="15" hidden="false" customHeight="false" outlineLevel="0" collapsed="false">
      <c r="A2" s="2" t="s">
        <v>88</v>
      </c>
    </row>
    <row r="4" customFormat="false" ht="26.85" hidden="false" customHeight="false" outlineLevel="0" collapsed="false">
      <c r="A4" s="9" t="s">
        <v>40</v>
      </c>
      <c r="B4" s="9" t="s">
        <v>89</v>
      </c>
      <c r="C4" s="9" t="s">
        <v>42</v>
      </c>
      <c r="D4" s="9" t="s">
        <v>43</v>
      </c>
      <c r="E4" s="9" t="s">
        <v>90</v>
      </c>
      <c r="F4" s="9" t="s">
        <v>47</v>
      </c>
      <c r="G4" s="9" t="s">
        <v>91</v>
      </c>
      <c r="H4" s="9" t="s">
        <v>92</v>
      </c>
    </row>
    <row r="5" customFormat="false" ht="15" hidden="false" customHeight="false" outlineLevel="0" collapsed="false">
      <c r="A5" s="8" t="s">
        <v>93</v>
      </c>
      <c r="B5" s="23" t="n">
        <v>46266</v>
      </c>
      <c r="C5" s="14" t="n">
        <v>55000</v>
      </c>
      <c r="D5" s="13" t="n">
        <f aca="false">IF(A5="","",Settings!$B$2)</f>
        <v>12</v>
      </c>
      <c r="E5" s="14" t="n">
        <v>7000</v>
      </c>
      <c r="F5" s="15" t="n">
        <f aca="false">IF(A5="","",ROUND(C5*(1+D5/100)+E5,2))</f>
        <v>68600</v>
      </c>
      <c r="G5" s="21" t="n">
        <f aca="false">IF(OR(A5="",B5=""),"",IF(YEAR(B5)&lt;Settings!$B$10,12,IF(YEAR(B5)&gt;Settings!$B$10,0,13-MONTH(B5))))</f>
        <v>4</v>
      </c>
      <c r="H5" s="15" t="n">
        <f aca="false">IF(A5="","",IFERROR(ROUND(F5*G5/12,2),""))</f>
        <v>22866.67</v>
      </c>
    </row>
    <row r="6" customFormat="false" ht="15" hidden="false" customHeight="false" outlineLevel="0" collapsed="false">
      <c r="A6" s="10" t="s">
        <v>94</v>
      </c>
      <c r="B6" s="24" t="n">
        <v>46327</v>
      </c>
      <c r="C6" s="14" t="n">
        <v>42000</v>
      </c>
      <c r="D6" s="13" t="n">
        <f aca="false">IF(A6="","",Settings!$B$2)</f>
        <v>12</v>
      </c>
      <c r="E6" s="14" t="n">
        <v>6000</v>
      </c>
      <c r="F6" s="15" t="n">
        <f aca="false">IF(A6="","",ROUND(C6*(1+D6/100)+E6,2))</f>
        <v>53040</v>
      </c>
      <c r="G6" s="21" t="n">
        <f aca="false">IF(OR(A6="",B6=""),"",IF(YEAR(B6)&lt;Settings!$B$10,12,IF(YEAR(B6)&gt;Settings!$B$10,0,13-MONTH(B6))))</f>
        <v>2</v>
      </c>
      <c r="H6" s="15" t="n">
        <f aca="false">IF(A6="","",IFERROR(ROUND(F6*G6/12,2),""))</f>
        <v>8840</v>
      </c>
    </row>
    <row r="7" customFormat="false" ht="15" hidden="false" customHeight="false" outlineLevel="0" collapsed="false">
      <c r="A7" s="10"/>
      <c r="B7" s="24"/>
      <c r="C7" s="14"/>
      <c r="D7" s="13" t="str">
        <f aca="false">IF(A7="","",Settings!$B$2)</f>
        <v/>
      </c>
      <c r="E7" s="14"/>
      <c r="F7" s="15" t="str">
        <f aca="false">IF(A7="","",ROUND(C7*(1+D7/100)+E7,2))</f>
        <v/>
      </c>
      <c r="G7" s="21" t="str">
        <f aca="false">IF(OR(A7="",B7=""),"",IF(YEAR(B7)&lt;Settings!$B$10,12,IF(YEAR(B7)&gt;Settings!$B$10,0,13-MONTH(B7))))</f>
        <v/>
      </c>
      <c r="H7" s="15" t="str">
        <f aca="false">IF(A7="","",IFERROR(ROUND(F7*G7/12,2),""))</f>
        <v/>
      </c>
    </row>
    <row r="8" customFormat="false" ht="15" hidden="false" customHeight="false" outlineLevel="0" collapsed="false">
      <c r="A8" s="10"/>
      <c r="B8" s="24"/>
      <c r="C8" s="14"/>
      <c r="D8" s="13" t="str">
        <f aca="false">IF(A8="","",Settings!$B$2)</f>
        <v/>
      </c>
      <c r="E8" s="14"/>
      <c r="F8" s="15" t="str">
        <f aca="false">IF(A8="","",ROUND(C8*(1+D8/100)+E8,2))</f>
        <v/>
      </c>
      <c r="G8" s="21" t="str">
        <f aca="false">IF(OR(A8="",B8=""),"",IF(YEAR(B8)&lt;Settings!$B$10,12,IF(YEAR(B8)&gt;Settings!$B$10,0,13-MONTH(B8))))</f>
        <v/>
      </c>
      <c r="H8" s="15" t="str">
        <f aca="false">IF(A8="","",IFERROR(ROUND(F8*G8/12,2),""))</f>
        <v/>
      </c>
    </row>
    <row r="9" customFormat="false" ht="15" hidden="false" customHeight="false" outlineLevel="0" collapsed="false">
      <c r="A9" s="10"/>
      <c r="B9" s="24"/>
      <c r="C9" s="14"/>
      <c r="D9" s="13" t="str">
        <f aca="false">IF(A9="","",Settings!$B$2)</f>
        <v/>
      </c>
      <c r="E9" s="14"/>
      <c r="F9" s="15" t="str">
        <f aca="false">IF(A9="","",ROUND(C9*(1+D9/100)+E9,2))</f>
        <v/>
      </c>
      <c r="G9" s="21" t="str">
        <f aca="false">IF(OR(A9="",B9=""),"",IF(YEAR(B9)&lt;Settings!$B$10,12,IF(YEAR(B9)&gt;Settings!$B$10,0,13-MONTH(B9))))</f>
        <v/>
      </c>
      <c r="H9" s="15" t="str">
        <f aca="false">IF(A9="","",IFERROR(ROUND(F9*G9/12,2),""))</f>
        <v/>
      </c>
    </row>
    <row r="10" customFormat="false" ht="15" hidden="false" customHeight="false" outlineLevel="0" collapsed="false">
      <c r="A10" s="10"/>
      <c r="B10" s="24"/>
      <c r="C10" s="14"/>
      <c r="D10" s="13" t="str">
        <f aca="false">IF(A10="","",Settings!$B$2)</f>
        <v/>
      </c>
      <c r="E10" s="14"/>
      <c r="F10" s="15" t="str">
        <f aca="false">IF(A10="","",ROUND(C10*(1+D10/100)+E10,2))</f>
        <v/>
      </c>
      <c r="G10" s="21" t="str">
        <f aca="false">IF(OR(A10="",B10=""),"",IF(YEAR(B10)&lt;Settings!$B$10,12,IF(YEAR(B10)&gt;Settings!$B$10,0,13-MONTH(B10))))</f>
        <v/>
      </c>
      <c r="H10" s="15" t="str">
        <f aca="false">IF(A10="","",IFERROR(ROUND(F10*G10/12,2),""))</f>
        <v/>
      </c>
    </row>
    <row r="11" customFormat="false" ht="15" hidden="false" customHeight="false" outlineLevel="0" collapsed="false">
      <c r="A11" s="10"/>
      <c r="B11" s="24"/>
      <c r="C11" s="14"/>
      <c r="D11" s="13" t="str">
        <f aca="false">IF(A11="","",Settings!$B$2)</f>
        <v/>
      </c>
      <c r="E11" s="14"/>
      <c r="F11" s="15" t="str">
        <f aca="false">IF(A11="","",ROUND(C11*(1+D11/100)+E11,2))</f>
        <v/>
      </c>
      <c r="G11" s="21" t="str">
        <f aca="false">IF(OR(A11="",B11=""),"",IF(YEAR(B11)&lt;Settings!$B$10,12,IF(YEAR(B11)&gt;Settings!$B$10,0,13-MONTH(B11))))</f>
        <v/>
      </c>
      <c r="H11" s="15" t="str">
        <f aca="false">IF(A11="","",IFERROR(ROUND(F11*G11/12,2),""))</f>
        <v/>
      </c>
    </row>
    <row r="12" customFormat="false" ht="15" hidden="false" customHeight="false" outlineLevel="0" collapsed="false">
      <c r="A12" s="10"/>
      <c r="B12" s="24"/>
      <c r="C12" s="14"/>
      <c r="D12" s="13" t="str">
        <f aca="false">IF(A12="","",Settings!$B$2)</f>
        <v/>
      </c>
      <c r="E12" s="14"/>
      <c r="F12" s="15" t="str">
        <f aca="false">IF(A12="","",ROUND(C12*(1+D12/100)+E12,2))</f>
        <v/>
      </c>
      <c r="G12" s="21" t="str">
        <f aca="false">IF(OR(A12="",B12=""),"",IF(YEAR(B12)&lt;Settings!$B$10,12,IF(YEAR(B12)&gt;Settings!$B$10,0,13-MONTH(B12))))</f>
        <v/>
      </c>
      <c r="H12" s="15" t="str">
        <f aca="false">IF(A12="","",IFERROR(ROUND(F12*G12/12,2),""))</f>
        <v/>
      </c>
    </row>
    <row r="13" customFormat="false" ht="15" hidden="false" customHeight="false" outlineLevel="0" collapsed="false">
      <c r="A13" s="10"/>
      <c r="B13" s="24"/>
      <c r="C13" s="14"/>
      <c r="D13" s="13" t="str">
        <f aca="false">IF(A13="","",Settings!$B$2)</f>
        <v/>
      </c>
      <c r="E13" s="14"/>
      <c r="F13" s="15" t="str">
        <f aca="false">IF(A13="","",ROUND(C13*(1+D13/100)+E13,2))</f>
        <v/>
      </c>
      <c r="G13" s="21" t="str">
        <f aca="false">IF(OR(A13="",B13=""),"",IF(YEAR(B13)&lt;Settings!$B$10,12,IF(YEAR(B13)&gt;Settings!$B$10,0,13-MONTH(B13))))</f>
        <v/>
      </c>
      <c r="H13" s="15" t="str">
        <f aca="false">IF(A13="","",IFERROR(ROUND(F13*G13/12,2),""))</f>
        <v/>
      </c>
    </row>
    <row r="14" customFormat="false" ht="15" hidden="false" customHeight="false" outlineLevel="0" collapsed="false">
      <c r="A14" s="10"/>
      <c r="B14" s="24"/>
      <c r="C14" s="14"/>
      <c r="D14" s="13" t="str">
        <f aca="false">IF(A14="","",Settings!$B$2)</f>
        <v/>
      </c>
      <c r="E14" s="14"/>
      <c r="F14" s="15" t="str">
        <f aca="false">IF(A14="","",ROUND(C14*(1+D14/100)+E14,2))</f>
        <v/>
      </c>
      <c r="G14" s="21" t="str">
        <f aca="false">IF(OR(A14="",B14=""),"",IF(YEAR(B14)&lt;Settings!$B$10,12,IF(YEAR(B14)&gt;Settings!$B$10,0,13-MONTH(B14))))</f>
        <v/>
      </c>
      <c r="H14" s="15" t="str">
        <f aca="false">IF(A14="","",IFERROR(ROUND(F14*G14/12,2),""))</f>
        <v/>
      </c>
    </row>
    <row r="15" customFormat="false" ht="15" hidden="false" customHeight="false" outlineLevel="0" collapsed="false">
      <c r="A15" s="10"/>
      <c r="B15" s="24"/>
      <c r="C15" s="14"/>
      <c r="D15" s="13" t="str">
        <f aca="false">IF(A15="","",Settings!$B$2)</f>
        <v/>
      </c>
      <c r="E15" s="14"/>
      <c r="F15" s="15" t="str">
        <f aca="false">IF(A15="","",ROUND(C15*(1+D15/100)+E15,2))</f>
        <v/>
      </c>
      <c r="G15" s="21" t="str">
        <f aca="false">IF(OR(A15="",B15=""),"",IF(YEAR(B15)&lt;Settings!$B$10,12,IF(YEAR(B15)&gt;Settings!$B$10,0,13-MONTH(B15))))</f>
        <v/>
      </c>
      <c r="H15" s="15" t="str">
        <f aca="false">IF(A15="","",IFERROR(ROUND(F15*G15/12,2),""))</f>
        <v/>
      </c>
    </row>
    <row r="16" customFormat="false" ht="15" hidden="false" customHeight="false" outlineLevel="0" collapsed="false">
      <c r="A16" s="10"/>
      <c r="B16" s="24"/>
      <c r="C16" s="14"/>
      <c r="D16" s="13" t="str">
        <f aca="false">IF(A16="","",Settings!$B$2)</f>
        <v/>
      </c>
      <c r="E16" s="14"/>
      <c r="F16" s="15" t="str">
        <f aca="false">IF(A16="","",ROUND(C16*(1+D16/100)+E16,2))</f>
        <v/>
      </c>
      <c r="G16" s="21" t="str">
        <f aca="false">IF(OR(A16="",B16=""),"",IF(YEAR(B16)&lt;Settings!$B$10,12,IF(YEAR(B16)&gt;Settings!$B$10,0,13-MONTH(B16))))</f>
        <v/>
      </c>
      <c r="H16" s="15" t="str">
        <f aca="false">IF(A16="","",IFERROR(ROUND(F16*G16/12,2),""))</f>
        <v/>
      </c>
    </row>
    <row r="17" customFormat="false" ht="15" hidden="false" customHeight="false" outlineLevel="0" collapsed="false">
      <c r="A17" s="4" t="s">
        <v>95</v>
      </c>
      <c r="F17" s="19" t="n">
        <f aca="false">SUM(F5:F16)</f>
        <v>121640</v>
      </c>
      <c r="H17" s="19" t="n">
        <f aca="false">SUM(H5:H16)</f>
        <v>31706.67</v>
      </c>
    </row>
    <row r="20" customFormat="false" ht="17.35" hidden="false" customHeight="false" outlineLevel="0" collapsed="false">
      <c r="A20" s="1" t="s">
        <v>96</v>
      </c>
    </row>
    <row r="21" customFormat="false" ht="15" hidden="false" customHeight="false" outlineLevel="0" collapsed="false">
      <c r="A21" s="3" t="s">
        <v>97</v>
      </c>
      <c r="B21" s="14" t="n">
        <f aca="false">Team!I42</f>
        <v>63313.33</v>
      </c>
      <c r="C21" s="2" t="s">
        <v>98</v>
      </c>
    </row>
    <row r="22" customFormat="false" ht="15" hidden="false" customHeight="false" outlineLevel="0" collapsed="false">
      <c r="A22" s="3" t="s">
        <v>26</v>
      </c>
      <c r="B22" s="22" t="n">
        <f aca="false">Settings!$B$6</f>
        <v>240</v>
      </c>
    </row>
    <row r="23" customFormat="false" ht="15" hidden="false" customHeight="false" outlineLevel="0" collapsed="false">
      <c r="A23" s="3" t="s">
        <v>99</v>
      </c>
      <c r="B23" s="12" t="n">
        <v>5000</v>
      </c>
      <c r="C23" s="2" t="s">
        <v>100</v>
      </c>
    </row>
    <row r="24" customFormat="false" ht="15" hidden="false" customHeight="false" outlineLevel="0" collapsed="false">
      <c r="A24" s="3" t="s">
        <v>101</v>
      </c>
      <c r="B24" s="7" t="n">
        <v>30</v>
      </c>
    </row>
    <row r="25" customFormat="false" ht="15" hidden="false" customHeight="false" outlineLevel="0" collapsed="false">
      <c r="A25" s="3" t="s">
        <v>102</v>
      </c>
      <c r="B25" s="12" t="n">
        <v>2000</v>
      </c>
      <c r="C25" s="2" t="s">
        <v>103</v>
      </c>
    </row>
    <row r="26" customFormat="false" ht="15" hidden="false" customHeight="false" outlineLevel="0" collapsed="false">
      <c r="A26" s="3" t="s">
        <v>104</v>
      </c>
      <c r="B26" s="7" t="n">
        <v>60</v>
      </c>
    </row>
    <row r="27" customFormat="false" ht="15" hidden="false" customHeight="false" outlineLevel="0" collapsed="false">
      <c r="A27" s="3" t="s">
        <v>105</v>
      </c>
      <c r="B27" s="16" t="n">
        <f aca="false">Settings!$B$7</f>
        <v>50</v>
      </c>
    </row>
    <row r="28" customFormat="false" ht="15" hidden="false" customHeight="false" outlineLevel="0" collapsed="false">
      <c r="A28" s="3" t="s">
        <v>59</v>
      </c>
      <c r="B28" s="22" t="n">
        <f aca="false">Team!C41</f>
        <v>3</v>
      </c>
    </row>
    <row r="29" customFormat="false" ht="15" hidden="false" customHeight="false" outlineLevel="0" collapsed="false">
      <c r="A29" s="3" t="s">
        <v>106</v>
      </c>
      <c r="B29" s="5" t="n">
        <v>15</v>
      </c>
      <c r="C29" s="2" t="s">
        <v>107</v>
      </c>
    </row>
    <row r="30" customFormat="false" ht="15" hidden="false" customHeight="false" outlineLevel="0" collapsed="false">
      <c r="A30" s="4" t="s">
        <v>108</v>
      </c>
      <c r="B30" s="19" t="n">
        <f aca="false">ROUND(B23+B21/B22*B24+B25+B21/B22*B26*(1-B27/100),2)</f>
        <v>22828.33</v>
      </c>
      <c r="C30" s="2" t="s">
        <v>109</v>
      </c>
    </row>
    <row r="31" customFormat="false" ht="15" hidden="false" customHeight="false" outlineLevel="0" collapsed="false">
      <c r="A31" s="4" t="s">
        <v>110</v>
      </c>
      <c r="B31" s="25" t="n">
        <f aca="false">ROUND(B28*B29/100,2)</f>
        <v>0.45</v>
      </c>
      <c r="C31" s="2" t="s">
        <v>111</v>
      </c>
    </row>
    <row r="32" customFormat="false" ht="15" hidden="false" customHeight="false" outlineLevel="0" collapsed="false">
      <c r="A32" s="4" t="s">
        <v>112</v>
      </c>
      <c r="B32" s="19" t="n">
        <f aca="false">ROUND(B30*B31,2)</f>
        <v>10272.75</v>
      </c>
      <c r="C32" s="2" t="s">
        <v>113</v>
      </c>
    </row>
    <row r="33" customFormat="false" ht="15" hidden="false" customHeight="false" outlineLevel="0" collapsed="false">
      <c r="A33" s="4" t="s">
        <v>114</v>
      </c>
      <c r="B33" s="26" t="n">
        <f aca="false">IFERROR(ROUND(B30/B21*100,2),"")</f>
        <v>36.06</v>
      </c>
    </row>
    <row r="34" customFormat="false" ht="15" hidden="false" customHeight="false" outlineLevel="0" collapsed="false">
      <c r="A34" s="4" t="s">
        <v>115</v>
      </c>
      <c r="B34" s="19" t="n">
        <f aca="false">IFERROR(ROUND(B21/B22,2),"")</f>
        <v>263.81</v>
      </c>
      <c r="C34" s="2"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2026-10-01T10:44:00Z</dcterms:created>
  <dc:creator>openpyxl</dc:creator>
  <dc:description/>
  <dc:language>en-US</dc:language>
  <cp:lastModifiedBy/>
  <dcterms:modified xsi:type="dcterms:W3CDTF">2026-10-01T10:44:00Z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