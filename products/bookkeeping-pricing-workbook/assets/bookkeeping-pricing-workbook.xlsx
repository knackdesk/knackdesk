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mments4.xml" ContentType="application/vnd.openxmlformats-officedocument.spreadsheetml.comments+xml"/>
  <Override PartName="/xl/comments3.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vmlDrawing3.vml" ContentType="application/vnd.openxmlformats-officedocument.vmlDrawing"/>
  <Override PartName="/xl/drawings/vmlDrawing5.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tings" sheetId="2" state="visible" r:id="rId4"/>
    <sheet name="Package Builder" sheetId="3" state="visible" r:id="rId5"/>
    <sheet name="Catch-Up Quotes" sheetId="4" state="visible" r:id="rId6"/>
    <sheet name="Capacity" sheetId="5" state="visible" r:id="rId7"/>
    <sheet name="Realization Log" sheetId="6" state="visible" r:id="rId8"/>
    <sheet name="Summary"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Knackdesk</author>
  </authors>
  <commentList>
    <comment ref="B11" authorId="0">
      <text>
        <r>
          <rPr>
            <sz val="10"/>
            <rFont val="Arial"/>
            <family val="2"/>
          </rPr>
          <t xml:space="preserve">Assumption: 4 weeks a year off for holiday, sickness and training.</t>
        </r>
      </text>
    </comment>
    <comment ref="B13" authorId="0">
      <text>
        <r>
          <rPr>
            <sz val="10"/>
            <rFont val="Arial"/>
            <family val="2"/>
          </rPr>
          <t xml:space="preserve">Assumption: nobody bills every hour at work. 70% leaves 30% for admin, sales, learning and follow-up.</t>
        </r>
      </text>
    </comment>
    <comment ref="B15" authorId="0">
      <text>
        <r>
          <rPr>
            <sz val="10"/>
            <rFont val="Arial"/>
            <family val="2"/>
          </rPr>
          <t xml:space="preserve">Assumption: fixed-fee work runs over the estimate; 15% is a placeholder, set it from your own overruns.</t>
        </r>
      </text>
    </comment>
  </commentList>
</comments>
</file>

<file path=xl/comments3.xml><?xml version="1.0" encoding="utf-8"?>
<comments xmlns="http://schemas.openxmlformats.org/spreadsheetml/2006/main" xmlns:xdr="http://schemas.openxmlformats.org/drawingml/2006/spreadsheetDrawing">
  <authors>
    <author>Knackdesk</author>
  </authors>
  <commentList>
    <comment ref="E5" authorId="0">
      <text>
        <r>
          <rPr>
            <sz val="10"/>
            <rFont val="Arial"/>
            <family val="2"/>
          </rPr>
          <t xml:space="preserve">Add-ons are monthly extras priced separately: payroll runs, sales tax filings, management reports.</t>
        </r>
      </text>
    </comment>
    <comment ref="F5" authorId="0">
      <text>
        <r>
          <rPr>
            <sz val="10"/>
            <rFont val="Arial"/>
            <family val="2"/>
          </rPr>
          <t xml:space="preserve">Your estimate of monthly hours on this file; check it against your time records.</t>
        </r>
      </text>
    </comment>
    <comment ref="G5" authorId="0">
      <text>
        <r>
          <rPr>
            <sz val="10"/>
            <rFont val="Arial"/>
            <family val="2"/>
          </rPr>
          <t xml:space="preserve">Example base fee 250: the minimum monthly fee for this client before volume charges. Your own figure.</t>
        </r>
      </text>
    </comment>
  </commentList>
</comments>
</file>

<file path=xl/comments4.xml><?xml version="1.0" encoding="utf-8"?>
<comments xmlns="http://schemas.openxmlformats.org/spreadsheetml/2006/main" xmlns:xdr="http://schemas.openxmlformats.org/drawingml/2006/spreadsheetDrawing">
  <authors>
    <author>Knackdesk</author>
  </authors>
  <commentList>
    <comment ref="C5" authorId="0">
      <text>
        <r>
          <rPr>
            <sz val="10"/>
            <rFont val="Arial"/>
            <family val="2"/>
          </rPr>
          <t xml:space="preserve">Catch-up months usually take longer than a normal month: missing statements, queries, fixing coding. Estimate generously.</t>
        </r>
      </text>
    </comment>
    <comment ref="E5" authorId="0">
      <text>
        <r>
          <rPr>
            <sz val="10"/>
            <rFont val="Arial"/>
            <family val="2"/>
          </rPr>
          <t xml:space="preserve">Leave empty to use the Settings rate; any number here takes precedence for this quote.</t>
        </r>
      </text>
    </comment>
  </commentList>
</comments>
</file>

<file path=xl/comments5.xml><?xml version="1.0" encoding="utf-8"?>
<comments xmlns="http://schemas.openxmlformats.org/spreadsheetml/2006/main" xmlns:xdr="http://schemas.openxmlformats.org/drawingml/2006/spreadsheetDrawing">
  <authors>
    <author>Knackdesk</author>
  </authors>
  <commentList>
    <comment ref="B5" authorId="0">
      <text>
        <r>
          <rPr>
            <sz val="10"/>
            <rFont val="Arial"/>
            <family val="2"/>
          </rPr>
          <t xml:space="preserve">Assumption: 10% of billable time goes on client admin that you cannot invoice (emails, chasing documents).</t>
        </r>
      </text>
    </comment>
    <comment ref="B8" authorId="0">
      <text>
        <r>
          <rPr>
            <sz val="10"/>
            <rFont val="Arial"/>
            <family val="2"/>
          </rPr>
          <t xml:space="preserve">Leave empty to use the Package Builder figure above; any number here takes precedence.</t>
        </r>
      </text>
    </comment>
    <comment ref="B11" authorId="0">
      <text>
        <r>
          <rPr>
            <sz val="10"/>
            <rFont val="Arial"/>
            <family val="2"/>
          </rPr>
          <t xml:space="preserve">Leave empty to use the Package Builder figure above; any number here takes precedence.</t>
        </r>
      </text>
    </comment>
    <comment ref="B14" authorId="0">
      <text>
        <r>
          <rPr>
            <sz val="10"/>
            <rFont val="Arial"/>
            <family val="2"/>
          </rPr>
          <t xml:space="preserve">Leave empty to use the Package Builder figure above; any number here takes precedence.</t>
        </r>
      </text>
    </comment>
  </commentList>
</comments>
</file>

<file path=xl/comments6.xml><?xml version="1.0" encoding="utf-8"?>
<comments xmlns="http://schemas.openxmlformats.org/spreadsheetml/2006/main" xmlns:xdr="http://schemas.openxmlformats.org/drawingml/2006/spreadsheetDrawing">
  <authors>
    <author>Knackdesk</author>
  </authors>
  <commentList>
    <comment ref="B5" authorId="0">
      <text>
        <r>
          <rPr>
            <sz val="10"/>
            <rFont val="Arial"/>
            <family val="2"/>
          </rPr>
          <t xml:space="preserve">Hours worked on client files this month, billed or not, from your own time records.</t>
        </r>
      </text>
    </comment>
    <comment ref="G5" authorId="0">
      <text>
        <r>
          <rPr>
            <sz val="10"/>
            <rFont val="Arial"/>
            <family val="2"/>
          </rPr>
          <t xml:space="preserve">Cash received this month against this month's invoices; late payments can be added back when they arrive.</t>
        </r>
      </text>
    </comment>
    <comment ref="I17" authorId="0">
      <text>
        <r>
          <rPr>
            <sz val="10"/>
            <rFont val="Arial"/>
            <family val="2"/>
          </rPr>
          <t xml:space="preserve">Totals recompute the percentages from the column totals, not an average of the monthly percentages.</t>
        </r>
      </text>
    </comment>
  </commentList>
</comments>
</file>

<file path=xl/sharedStrings.xml><?xml version="1.0" encoding="utf-8"?>
<sst xmlns="http://schemas.openxmlformats.org/spreadsheetml/2006/main" count="212" uniqueCount="191">
  <si>
    <t xml:space="preserve">Bookkeeping Practice Pricing Workbook</t>
  </si>
  <si>
    <t xml:space="preserve">by Knackdesk · knackdesk.com</t>
  </si>
  <si>
    <t xml:space="preserve">HOW TO USE</t>
  </si>
  <si>
    <t xml:space="preserve">1. Settings: your monthly overhead line by line, owner income goal, staff cost, working weeks, hours, billable share, standard hourly rate, scope buffer, commitment discount, per-transaction rate and per-account fee. Every other sheet reads them.</t>
  </si>
  <si>
    <t xml:space="preserve">2. Package Builder: one row per client with entity type, transactions, bank and card accounts, add-ons, hours, base fee and what you charge today. The suggested package fee, hourly-equivalent fee, recommended fee, the gap, effective hourly rate and annual fee are calculated.</t>
  </si>
  <si>
    <t xml:space="preserve">3. Catch-Up Quotes: one row per catch-up or clean-up job with months behind, hours per month, rate, setup fee and discount. Total hours, labour cost, discount, quote total and the per-month figure are calculated.</t>
  </si>
  <si>
    <t xml:space="preserve">4. Capacity: how many clients your billable hours can hold after admin time, hours used, spare hours, open client slots and revenue at capacity, read from the Package Builder unless you type your own figures.</t>
  </si>
  <si>
    <t xml:space="preserve">5. Realization Log: one row per month with hours worked, standard rate, amount billed and amount collected. Standard fees, billing, collection and overall realization, write-offs, uncollected and effective rate are calculated, with totals.</t>
  </si>
  <si>
    <t xml:space="preserve">6. Summary: cost-recovery rate against the rate you price with, clients priced below recommended, revenue now and at recommended fees, highest and lowest effective hourly rate clients, open slots and year-to-date realization.</t>
  </si>
  <si>
    <t xml:space="preserve">LEGEND</t>
  </si>
  <si>
    <t xml:space="preserve">Blue text = a cell you type into.   Black text = a formula, leave it alone.   Yellow fill = key inputs.</t>
  </si>
  <si>
    <t xml:space="preserve">DEFINITIONS</t>
  </si>
  <si>
    <t xml:space="preserve">Target hourly rate: the rate you price work at (rate used for pricing on Settings). Set it at or above the cost-recovery rate = (total monthly overhead + owner income goal + staff cost) ÷ billable hours per month. Billable hours per month = hours per week × billable % × working weeks per year ÷ 12.</t>
  </si>
  <si>
    <t xml:space="preserve">Package fee: a fixed monthly fee for ongoing bookkeeping = base fee + transactions × per-transaction rate + bank and card accounts × per-account fee + monthly add-ons (payroll runs, sales tax filings, reporting).</t>
  </si>
  <si>
    <t xml:space="preserve">Fixed fee buffer: the scope buffer % added on top of estimated hours × rate when pricing a fixed fee, so scope creep and messy months do not come out of your pocket. Hourly-equivalent fee = hours × rate × (1 + buffer %) × (1 − commitment discount %). Recommended fee = the higher of the package fee and the hourly-equivalent fee.</t>
  </si>
  <si>
    <t xml:space="preserve">Capacity: the most clients your usable hours can hold. Usable hours = billable hours per month × (1 − admin share %). Max clients = usable hours ÷ hours per client, rounded down.</t>
  </si>
  <si>
    <t xml:space="preserve">Billing realization = amount billed ÷ standard fees (hours worked × standard rate): how much of your time made it onto an invoice.</t>
  </si>
  <si>
    <t xml:space="preserve">Collection realization = amount collected ÷ amount billed: how much of what you invoiced was paid.</t>
  </si>
  <si>
    <t xml:space="preserve">Overall realization = amount collected ÷ standard fees: billing realization × collection realization.</t>
  </si>
  <si>
    <t xml:space="preserve">The targets in Settings are your own; this workbook does not supply industry benchmarks. Set them from your own history and plan.</t>
  </si>
  <si>
    <t xml:space="preserve">Support: hello@knackdesk.com</t>
  </si>
  <si>
    <t xml:space="preserve">Arithmetic only; not financial advice.</t>
  </si>
  <si>
    <t xml:space="preserve">Settings</t>
  </si>
  <si>
    <t xml:space="preserve">Software and subscriptions (monthly)</t>
  </si>
  <si>
    <t xml:space="preserve">Example default 250 a month. Ledger software seats, receipt capture, practice management, e-signature.</t>
  </si>
  <si>
    <t xml:space="preserve">Insurance (monthly)</t>
  </si>
  <si>
    <t xml:space="preserve">Example default 90 a month. Professional indemnity and cyber cover.</t>
  </si>
  <si>
    <t xml:space="preserve">Office or coworking (monthly)</t>
  </si>
  <si>
    <t xml:space="preserve">Example default 300 a month. Rent, desk or a share of home office costs.</t>
  </si>
  <si>
    <t xml:space="preserve">Marketing (monthly)</t>
  </si>
  <si>
    <t xml:space="preserve">Example default 100 a month. Website, listings, directory fees, ads.</t>
  </si>
  <si>
    <t xml:space="preserve">Professional fees and CPE (monthly)</t>
  </si>
  <si>
    <t xml:space="preserve">Example default 60 a month. Memberships, licences, continuing education spread over 12 months.</t>
  </si>
  <si>
    <t xml:space="preserve">Other overhead (monthly)</t>
  </si>
  <si>
    <t xml:space="preserve">Example default 100 a month. Phone, internet, bank charges, anything else.</t>
  </si>
  <si>
    <t xml:space="preserve">Total monthly overhead</t>
  </si>
  <si>
    <t xml:space="preserve">formula: sum of the six overhead rows above</t>
  </si>
  <si>
    <t xml:space="preserve">Monthly owner income goal</t>
  </si>
  <si>
    <t xml:space="preserve">Example default 4,500 a month. What you want to pay yourself before personal tax.</t>
  </si>
  <si>
    <t xml:space="preserve">Staff cost per month</t>
  </si>
  <si>
    <t xml:space="preserve">Default 0. Wages, contractor and payroll costs for anyone else working on client files.</t>
  </si>
  <si>
    <t xml:space="preserve">Working weeks per year</t>
  </si>
  <si>
    <t xml:space="preserve">Default 48: 52 weeks less 4 weeks of holiday, sickness and training.</t>
  </si>
  <si>
    <t xml:space="preserve">Hours worked per week</t>
  </si>
  <si>
    <t xml:space="preserve">Default 40. All hours at work, including admin, sales and learning.</t>
  </si>
  <si>
    <t xml:space="preserve">Share of hours that are billable %</t>
  </si>
  <si>
    <t xml:space="preserve">Default 70. The share of your hours spent on client work; the rest is admin, sales and learning.</t>
  </si>
  <si>
    <t xml:space="preserve">Standard hourly rate</t>
  </si>
  <si>
    <t xml:space="preserve">Default 90. The hourly rate you price with; set it at or above the cost-recovery rate in row 20.</t>
  </si>
  <si>
    <t xml:space="preserve">Scope buffer % for fixed fees</t>
  </si>
  <si>
    <t xml:space="preserve">Default 15. Added to hours × rate when turning hours into a fixed fee, to cover scope creep and messy months.</t>
  </si>
  <si>
    <t xml:space="preserve">Commitment discount %</t>
  </si>
  <si>
    <t xml:space="preserve">Default 5. Taken off the hourly-equivalent fee for clients who commit to a monthly package.</t>
  </si>
  <si>
    <t xml:space="preserve">Per-transaction rate</t>
  </si>
  <si>
    <t xml:space="preserve">Default 1.50 per transaction a month. Used in the package fee on the Package Builder.</t>
  </si>
  <si>
    <t xml:space="preserve">Per-bank-account fee</t>
  </si>
  <si>
    <t xml:space="preserve">Default 25 per bank or card account a month. Covers reconciling each account.</t>
  </si>
  <si>
    <t xml:space="preserve">Billable hours per month</t>
  </si>
  <si>
    <t xml:space="preserve">formula: hours per week × billable % × working weeks ÷ 12</t>
  </si>
  <si>
    <t xml:space="preserve">Cost-recovery hourly rate</t>
  </si>
  <si>
    <t xml:space="preserve">formula: (total overhead + income goal + staff cost) ÷ billable hours per month; the least each billable hour must earn</t>
  </si>
  <si>
    <t xml:space="preserve">Rate used for pricing</t>
  </si>
  <si>
    <t xml:space="preserve">formula: the standard hourly rate in row 14; set that at or above the cost-recovery rate above</t>
  </si>
  <si>
    <t xml:space="preserve">Rate per minute</t>
  </si>
  <si>
    <t xml:space="preserve">formula: rate used for pricing ÷ 60</t>
  </si>
  <si>
    <t xml:space="preserve">Package Builder</t>
  </si>
  <si>
    <t xml:space="preserve">One row per client. Charges use the per-transaction rate, per-account fee, rate, scope buffer and commitment discount from Settings; the recommended fee is the higher of the package fee and the hourly-equivalent fee.</t>
  </si>
  <si>
    <t xml:space="preserve">Client</t>
  </si>
  <si>
    <t xml:space="preserve">Entity type</t>
  </si>
  <si>
    <t xml:space="preserve">Transactions per month</t>
  </si>
  <si>
    <t xml:space="preserve">Bank and card accounts</t>
  </si>
  <si>
    <t xml:space="preserve">Add-ons monthly</t>
  </si>
  <si>
    <t xml:space="preserve">Estimated hours per month</t>
  </si>
  <si>
    <t xml:space="preserve">Base fee</t>
  </si>
  <si>
    <t xml:space="preserve">Current fee charged</t>
  </si>
  <si>
    <t xml:space="preserve">Transaction charge</t>
  </si>
  <si>
    <t xml:space="preserve">Account charge</t>
  </si>
  <si>
    <t xml:space="preserve">Suggested monthly fee</t>
  </si>
  <si>
    <t xml:space="preserve">Hourly-equivalent fee</t>
  </si>
  <si>
    <t xml:space="preserve">Recommended fee</t>
  </si>
  <si>
    <t xml:space="preserve">Gap (current − recommended)</t>
  </si>
  <si>
    <t xml:space="preserve">Effective hourly rate at current fee</t>
  </si>
  <si>
    <t xml:space="preserve">Annual at current fee</t>
  </si>
  <si>
    <t xml:space="preserve">Riverside Cafe</t>
  </si>
  <si>
    <t xml:space="preserve">company</t>
  </si>
  <si>
    <t xml:space="preserve">Okafor Consulting</t>
  </si>
  <si>
    <t xml:space="preserve">sole trader</t>
  </si>
  <si>
    <t xml:space="preserve">Lindqvist Dental Partners</t>
  </si>
  <si>
    <t xml:space="preserve">partnership</t>
  </si>
  <si>
    <t xml:space="preserve">Hope Street Food Bank</t>
  </si>
  <si>
    <t xml:space="preserve">nonprofit</t>
  </si>
  <si>
    <t xml:space="preserve">Nguyen Builders Ltd</t>
  </si>
  <si>
    <t xml:space="preserve">Patel Design Studio</t>
  </si>
  <si>
    <t xml:space="preserve">Green &amp; Co Landscaping</t>
  </si>
  <si>
    <t xml:space="preserve">Mason Family Trust</t>
  </si>
  <si>
    <t xml:space="preserve">other</t>
  </si>
  <si>
    <t xml:space="preserve">Total</t>
  </si>
  <si>
    <t xml:space="preserve">Total row: monthly revenue at current fees (column H), annual (column P), total hours (column F) and client count (column B).</t>
  </si>
  <si>
    <t xml:space="preserve">Catch-Up Quotes</t>
  </si>
  <si>
    <t xml:space="preserve">One row per catch-up or clean-up job. The default rate comes from Settings; type your own rate in column E to override it for that quote.</t>
  </si>
  <si>
    <t xml:space="preserve">Months behind</t>
  </si>
  <si>
    <t xml:space="preserve">Hours per month</t>
  </si>
  <si>
    <t xml:space="preserve">Default rate (Settings)</t>
  </si>
  <si>
    <t xml:space="preserve">or type your own rate</t>
  </si>
  <si>
    <t xml:space="preserve">Rate used</t>
  </si>
  <si>
    <t xml:space="preserve">Setup fee</t>
  </si>
  <si>
    <t xml:space="preserve">Discount %</t>
  </si>
  <si>
    <t xml:space="preserve">Total hours</t>
  </si>
  <si>
    <t xml:space="preserve">Labour cost</t>
  </si>
  <si>
    <t xml:space="preserve">Subtotal</t>
  </si>
  <si>
    <t xml:space="preserve">Discount</t>
  </si>
  <si>
    <t xml:space="preserve">Quote total</t>
  </si>
  <si>
    <t xml:space="preserve">Per month caught up</t>
  </si>
  <si>
    <t xml:space="preserve">Harbour Bakery</t>
  </si>
  <si>
    <t xml:space="preserve">Kowalski Plumbing</t>
  </si>
  <si>
    <t xml:space="preserve">Sunrise Yoga Studio</t>
  </si>
  <si>
    <t xml:space="preserve">Ellis Property Group</t>
  </si>
  <si>
    <t xml:space="preserve">Capacity</t>
  </si>
  <si>
    <t xml:space="preserve">How many clients your billable hours can hold, and what they could earn.</t>
  </si>
  <si>
    <t xml:space="preserve">from Settings</t>
  </si>
  <si>
    <t xml:space="preserve">Admin share % of billable time</t>
  </si>
  <si>
    <t xml:space="preserve">default 10: client emails, chasing documents, onboarding</t>
  </si>
  <si>
    <t xml:space="preserve">Usable hours per month</t>
  </si>
  <si>
    <t xml:space="preserve">billable hours × (1 − admin share %)</t>
  </si>
  <si>
    <t xml:space="preserve">Current clients from Package Builder</t>
  </si>
  <si>
    <t xml:space="preserve">clients listed on the Package Builder</t>
  </si>
  <si>
    <t xml:space="preserve">or type your own number of clients</t>
  </si>
  <si>
    <t xml:space="preserve">optional override; leave empty to use the line above</t>
  </si>
  <si>
    <t xml:space="preserve">Clients used</t>
  </si>
  <si>
    <t xml:space="preserve">your override if typed, otherwise the Package Builder figure</t>
  </si>
  <si>
    <t xml:space="preserve">Hours per client from Package Builder</t>
  </si>
  <si>
    <t xml:space="preserve">total hours ÷ clients</t>
  </si>
  <si>
    <t xml:space="preserve">or type your own hours per client</t>
  </si>
  <si>
    <t xml:space="preserve">Hours per client used</t>
  </si>
  <si>
    <t xml:space="preserve">Average fee from Package Builder</t>
  </si>
  <si>
    <t xml:space="preserve">monthly revenue at current fees ÷ clients</t>
  </si>
  <si>
    <t xml:space="preserve">or type your own average monthly fee</t>
  </si>
  <si>
    <t xml:space="preserve">Average fee used</t>
  </si>
  <si>
    <t xml:space="preserve">Max clients</t>
  </si>
  <si>
    <t xml:space="preserve">usable hours ÷ hours per client, rounded down</t>
  </si>
  <si>
    <t xml:space="preserve">Hours used</t>
  </si>
  <si>
    <t xml:space="preserve">clients × hours per client</t>
  </si>
  <si>
    <t xml:space="preserve">Spare hours per month</t>
  </si>
  <si>
    <t xml:space="preserve">usable hours − hours used; negative means overbooked</t>
  </si>
  <si>
    <t xml:space="preserve">Open client slots</t>
  </si>
  <si>
    <t xml:space="preserve">max clients − clients used, never below zero</t>
  </si>
  <si>
    <t xml:space="preserve">Monthly revenue at capacity</t>
  </si>
  <si>
    <t xml:space="preserve">max clients × average fee</t>
  </si>
  <si>
    <t xml:space="preserve">Current monthly revenue</t>
  </si>
  <si>
    <t xml:space="preserve">clients × average fee</t>
  </si>
  <si>
    <t xml:space="preserve">Status</t>
  </si>
  <si>
    <t xml:space="preserve">Realization Log</t>
  </si>
  <si>
    <t xml:space="preserve">One row per month, filled top down. The default rate comes from Settings; type your own standard rate in column D to override it for that month.</t>
  </si>
  <si>
    <t xml:space="preserve">Month</t>
  </si>
  <si>
    <t xml:space="preserve">Hours worked</t>
  </si>
  <si>
    <t xml:space="preserve">Standard rate used</t>
  </si>
  <si>
    <t xml:space="preserve">Amount billed</t>
  </si>
  <si>
    <t xml:space="preserve">Amount collected</t>
  </si>
  <si>
    <t xml:space="preserve">Standard fees</t>
  </si>
  <si>
    <t xml:space="preserve">Billing realization %</t>
  </si>
  <si>
    <t xml:space="preserve">Collection realization %</t>
  </si>
  <si>
    <t xml:space="preserve">Overall realization %</t>
  </si>
  <si>
    <t xml:space="preserve">Write-offs</t>
  </si>
  <si>
    <t xml:space="preserve">Uncollected</t>
  </si>
  <si>
    <t xml:space="preserve">Effective rate</t>
  </si>
  <si>
    <t xml:space="preserve">Summary</t>
  </si>
  <si>
    <t xml:space="preserve">from Settings; keep it at or above the cost-recovery rate</t>
  </si>
  <si>
    <t xml:space="preserve">Clients on the Package Builder</t>
  </si>
  <si>
    <t xml:space="preserve">Clients priced below recommended</t>
  </si>
  <si>
    <t xml:space="preserve">gap column below zero</t>
  </si>
  <si>
    <t xml:space="preserve">Monthly revenue at current fees</t>
  </si>
  <si>
    <t xml:space="preserve">Annual revenue at current fees</t>
  </si>
  <si>
    <t xml:space="preserve">Monthly revenue at recommended fees</t>
  </si>
  <si>
    <t xml:space="preserve">if every client moved to the recommended fee</t>
  </si>
  <si>
    <t xml:space="preserve">Monthly uplift</t>
  </si>
  <si>
    <t xml:space="preserve">recommended − current; negative means you charge above recommended overall</t>
  </si>
  <si>
    <t xml:space="preserve">Annual uplift</t>
  </si>
  <si>
    <t xml:space="preserve">monthly uplift × 12</t>
  </si>
  <si>
    <t xml:space="preserve">Highest effective hourly rate client</t>
  </si>
  <si>
    <t xml:space="preserve">current fee ÷ hours</t>
  </si>
  <si>
    <t xml:space="preserve">Lowest effective hourly rate client</t>
  </si>
  <si>
    <t xml:space="preserve">re-price first</t>
  </si>
  <si>
    <t xml:space="preserve">from Capacity</t>
  </si>
  <si>
    <t xml:space="preserve">Year-to-date billing realization</t>
  </si>
  <si>
    <t xml:space="preserve">Realization Log totals</t>
  </si>
  <si>
    <t xml:space="preserve">Year-to-date collection realization</t>
  </si>
  <si>
    <t xml:space="preserve">Year-to-date overall realization</t>
  </si>
  <si>
    <t xml:space="preserve">Year-to-date write-offs</t>
  </si>
  <si>
    <t xml:space="preserve">standard fees not billed</t>
  </si>
  <si>
    <t xml:space="preserve">Year-to-date uncollected</t>
  </si>
  <si>
    <t xml:space="preserve">billed but not collected</t>
  </si>
</sst>
</file>

<file path=xl/styles.xml><?xml version="1.0" encoding="utf-8"?>
<styleSheet xmlns="http://schemas.openxmlformats.org/spreadsheetml/2006/main">
  <numFmts count="10">
    <numFmt numFmtId="164" formatCode="General"/>
    <numFmt numFmtId="165" formatCode="#,##0.00;\(#,##0.00\);\-"/>
    <numFmt numFmtId="166" formatCode="0"/>
    <numFmt numFmtId="167" formatCode="0.0"/>
    <numFmt numFmtId="168" formatCode="0.00\%"/>
    <numFmt numFmtId="169" formatCode="0.00"/>
    <numFmt numFmtId="170" formatCode="0.0000"/>
    <numFmt numFmtId="171" formatCode="0&quot; clients&quot;"/>
    <numFmt numFmtId="172" formatCode="0.00;\-0.00;0.00"/>
    <numFmt numFmtId="173" formatCode="mmm\ yyyy"/>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666666"/>
      <name val="Arial"/>
      <family val="0"/>
      <charset val="1"/>
    </font>
    <font>
      <sz val="11"/>
      <name val="Arial"/>
      <family val="0"/>
      <charset val="1"/>
    </font>
    <font>
      <b val="true"/>
      <sz val="11"/>
      <name val="Arial"/>
      <family val="0"/>
      <charset val="1"/>
    </font>
    <font>
      <sz val="11"/>
      <color rgb="FF0000FF"/>
      <name val="Arial"/>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E7E6E6"/>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true" hidden="false"/>
    </xf>
    <xf numFmtId="168" fontId="8" fillId="2" borderId="0" xfId="0" applyFont="true" applyBorder="false" applyAlignment="true" applyProtection="true">
      <alignment horizontal="general" vertical="bottom" textRotation="0" wrapText="fals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70" fontId="6"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9" fontId="6"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9" fontId="8" fillId="2" borderId="0" xfId="0" applyFont="true" applyBorder="false" applyAlignment="true" applyProtection="true">
      <alignment horizontal="general" vertical="bottom" textRotation="0" wrapText="false" indent="0" shrinkToFit="false"/>
      <protection locked="true" hidden="false"/>
    </xf>
    <xf numFmtId="172" fontId="6" fillId="0" borderId="0" xfId="0" applyFont="true" applyBorder="false" applyAlignment="true" applyProtection="true">
      <alignment horizontal="general" vertical="bottom" textRotation="0" wrapText="false" indent="0" shrinkToFit="false"/>
      <protection locked="true" hidden="false"/>
    </xf>
    <xf numFmtId="173" fontId="8" fillId="0" borderId="0" xfId="0" applyFont="tru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0"/>
  </cols>
  <sheetData>
    <row r="1" customFormat="false" ht="17.35"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row>
    <row r="4" customFormat="false" ht="15" hidden="false" customHeight="false" outlineLevel="0" collapsed="false">
      <c r="A4" s="5"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row>
    <row r="12" customFormat="false" ht="15" hidden="false" customHeight="false" outlineLevel="0" collapsed="false">
      <c r="A12" s="5" t="s">
        <v>9</v>
      </c>
    </row>
    <row r="13" customFormat="false" ht="15" hidden="false" customHeight="false" outlineLevel="0" collapsed="false">
      <c r="A13" s="4" t="s">
        <v>10</v>
      </c>
    </row>
    <row r="14" customFormat="false" ht="15" hidden="false" customHeight="false" outlineLevel="0" collapsed="false">
      <c r="A14" s="4"/>
    </row>
    <row r="15" customFormat="false" ht="15" hidden="false" customHeight="false" outlineLevel="0" collapsed="false">
      <c r="A15" s="5" t="s">
        <v>11</v>
      </c>
    </row>
    <row r="16" customFormat="false" ht="15" hidden="false" customHeight="false" outlineLevel="0" collapsed="false">
      <c r="A16" s="4" t="s">
        <v>12</v>
      </c>
    </row>
    <row r="17" customFormat="false" ht="15" hidden="false" customHeight="false" outlineLevel="0" collapsed="false">
      <c r="A17" s="4" t="s">
        <v>13</v>
      </c>
    </row>
    <row r="18" customFormat="false" ht="15" hidden="false" customHeight="false" outlineLevel="0" collapsed="false">
      <c r="A18" s="4" t="s">
        <v>14</v>
      </c>
    </row>
    <row r="19" customFormat="false" ht="15" hidden="false" customHeight="false" outlineLevel="0" collapsed="false">
      <c r="A19" s="4" t="s">
        <v>15</v>
      </c>
    </row>
    <row r="20" customFormat="false" ht="15" hidden="false" customHeight="false" outlineLevel="0" collapsed="false">
      <c r="A20" s="4" t="s">
        <v>16</v>
      </c>
    </row>
    <row r="21" customFormat="false" ht="15" hidden="false" customHeight="false" outlineLevel="0" collapsed="false">
      <c r="A21" s="4" t="s">
        <v>17</v>
      </c>
    </row>
    <row r="22" customFormat="false" ht="15" hidden="false" customHeight="false" outlineLevel="0" collapsed="false">
      <c r="A22" s="4" t="s">
        <v>18</v>
      </c>
    </row>
    <row r="23" customFormat="false" ht="15" hidden="false" customHeight="false" outlineLevel="0" collapsed="false">
      <c r="A23" s="4" t="s">
        <v>19</v>
      </c>
    </row>
    <row r="24" customFormat="false" ht="15" hidden="false" customHeight="false" outlineLevel="0" collapsed="false">
      <c r="A24" s="4" t="s">
        <v>20</v>
      </c>
    </row>
    <row r="25" customFormat="false" ht="15" hidden="false" customHeight="false" outlineLevel="0" collapsed="false">
      <c r="A25" s="4"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2" min="2" style="1" width="14"/>
    <col collapsed="false" customWidth="true" hidden="false" outlineLevel="0" max="3" min="3" style="1" width="80"/>
  </cols>
  <sheetData>
    <row r="1" customFormat="false" ht="17.35" hidden="false" customHeight="false" outlineLevel="0" collapsed="false">
      <c r="A1" s="2" t="s">
        <v>22</v>
      </c>
    </row>
    <row r="2" customFormat="false" ht="15" hidden="false" customHeight="false" outlineLevel="0" collapsed="false">
      <c r="A2" s="4" t="s">
        <v>23</v>
      </c>
      <c r="B2" s="6" t="n">
        <v>250</v>
      </c>
      <c r="C2" s="3" t="s">
        <v>24</v>
      </c>
    </row>
    <row r="3" customFormat="false" ht="15" hidden="false" customHeight="false" outlineLevel="0" collapsed="false">
      <c r="A3" s="4" t="s">
        <v>25</v>
      </c>
      <c r="B3" s="6" t="n">
        <v>90</v>
      </c>
      <c r="C3" s="3" t="s">
        <v>26</v>
      </c>
    </row>
    <row r="4" customFormat="false" ht="15" hidden="false" customHeight="false" outlineLevel="0" collapsed="false">
      <c r="A4" s="4" t="s">
        <v>27</v>
      </c>
      <c r="B4" s="6" t="n">
        <v>300</v>
      </c>
      <c r="C4" s="3" t="s">
        <v>28</v>
      </c>
    </row>
    <row r="5" customFormat="false" ht="15" hidden="false" customHeight="false" outlineLevel="0" collapsed="false">
      <c r="A5" s="4" t="s">
        <v>29</v>
      </c>
      <c r="B5" s="6" t="n">
        <v>100</v>
      </c>
      <c r="C5" s="3" t="s">
        <v>30</v>
      </c>
    </row>
    <row r="6" customFormat="false" ht="15" hidden="false" customHeight="false" outlineLevel="0" collapsed="false">
      <c r="A6" s="4" t="s">
        <v>31</v>
      </c>
      <c r="B6" s="6" t="n">
        <v>60</v>
      </c>
      <c r="C6" s="3" t="s">
        <v>32</v>
      </c>
    </row>
    <row r="7" customFormat="false" ht="15" hidden="false" customHeight="false" outlineLevel="0" collapsed="false">
      <c r="A7" s="4" t="s">
        <v>33</v>
      </c>
      <c r="B7" s="6" t="n">
        <v>100</v>
      </c>
      <c r="C7" s="3" t="s">
        <v>34</v>
      </c>
    </row>
    <row r="8" customFormat="false" ht="15" hidden="false" customHeight="false" outlineLevel="0" collapsed="false">
      <c r="A8" s="5" t="s">
        <v>35</v>
      </c>
      <c r="B8" s="7" t="n">
        <f aca="false">SUM(B2:B7)</f>
        <v>900</v>
      </c>
      <c r="C8" s="3" t="s">
        <v>36</v>
      </c>
    </row>
    <row r="9" customFormat="false" ht="15" hidden="false" customHeight="false" outlineLevel="0" collapsed="false">
      <c r="A9" s="4" t="s">
        <v>37</v>
      </c>
      <c r="B9" s="6" t="n">
        <v>4500</v>
      </c>
      <c r="C9" s="3" t="s">
        <v>38</v>
      </c>
    </row>
    <row r="10" customFormat="false" ht="15" hidden="false" customHeight="false" outlineLevel="0" collapsed="false">
      <c r="A10" s="4" t="s">
        <v>39</v>
      </c>
      <c r="B10" s="8" t="n">
        <v>0</v>
      </c>
      <c r="C10" s="3" t="s">
        <v>40</v>
      </c>
    </row>
    <row r="11" customFormat="false" ht="15" hidden="false" customHeight="false" outlineLevel="0" collapsed="false">
      <c r="A11" s="4" t="s">
        <v>41</v>
      </c>
      <c r="B11" s="9" t="n">
        <v>48</v>
      </c>
      <c r="C11" s="3" t="s">
        <v>42</v>
      </c>
    </row>
    <row r="12" customFormat="false" ht="15" hidden="false" customHeight="false" outlineLevel="0" collapsed="false">
      <c r="A12" s="4" t="s">
        <v>43</v>
      </c>
      <c r="B12" s="10" t="n">
        <v>40</v>
      </c>
      <c r="C12" s="3" t="s">
        <v>44</v>
      </c>
    </row>
    <row r="13" customFormat="false" ht="15" hidden="false" customHeight="false" outlineLevel="0" collapsed="false">
      <c r="A13" s="4" t="s">
        <v>45</v>
      </c>
      <c r="B13" s="11" t="n">
        <v>70</v>
      </c>
      <c r="C13" s="3" t="s">
        <v>46</v>
      </c>
    </row>
    <row r="14" customFormat="false" ht="15" hidden="false" customHeight="false" outlineLevel="0" collapsed="false">
      <c r="A14" s="4" t="s">
        <v>47</v>
      </c>
      <c r="B14" s="6" t="n">
        <v>90</v>
      </c>
      <c r="C14" s="3" t="s">
        <v>48</v>
      </c>
    </row>
    <row r="15" customFormat="false" ht="15" hidden="false" customHeight="false" outlineLevel="0" collapsed="false">
      <c r="A15" s="4" t="s">
        <v>49</v>
      </c>
      <c r="B15" s="11" t="n">
        <v>15</v>
      </c>
      <c r="C15" s="3" t="s">
        <v>50</v>
      </c>
    </row>
    <row r="16" customFormat="false" ht="15" hidden="false" customHeight="false" outlineLevel="0" collapsed="false">
      <c r="A16" s="4" t="s">
        <v>51</v>
      </c>
      <c r="B16" s="12" t="n">
        <v>5</v>
      </c>
      <c r="C16" s="3" t="s">
        <v>52</v>
      </c>
    </row>
    <row r="17" customFormat="false" ht="15" hidden="false" customHeight="false" outlineLevel="0" collapsed="false">
      <c r="A17" s="4" t="s">
        <v>53</v>
      </c>
      <c r="B17" s="6" t="n">
        <v>1.5</v>
      </c>
      <c r="C17" s="3" t="s">
        <v>54</v>
      </c>
    </row>
    <row r="18" customFormat="false" ht="15" hidden="false" customHeight="false" outlineLevel="0" collapsed="false">
      <c r="A18" s="4" t="s">
        <v>55</v>
      </c>
      <c r="B18" s="6" t="n">
        <v>25</v>
      </c>
      <c r="C18" s="3" t="s">
        <v>56</v>
      </c>
    </row>
    <row r="19" customFormat="false" ht="15" hidden="false" customHeight="false" outlineLevel="0" collapsed="false">
      <c r="A19" s="5" t="s">
        <v>57</v>
      </c>
      <c r="B19" s="13" t="n">
        <f aca="false">ROUND(B12*B13/100*B11/12,2)</f>
        <v>112</v>
      </c>
      <c r="C19" s="3" t="s">
        <v>58</v>
      </c>
    </row>
    <row r="20" customFormat="false" ht="15" hidden="false" customHeight="false" outlineLevel="0" collapsed="false">
      <c r="A20" s="5" t="s">
        <v>59</v>
      </c>
      <c r="B20" s="7" t="n">
        <f aca="false">IFERROR(ROUND((B8+B9+B10)/B19,2),0)</f>
        <v>48.21</v>
      </c>
      <c r="C20" s="3" t="s">
        <v>60</v>
      </c>
    </row>
    <row r="21" customFormat="false" ht="15" hidden="false" customHeight="false" outlineLevel="0" collapsed="false">
      <c r="A21" s="5" t="s">
        <v>61</v>
      </c>
      <c r="B21" s="7" t="n">
        <f aca="false">B14</f>
        <v>90</v>
      </c>
      <c r="C21" s="3" t="s">
        <v>62</v>
      </c>
    </row>
    <row r="22" customFormat="false" ht="15" hidden="false" customHeight="false" outlineLevel="0" collapsed="false">
      <c r="A22" s="4" t="s">
        <v>63</v>
      </c>
      <c r="B22" s="14" t="n">
        <f aca="false">ROUND(B21/60,4)</f>
        <v>1.5</v>
      </c>
      <c r="C22" s="3"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3" min="2" style="1" width="13"/>
    <col collapsed="false" customWidth="true" hidden="false" outlineLevel="0" max="4" min="4" style="1" width="12"/>
    <col collapsed="false" customWidth="true" hidden="false" outlineLevel="0" max="5" min="5" style="1" width="11"/>
    <col collapsed="false" customWidth="true" hidden="false" outlineLevel="0" max="6" min="6" style="1" width="12"/>
    <col collapsed="false" customWidth="true" hidden="false" outlineLevel="0" max="7" min="7" style="1" width="10"/>
    <col collapsed="false" customWidth="true" hidden="false" outlineLevel="0" max="9" min="8" style="1" width="12"/>
    <col collapsed="false" customWidth="true" hidden="false" outlineLevel="0" max="10" min="10" style="1" width="11"/>
    <col collapsed="false" customWidth="true" hidden="false" outlineLevel="0" max="11" min="11" style="1" width="12"/>
    <col collapsed="false" customWidth="true" hidden="false" outlineLevel="0" max="13" min="12" style="1" width="13"/>
    <col collapsed="false" customWidth="true" hidden="false" outlineLevel="0" max="15" min="14" style="1" width="14"/>
    <col collapsed="false" customWidth="true" hidden="false" outlineLevel="0" max="16" min="16" style="1" width="13"/>
  </cols>
  <sheetData>
    <row r="1" customFormat="false" ht="17.35" hidden="false" customHeight="false" outlineLevel="0" collapsed="false">
      <c r="A1" s="2" t="s">
        <v>65</v>
      </c>
    </row>
    <row r="2" customFormat="false" ht="15" hidden="false" customHeight="false" outlineLevel="0" collapsed="false">
      <c r="A2" s="3" t="s">
        <v>66</v>
      </c>
    </row>
    <row r="4" customFormat="false" ht="52.2" hidden="false" customHeight="false" outlineLevel="0" collapsed="false">
      <c r="A4" s="15" t="s">
        <v>67</v>
      </c>
      <c r="B4" s="15" t="s">
        <v>68</v>
      </c>
      <c r="C4" s="15" t="s">
        <v>69</v>
      </c>
      <c r="D4" s="15" t="s">
        <v>70</v>
      </c>
      <c r="E4" s="15" t="s">
        <v>71</v>
      </c>
      <c r="F4" s="15" t="s">
        <v>72</v>
      </c>
      <c r="G4" s="15" t="s">
        <v>73</v>
      </c>
      <c r="H4" s="15" t="s">
        <v>74</v>
      </c>
      <c r="I4" s="15" t="s">
        <v>75</v>
      </c>
      <c r="J4" s="15" t="s">
        <v>76</v>
      </c>
      <c r="K4" s="15" t="s">
        <v>77</v>
      </c>
      <c r="L4" s="15" t="s">
        <v>78</v>
      </c>
      <c r="M4" s="15" t="s">
        <v>79</v>
      </c>
      <c r="N4" s="15" t="s">
        <v>80</v>
      </c>
      <c r="O4" s="15" t="s">
        <v>81</v>
      </c>
      <c r="P4" s="15" t="s">
        <v>82</v>
      </c>
    </row>
    <row r="5" customFormat="false" ht="15" hidden="false" customHeight="false" outlineLevel="0" collapsed="false">
      <c r="A5" s="16" t="s">
        <v>83</v>
      </c>
      <c r="B5" s="16" t="s">
        <v>84</v>
      </c>
      <c r="C5" s="9" t="n">
        <v>180</v>
      </c>
      <c r="D5" s="17" t="n">
        <v>3</v>
      </c>
      <c r="E5" s="8" t="n">
        <v>50</v>
      </c>
      <c r="F5" s="10" t="n">
        <v>7</v>
      </c>
      <c r="G5" s="8" t="n">
        <v>250</v>
      </c>
      <c r="H5" s="6" t="n">
        <v>550</v>
      </c>
      <c r="I5" s="18" t="n">
        <f aca="false">IF(A5="","",ROUND(C5*Settings!$B$17,2))</f>
        <v>270</v>
      </c>
      <c r="J5" s="18" t="n">
        <f aca="false">IF(A5="","",ROUND(D5*Settings!$B$18,2))</f>
        <v>75</v>
      </c>
      <c r="K5" s="18" t="n">
        <f aca="false">IF(A5="","",G5+I5+J5+E5)</f>
        <v>645</v>
      </c>
      <c r="L5" s="18" t="n">
        <f aca="false">IF(A5="","",ROUND(F5*Settings!$B$21*(1+Settings!$B$15/100)*(1-Settings!$B$16/100),2))</f>
        <v>688.28</v>
      </c>
      <c r="M5" s="18" t="n">
        <f aca="false">IF(A5="","",MAX(K5,L5))</f>
        <v>688.28</v>
      </c>
      <c r="N5" s="18" t="n">
        <f aca="false">IF(A5="","",H5-M5)</f>
        <v>-138.28</v>
      </c>
      <c r="O5" s="18" t="n">
        <f aca="false">IF(A5="","",IFERROR(ROUND(H5/F5,2),0))</f>
        <v>78.57</v>
      </c>
      <c r="P5" s="18" t="n">
        <f aca="false">IF(A5="","",ROUND(H5*12,2))</f>
        <v>6600</v>
      </c>
    </row>
    <row r="6" customFormat="false" ht="15" hidden="false" customHeight="false" outlineLevel="0" collapsed="false">
      <c r="A6" s="16" t="s">
        <v>85</v>
      </c>
      <c r="B6" s="16" t="s">
        <v>86</v>
      </c>
      <c r="C6" s="9" t="n">
        <v>40</v>
      </c>
      <c r="D6" s="17" t="n">
        <v>1</v>
      </c>
      <c r="E6" s="8" t="n">
        <v>0</v>
      </c>
      <c r="F6" s="10" t="n">
        <v>2.5</v>
      </c>
      <c r="G6" s="8" t="n">
        <v>150</v>
      </c>
      <c r="H6" s="6" t="n">
        <v>220</v>
      </c>
      <c r="I6" s="18" t="n">
        <f aca="false">IF(A6="","",ROUND(C6*Settings!$B$17,2))</f>
        <v>60</v>
      </c>
      <c r="J6" s="18" t="n">
        <f aca="false">IF(A6="","",ROUND(D6*Settings!$B$18,2))</f>
        <v>25</v>
      </c>
      <c r="K6" s="18" t="n">
        <f aca="false">IF(A6="","",G6+I6+J6+E6)</f>
        <v>235</v>
      </c>
      <c r="L6" s="18" t="n">
        <f aca="false">IF(A6="","",ROUND(F6*Settings!$B$21*(1+Settings!$B$15/100)*(1-Settings!$B$16/100),2))</f>
        <v>245.81</v>
      </c>
      <c r="M6" s="18" t="n">
        <f aca="false">IF(A6="","",MAX(K6,L6))</f>
        <v>245.81</v>
      </c>
      <c r="N6" s="18" t="n">
        <f aca="false">IF(A6="","",H6-M6)</f>
        <v>-25.81</v>
      </c>
      <c r="O6" s="18" t="n">
        <f aca="false">IF(A6="","",IFERROR(ROUND(H6/F6,2),0))</f>
        <v>88</v>
      </c>
      <c r="P6" s="18" t="n">
        <f aca="false">IF(A6="","",ROUND(H6*12,2))</f>
        <v>2640</v>
      </c>
    </row>
    <row r="7" customFormat="false" ht="15" hidden="false" customHeight="false" outlineLevel="0" collapsed="false">
      <c r="A7" s="16" t="s">
        <v>87</v>
      </c>
      <c r="B7" s="16" t="s">
        <v>88</v>
      </c>
      <c r="C7" s="9" t="n">
        <v>260</v>
      </c>
      <c r="D7" s="17" t="n">
        <v>4</v>
      </c>
      <c r="E7" s="8" t="n">
        <v>120</v>
      </c>
      <c r="F7" s="10" t="n">
        <v>9</v>
      </c>
      <c r="G7" s="8" t="n">
        <v>300</v>
      </c>
      <c r="H7" s="6" t="n">
        <v>950</v>
      </c>
      <c r="I7" s="18" t="n">
        <f aca="false">IF(A7="","",ROUND(C7*Settings!$B$17,2))</f>
        <v>390</v>
      </c>
      <c r="J7" s="18" t="n">
        <f aca="false">IF(A7="","",ROUND(D7*Settings!$B$18,2))</f>
        <v>100</v>
      </c>
      <c r="K7" s="18" t="n">
        <f aca="false">IF(A7="","",G7+I7+J7+E7)</f>
        <v>910</v>
      </c>
      <c r="L7" s="18" t="n">
        <f aca="false">IF(A7="","",ROUND(F7*Settings!$B$21*(1+Settings!$B$15/100)*(1-Settings!$B$16/100),2))</f>
        <v>884.93</v>
      </c>
      <c r="M7" s="18" t="n">
        <f aca="false">IF(A7="","",MAX(K7,L7))</f>
        <v>910</v>
      </c>
      <c r="N7" s="18" t="n">
        <f aca="false">IF(A7="","",H7-M7)</f>
        <v>40</v>
      </c>
      <c r="O7" s="18" t="n">
        <f aca="false">IF(A7="","",IFERROR(ROUND(H7/F7,2),0))</f>
        <v>105.56</v>
      </c>
      <c r="P7" s="18" t="n">
        <f aca="false">IF(A7="","",ROUND(H7*12,2))</f>
        <v>11400</v>
      </c>
    </row>
    <row r="8" customFormat="false" ht="15" hidden="false" customHeight="false" outlineLevel="0" collapsed="false">
      <c r="A8" s="16" t="s">
        <v>89</v>
      </c>
      <c r="B8" s="16" t="s">
        <v>90</v>
      </c>
      <c r="C8" s="9" t="n">
        <v>90</v>
      </c>
      <c r="D8" s="17" t="n">
        <v>2</v>
      </c>
      <c r="E8" s="8" t="n">
        <v>40</v>
      </c>
      <c r="F8" s="10" t="n">
        <v>4</v>
      </c>
      <c r="G8" s="8" t="n">
        <v>200</v>
      </c>
      <c r="H8" s="6" t="n">
        <v>380</v>
      </c>
      <c r="I8" s="18" t="n">
        <f aca="false">IF(A8="","",ROUND(C8*Settings!$B$17,2))</f>
        <v>135</v>
      </c>
      <c r="J8" s="18" t="n">
        <f aca="false">IF(A8="","",ROUND(D8*Settings!$B$18,2))</f>
        <v>50</v>
      </c>
      <c r="K8" s="18" t="n">
        <f aca="false">IF(A8="","",G8+I8+J8+E8)</f>
        <v>425</v>
      </c>
      <c r="L8" s="18" t="n">
        <f aca="false">IF(A8="","",ROUND(F8*Settings!$B$21*(1+Settings!$B$15/100)*(1-Settings!$B$16/100),2))</f>
        <v>393.3</v>
      </c>
      <c r="M8" s="18" t="n">
        <f aca="false">IF(A8="","",MAX(K8,L8))</f>
        <v>425</v>
      </c>
      <c r="N8" s="18" t="n">
        <f aca="false">IF(A8="","",H8-M8)</f>
        <v>-45</v>
      </c>
      <c r="O8" s="18" t="n">
        <f aca="false">IF(A8="","",IFERROR(ROUND(H8/F8,2),0))</f>
        <v>95</v>
      </c>
      <c r="P8" s="18" t="n">
        <f aca="false">IF(A8="","",ROUND(H8*12,2))</f>
        <v>4560</v>
      </c>
    </row>
    <row r="9" customFormat="false" ht="15" hidden="false" customHeight="false" outlineLevel="0" collapsed="false">
      <c r="A9" s="16" t="s">
        <v>91</v>
      </c>
      <c r="B9" s="16" t="s">
        <v>84</v>
      </c>
      <c r="C9" s="9" t="n">
        <v>320</v>
      </c>
      <c r="D9" s="17" t="n">
        <v>5</v>
      </c>
      <c r="E9" s="8" t="n">
        <v>150</v>
      </c>
      <c r="F9" s="10" t="n">
        <v>12</v>
      </c>
      <c r="G9" s="8" t="n">
        <v>350</v>
      </c>
      <c r="H9" s="6" t="n">
        <v>600</v>
      </c>
      <c r="I9" s="18" t="n">
        <f aca="false">IF(A9="","",ROUND(C9*Settings!$B$17,2))</f>
        <v>480</v>
      </c>
      <c r="J9" s="18" t="n">
        <f aca="false">IF(A9="","",ROUND(D9*Settings!$B$18,2))</f>
        <v>125</v>
      </c>
      <c r="K9" s="18" t="n">
        <f aca="false">IF(A9="","",G9+I9+J9+E9)</f>
        <v>1105</v>
      </c>
      <c r="L9" s="18" t="n">
        <f aca="false">IF(A9="","",ROUND(F9*Settings!$B$21*(1+Settings!$B$15/100)*(1-Settings!$B$16/100),2))</f>
        <v>1179.9</v>
      </c>
      <c r="M9" s="18" t="n">
        <f aca="false">IF(A9="","",MAX(K9,L9))</f>
        <v>1179.9</v>
      </c>
      <c r="N9" s="18" t="n">
        <f aca="false">IF(A9="","",H9-M9)</f>
        <v>-579.9</v>
      </c>
      <c r="O9" s="18" t="n">
        <f aca="false">IF(A9="","",IFERROR(ROUND(H9/F9,2),0))</f>
        <v>50</v>
      </c>
      <c r="P9" s="18" t="n">
        <f aca="false">IF(A9="","",ROUND(H9*12,2))</f>
        <v>7200</v>
      </c>
    </row>
    <row r="10" customFormat="false" ht="15" hidden="false" customHeight="false" outlineLevel="0" collapsed="false">
      <c r="A10" s="16" t="s">
        <v>92</v>
      </c>
      <c r="B10" s="16" t="s">
        <v>86</v>
      </c>
      <c r="C10" s="9" t="n">
        <v>60</v>
      </c>
      <c r="D10" s="17" t="n">
        <v>2</v>
      </c>
      <c r="E10" s="8" t="n">
        <v>0</v>
      </c>
      <c r="F10" s="10" t="n">
        <v>3</v>
      </c>
      <c r="G10" s="8" t="n">
        <v>150</v>
      </c>
      <c r="H10" s="6" t="n">
        <v>340</v>
      </c>
      <c r="I10" s="18" t="n">
        <f aca="false">IF(A10="","",ROUND(C10*Settings!$B$17,2))</f>
        <v>90</v>
      </c>
      <c r="J10" s="18" t="n">
        <f aca="false">IF(A10="","",ROUND(D10*Settings!$B$18,2))</f>
        <v>50</v>
      </c>
      <c r="K10" s="18" t="n">
        <f aca="false">IF(A10="","",G10+I10+J10+E10)</f>
        <v>290</v>
      </c>
      <c r="L10" s="18" t="n">
        <f aca="false">IF(A10="","",ROUND(F10*Settings!$B$21*(1+Settings!$B$15/100)*(1-Settings!$B$16/100),2))</f>
        <v>294.98</v>
      </c>
      <c r="M10" s="18" t="n">
        <f aca="false">IF(A10="","",MAX(K10,L10))</f>
        <v>294.98</v>
      </c>
      <c r="N10" s="18" t="n">
        <f aca="false">IF(A10="","",H10-M10)</f>
        <v>45.02</v>
      </c>
      <c r="O10" s="18" t="n">
        <f aca="false">IF(A10="","",IFERROR(ROUND(H10/F10,2),0))</f>
        <v>113.33</v>
      </c>
      <c r="P10" s="18" t="n">
        <f aca="false">IF(A10="","",ROUND(H10*12,2))</f>
        <v>4080</v>
      </c>
    </row>
    <row r="11" customFormat="false" ht="15" hidden="false" customHeight="false" outlineLevel="0" collapsed="false">
      <c r="A11" s="16" t="s">
        <v>93</v>
      </c>
      <c r="B11" s="16" t="s">
        <v>88</v>
      </c>
      <c r="C11" s="9" t="n">
        <v>120</v>
      </c>
      <c r="D11" s="17" t="n">
        <v>2</v>
      </c>
      <c r="E11" s="8" t="n">
        <v>30</v>
      </c>
      <c r="F11" s="10" t="n">
        <v>5</v>
      </c>
      <c r="G11" s="8" t="n">
        <v>250</v>
      </c>
      <c r="H11" s="6" t="n">
        <v>520</v>
      </c>
      <c r="I11" s="18" t="n">
        <f aca="false">IF(A11="","",ROUND(C11*Settings!$B$17,2))</f>
        <v>180</v>
      </c>
      <c r="J11" s="18" t="n">
        <f aca="false">IF(A11="","",ROUND(D11*Settings!$B$18,2))</f>
        <v>50</v>
      </c>
      <c r="K11" s="18" t="n">
        <f aca="false">IF(A11="","",G11+I11+J11+E11)</f>
        <v>510</v>
      </c>
      <c r="L11" s="18" t="n">
        <f aca="false">IF(A11="","",ROUND(F11*Settings!$B$21*(1+Settings!$B$15/100)*(1-Settings!$B$16/100),2))</f>
        <v>491.63</v>
      </c>
      <c r="M11" s="18" t="n">
        <f aca="false">IF(A11="","",MAX(K11,L11))</f>
        <v>510</v>
      </c>
      <c r="N11" s="18" t="n">
        <f aca="false">IF(A11="","",H11-M11)</f>
        <v>10</v>
      </c>
      <c r="O11" s="18" t="n">
        <f aca="false">IF(A11="","",IFERROR(ROUND(H11/F11,2),0))</f>
        <v>104</v>
      </c>
      <c r="P11" s="18" t="n">
        <f aca="false">IF(A11="","",ROUND(H11*12,2))</f>
        <v>6240</v>
      </c>
    </row>
    <row r="12" customFormat="false" ht="15" hidden="false" customHeight="false" outlineLevel="0" collapsed="false">
      <c r="A12" s="16" t="s">
        <v>94</v>
      </c>
      <c r="B12" s="16" t="s">
        <v>95</v>
      </c>
      <c r="C12" s="9" t="n">
        <v>25</v>
      </c>
      <c r="D12" s="17" t="n">
        <v>2</v>
      </c>
      <c r="E12" s="8" t="n">
        <v>0</v>
      </c>
      <c r="F12" s="10" t="n">
        <v>1.5</v>
      </c>
      <c r="G12" s="8" t="n">
        <v>150</v>
      </c>
      <c r="H12" s="6" t="n">
        <v>260</v>
      </c>
      <c r="I12" s="18" t="n">
        <f aca="false">IF(A12="","",ROUND(C12*Settings!$B$17,2))</f>
        <v>37.5</v>
      </c>
      <c r="J12" s="18" t="n">
        <f aca="false">IF(A12="","",ROUND(D12*Settings!$B$18,2))</f>
        <v>50</v>
      </c>
      <c r="K12" s="18" t="n">
        <f aca="false">IF(A12="","",G12+I12+J12+E12)</f>
        <v>237.5</v>
      </c>
      <c r="L12" s="18" t="n">
        <f aca="false">IF(A12="","",ROUND(F12*Settings!$B$21*(1+Settings!$B$15/100)*(1-Settings!$B$16/100),2))</f>
        <v>147.49</v>
      </c>
      <c r="M12" s="18" t="n">
        <f aca="false">IF(A12="","",MAX(K12,L12))</f>
        <v>237.5</v>
      </c>
      <c r="N12" s="18" t="n">
        <f aca="false">IF(A12="","",H12-M12)</f>
        <v>22.5</v>
      </c>
      <c r="O12" s="18" t="n">
        <f aca="false">IF(A12="","",IFERROR(ROUND(H12/F12,2),0))</f>
        <v>173.33</v>
      </c>
      <c r="P12" s="18" t="n">
        <f aca="false">IF(A12="","",ROUND(H12*12,2))</f>
        <v>3120</v>
      </c>
    </row>
    <row r="13" customFormat="false" ht="15" hidden="false" customHeight="false" outlineLevel="0" collapsed="false">
      <c r="A13" s="16"/>
      <c r="B13" s="16"/>
      <c r="C13" s="17"/>
      <c r="D13" s="17"/>
      <c r="E13" s="8"/>
      <c r="F13" s="19"/>
      <c r="G13" s="8"/>
      <c r="H13" s="8"/>
      <c r="I13" s="18" t="str">
        <f aca="false">IF(A13="","",ROUND(C13*Settings!$B$17,2))</f>
        <v/>
      </c>
      <c r="J13" s="18" t="str">
        <f aca="false">IF(A13="","",ROUND(D13*Settings!$B$18,2))</f>
        <v/>
      </c>
      <c r="K13" s="18" t="str">
        <f aca="false">IF(A13="","",G13+I13+J13+E13)</f>
        <v/>
      </c>
      <c r="L13" s="18" t="str">
        <f aca="false">IF(A13="","",ROUND(F13*Settings!$B$21*(1+Settings!$B$15/100)*(1-Settings!$B$16/100),2))</f>
        <v/>
      </c>
      <c r="M13" s="18" t="str">
        <f aca="false">IF(A13="","",MAX(K13,L13))</f>
        <v/>
      </c>
      <c r="N13" s="18" t="str">
        <f aca="false">IF(A13="","",H13-M13)</f>
        <v/>
      </c>
      <c r="O13" s="18" t="str">
        <f aca="false">IF(A13="","",IFERROR(ROUND(H13/F13,2),0))</f>
        <v/>
      </c>
      <c r="P13" s="18" t="str">
        <f aca="false">IF(A13="","",ROUND(H13*12,2))</f>
        <v/>
      </c>
    </row>
    <row r="14" customFormat="false" ht="15" hidden="false" customHeight="false" outlineLevel="0" collapsed="false">
      <c r="A14" s="16"/>
      <c r="B14" s="16"/>
      <c r="C14" s="17"/>
      <c r="D14" s="17"/>
      <c r="E14" s="8"/>
      <c r="F14" s="19"/>
      <c r="G14" s="8"/>
      <c r="H14" s="8"/>
      <c r="I14" s="18" t="str">
        <f aca="false">IF(A14="","",ROUND(C14*Settings!$B$17,2))</f>
        <v/>
      </c>
      <c r="J14" s="18" t="str">
        <f aca="false">IF(A14="","",ROUND(D14*Settings!$B$18,2))</f>
        <v/>
      </c>
      <c r="K14" s="18" t="str">
        <f aca="false">IF(A14="","",G14+I14+J14+E14)</f>
        <v/>
      </c>
      <c r="L14" s="18" t="str">
        <f aca="false">IF(A14="","",ROUND(F14*Settings!$B$21*(1+Settings!$B$15/100)*(1-Settings!$B$16/100),2))</f>
        <v/>
      </c>
      <c r="M14" s="18" t="str">
        <f aca="false">IF(A14="","",MAX(K14,L14))</f>
        <v/>
      </c>
      <c r="N14" s="18" t="str">
        <f aca="false">IF(A14="","",H14-M14)</f>
        <v/>
      </c>
      <c r="O14" s="18" t="str">
        <f aca="false">IF(A14="","",IFERROR(ROUND(H14/F14,2),0))</f>
        <v/>
      </c>
      <c r="P14" s="18" t="str">
        <f aca="false">IF(A14="","",ROUND(H14*12,2))</f>
        <v/>
      </c>
    </row>
    <row r="15" customFormat="false" ht="15" hidden="false" customHeight="false" outlineLevel="0" collapsed="false">
      <c r="A15" s="16"/>
      <c r="B15" s="16"/>
      <c r="C15" s="17"/>
      <c r="D15" s="17"/>
      <c r="E15" s="8"/>
      <c r="F15" s="19"/>
      <c r="G15" s="8"/>
      <c r="H15" s="8"/>
      <c r="I15" s="18" t="str">
        <f aca="false">IF(A15="","",ROUND(C15*Settings!$B$17,2))</f>
        <v/>
      </c>
      <c r="J15" s="18" t="str">
        <f aca="false">IF(A15="","",ROUND(D15*Settings!$B$18,2))</f>
        <v/>
      </c>
      <c r="K15" s="18" t="str">
        <f aca="false">IF(A15="","",G15+I15+J15+E15)</f>
        <v/>
      </c>
      <c r="L15" s="18" t="str">
        <f aca="false">IF(A15="","",ROUND(F15*Settings!$B$21*(1+Settings!$B$15/100)*(1-Settings!$B$16/100),2))</f>
        <v/>
      </c>
      <c r="M15" s="18" t="str">
        <f aca="false">IF(A15="","",MAX(K15,L15))</f>
        <v/>
      </c>
      <c r="N15" s="18" t="str">
        <f aca="false">IF(A15="","",H15-M15)</f>
        <v/>
      </c>
      <c r="O15" s="18" t="str">
        <f aca="false">IF(A15="","",IFERROR(ROUND(H15/F15,2),0))</f>
        <v/>
      </c>
      <c r="P15" s="18" t="str">
        <f aca="false">IF(A15="","",ROUND(H15*12,2))</f>
        <v/>
      </c>
    </row>
    <row r="16" customFormat="false" ht="15" hidden="false" customHeight="false" outlineLevel="0" collapsed="false">
      <c r="A16" s="16"/>
      <c r="B16" s="16"/>
      <c r="C16" s="17"/>
      <c r="D16" s="17"/>
      <c r="E16" s="8"/>
      <c r="F16" s="19"/>
      <c r="G16" s="8"/>
      <c r="H16" s="8"/>
      <c r="I16" s="18" t="str">
        <f aca="false">IF(A16="","",ROUND(C16*Settings!$B$17,2))</f>
        <v/>
      </c>
      <c r="J16" s="18" t="str">
        <f aca="false">IF(A16="","",ROUND(D16*Settings!$B$18,2))</f>
        <v/>
      </c>
      <c r="K16" s="18" t="str">
        <f aca="false">IF(A16="","",G16+I16+J16+E16)</f>
        <v/>
      </c>
      <c r="L16" s="18" t="str">
        <f aca="false">IF(A16="","",ROUND(F16*Settings!$B$21*(1+Settings!$B$15/100)*(1-Settings!$B$16/100),2))</f>
        <v/>
      </c>
      <c r="M16" s="18" t="str">
        <f aca="false">IF(A16="","",MAX(K16,L16))</f>
        <v/>
      </c>
      <c r="N16" s="18" t="str">
        <f aca="false">IF(A16="","",H16-M16)</f>
        <v/>
      </c>
      <c r="O16" s="18" t="str">
        <f aca="false">IF(A16="","",IFERROR(ROUND(H16/F16,2),0))</f>
        <v/>
      </c>
      <c r="P16" s="18" t="str">
        <f aca="false">IF(A16="","",ROUND(H16*12,2))</f>
        <v/>
      </c>
    </row>
    <row r="17" customFormat="false" ht="15" hidden="false" customHeight="false" outlineLevel="0" collapsed="false">
      <c r="A17" s="16"/>
      <c r="B17" s="16"/>
      <c r="C17" s="17"/>
      <c r="D17" s="17"/>
      <c r="E17" s="8"/>
      <c r="F17" s="19"/>
      <c r="G17" s="8"/>
      <c r="H17" s="8"/>
      <c r="I17" s="18" t="str">
        <f aca="false">IF(A17="","",ROUND(C17*Settings!$B$17,2))</f>
        <v/>
      </c>
      <c r="J17" s="18" t="str">
        <f aca="false">IF(A17="","",ROUND(D17*Settings!$B$18,2))</f>
        <v/>
      </c>
      <c r="K17" s="18" t="str">
        <f aca="false">IF(A17="","",G17+I17+J17+E17)</f>
        <v/>
      </c>
      <c r="L17" s="18" t="str">
        <f aca="false">IF(A17="","",ROUND(F17*Settings!$B$21*(1+Settings!$B$15/100)*(1-Settings!$B$16/100),2))</f>
        <v/>
      </c>
      <c r="M17" s="18" t="str">
        <f aca="false">IF(A17="","",MAX(K17,L17))</f>
        <v/>
      </c>
      <c r="N17" s="18" t="str">
        <f aca="false">IF(A17="","",H17-M17)</f>
        <v/>
      </c>
      <c r="O17" s="18" t="str">
        <f aca="false">IF(A17="","",IFERROR(ROUND(H17/F17,2),0))</f>
        <v/>
      </c>
      <c r="P17" s="18" t="str">
        <f aca="false">IF(A17="","",ROUND(H17*12,2))</f>
        <v/>
      </c>
    </row>
    <row r="18" customFormat="false" ht="15" hidden="false" customHeight="false" outlineLevel="0" collapsed="false">
      <c r="A18" s="16"/>
      <c r="B18" s="16"/>
      <c r="C18" s="17"/>
      <c r="D18" s="17"/>
      <c r="E18" s="8"/>
      <c r="F18" s="19"/>
      <c r="G18" s="8"/>
      <c r="H18" s="8"/>
      <c r="I18" s="18" t="str">
        <f aca="false">IF(A18="","",ROUND(C18*Settings!$B$17,2))</f>
        <v/>
      </c>
      <c r="J18" s="18" t="str">
        <f aca="false">IF(A18="","",ROUND(D18*Settings!$B$18,2))</f>
        <v/>
      </c>
      <c r="K18" s="18" t="str">
        <f aca="false">IF(A18="","",G18+I18+J18+E18)</f>
        <v/>
      </c>
      <c r="L18" s="18" t="str">
        <f aca="false">IF(A18="","",ROUND(F18*Settings!$B$21*(1+Settings!$B$15/100)*(1-Settings!$B$16/100),2))</f>
        <v/>
      </c>
      <c r="M18" s="18" t="str">
        <f aca="false">IF(A18="","",MAX(K18,L18))</f>
        <v/>
      </c>
      <c r="N18" s="18" t="str">
        <f aca="false">IF(A18="","",H18-M18)</f>
        <v/>
      </c>
      <c r="O18" s="18" t="str">
        <f aca="false">IF(A18="","",IFERROR(ROUND(H18/F18,2),0))</f>
        <v/>
      </c>
      <c r="P18" s="18" t="str">
        <f aca="false">IF(A18="","",ROUND(H18*12,2))</f>
        <v/>
      </c>
    </row>
    <row r="19" customFormat="false" ht="15" hidden="false" customHeight="false" outlineLevel="0" collapsed="false">
      <c r="A19" s="16"/>
      <c r="B19" s="16"/>
      <c r="C19" s="17"/>
      <c r="D19" s="17"/>
      <c r="E19" s="8"/>
      <c r="F19" s="19"/>
      <c r="G19" s="8"/>
      <c r="H19" s="8"/>
      <c r="I19" s="18" t="str">
        <f aca="false">IF(A19="","",ROUND(C19*Settings!$B$17,2))</f>
        <v/>
      </c>
      <c r="J19" s="18" t="str">
        <f aca="false">IF(A19="","",ROUND(D19*Settings!$B$18,2))</f>
        <v/>
      </c>
      <c r="K19" s="18" t="str">
        <f aca="false">IF(A19="","",G19+I19+J19+E19)</f>
        <v/>
      </c>
      <c r="L19" s="18" t="str">
        <f aca="false">IF(A19="","",ROUND(F19*Settings!$B$21*(1+Settings!$B$15/100)*(1-Settings!$B$16/100),2))</f>
        <v/>
      </c>
      <c r="M19" s="18" t="str">
        <f aca="false">IF(A19="","",MAX(K19,L19))</f>
        <v/>
      </c>
      <c r="N19" s="18" t="str">
        <f aca="false">IF(A19="","",H19-M19)</f>
        <v/>
      </c>
      <c r="O19" s="18" t="str">
        <f aca="false">IF(A19="","",IFERROR(ROUND(H19/F19,2),0))</f>
        <v/>
      </c>
      <c r="P19" s="18" t="str">
        <f aca="false">IF(A19="","",ROUND(H19*12,2))</f>
        <v/>
      </c>
    </row>
    <row r="20" customFormat="false" ht="15" hidden="false" customHeight="false" outlineLevel="0" collapsed="false">
      <c r="A20" s="16"/>
      <c r="B20" s="16"/>
      <c r="C20" s="17"/>
      <c r="D20" s="17"/>
      <c r="E20" s="8"/>
      <c r="F20" s="19"/>
      <c r="G20" s="8"/>
      <c r="H20" s="8"/>
      <c r="I20" s="18" t="str">
        <f aca="false">IF(A20="","",ROUND(C20*Settings!$B$17,2))</f>
        <v/>
      </c>
      <c r="J20" s="18" t="str">
        <f aca="false">IF(A20="","",ROUND(D20*Settings!$B$18,2))</f>
        <v/>
      </c>
      <c r="K20" s="18" t="str">
        <f aca="false">IF(A20="","",G20+I20+J20+E20)</f>
        <v/>
      </c>
      <c r="L20" s="18" t="str">
        <f aca="false">IF(A20="","",ROUND(F20*Settings!$B$21*(1+Settings!$B$15/100)*(1-Settings!$B$16/100),2))</f>
        <v/>
      </c>
      <c r="M20" s="18" t="str">
        <f aca="false">IF(A20="","",MAX(K20,L20))</f>
        <v/>
      </c>
      <c r="N20" s="18" t="str">
        <f aca="false">IF(A20="","",H20-M20)</f>
        <v/>
      </c>
      <c r="O20" s="18" t="str">
        <f aca="false">IF(A20="","",IFERROR(ROUND(H20/F20,2),0))</f>
        <v/>
      </c>
      <c r="P20" s="18" t="str">
        <f aca="false">IF(A20="","",ROUND(H20*12,2))</f>
        <v/>
      </c>
    </row>
    <row r="21" customFormat="false" ht="15" hidden="false" customHeight="false" outlineLevel="0" collapsed="false">
      <c r="A21" s="16"/>
      <c r="B21" s="16"/>
      <c r="C21" s="17"/>
      <c r="D21" s="17"/>
      <c r="E21" s="8"/>
      <c r="F21" s="19"/>
      <c r="G21" s="8"/>
      <c r="H21" s="8"/>
      <c r="I21" s="18" t="str">
        <f aca="false">IF(A21="","",ROUND(C21*Settings!$B$17,2))</f>
        <v/>
      </c>
      <c r="J21" s="18" t="str">
        <f aca="false">IF(A21="","",ROUND(D21*Settings!$B$18,2))</f>
        <v/>
      </c>
      <c r="K21" s="18" t="str">
        <f aca="false">IF(A21="","",G21+I21+J21+E21)</f>
        <v/>
      </c>
      <c r="L21" s="18" t="str">
        <f aca="false">IF(A21="","",ROUND(F21*Settings!$B$21*(1+Settings!$B$15/100)*(1-Settings!$B$16/100),2))</f>
        <v/>
      </c>
      <c r="M21" s="18" t="str">
        <f aca="false">IF(A21="","",MAX(K21,L21))</f>
        <v/>
      </c>
      <c r="N21" s="18" t="str">
        <f aca="false">IF(A21="","",H21-M21)</f>
        <v/>
      </c>
      <c r="O21" s="18" t="str">
        <f aca="false">IF(A21="","",IFERROR(ROUND(H21/F21,2),0))</f>
        <v/>
      </c>
      <c r="P21" s="18" t="str">
        <f aca="false">IF(A21="","",ROUND(H21*12,2))</f>
        <v/>
      </c>
    </row>
    <row r="22" customFormat="false" ht="15" hidden="false" customHeight="false" outlineLevel="0" collapsed="false">
      <c r="A22" s="16"/>
      <c r="B22" s="16"/>
      <c r="C22" s="17"/>
      <c r="D22" s="17"/>
      <c r="E22" s="8"/>
      <c r="F22" s="19"/>
      <c r="G22" s="8"/>
      <c r="H22" s="8"/>
      <c r="I22" s="18" t="str">
        <f aca="false">IF(A22="","",ROUND(C22*Settings!$B$17,2))</f>
        <v/>
      </c>
      <c r="J22" s="18" t="str">
        <f aca="false">IF(A22="","",ROUND(D22*Settings!$B$18,2))</f>
        <v/>
      </c>
      <c r="K22" s="18" t="str">
        <f aca="false">IF(A22="","",G22+I22+J22+E22)</f>
        <v/>
      </c>
      <c r="L22" s="18" t="str">
        <f aca="false">IF(A22="","",ROUND(F22*Settings!$B$21*(1+Settings!$B$15/100)*(1-Settings!$B$16/100),2))</f>
        <v/>
      </c>
      <c r="M22" s="18" t="str">
        <f aca="false">IF(A22="","",MAX(K22,L22))</f>
        <v/>
      </c>
      <c r="N22" s="18" t="str">
        <f aca="false">IF(A22="","",H22-M22)</f>
        <v/>
      </c>
      <c r="O22" s="18" t="str">
        <f aca="false">IF(A22="","",IFERROR(ROUND(H22/F22,2),0))</f>
        <v/>
      </c>
      <c r="P22" s="18" t="str">
        <f aca="false">IF(A22="","",ROUND(H22*12,2))</f>
        <v/>
      </c>
    </row>
    <row r="23" customFormat="false" ht="15" hidden="false" customHeight="false" outlineLevel="0" collapsed="false">
      <c r="A23" s="16"/>
      <c r="B23" s="16"/>
      <c r="C23" s="17"/>
      <c r="D23" s="17"/>
      <c r="E23" s="8"/>
      <c r="F23" s="19"/>
      <c r="G23" s="8"/>
      <c r="H23" s="8"/>
      <c r="I23" s="18" t="str">
        <f aca="false">IF(A23="","",ROUND(C23*Settings!$B$17,2))</f>
        <v/>
      </c>
      <c r="J23" s="18" t="str">
        <f aca="false">IF(A23="","",ROUND(D23*Settings!$B$18,2))</f>
        <v/>
      </c>
      <c r="K23" s="18" t="str">
        <f aca="false">IF(A23="","",G23+I23+J23+E23)</f>
        <v/>
      </c>
      <c r="L23" s="18" t="str">
        <f aca="false">IF(A23="","",ROUND(F23*Settings!$B$21*(1+Settings!$B$15/100)*(1-Settings!$B$16/100),2))</f>
        <v/>
      </c>
      <c r="M23" s="18" t="str">
        <f aca="false">IF(A23="","",MAX(K23,L23))</f>
        <v/>
      </c>
      <c r="N23" s="18" t="str">
        <f aca="false">IF(A23="","",H23-M23)</f>
        <v/>
      </c>
      <c r="O23" s="18" t="str">
        <f aca="false">IF(A23="","",IFERROR(ROUND(H23/F23,2),0))</f>
        <v/>
      </c>
      <c r="P23" s="18" t="str">
        <f aca="false">IF(A23="","",ROUND(H23*12,2))</f>
        <v/>
      </c>
    </row>
    <row r="24" customFormat="false" ht="15" hidden="false" customHeight="false" outlineLevel="0" collapsed="false">
      <c r="A24" s="16"/>
      <c r="B24" s="16"/>
      <c r="C24" s="17"/>
      <c r="D24" s="17"/>
      <c r="E24" s="8"/>
      <c r="F24" s="19"/>
      <c r="G24" s="8"/>
      <c r="H24" s="8"/>
      <c r="I24" s="18" t="str">
        <f aca="false">IF(A24="","",ROUND(C24*Settings!$B$17,2))</f>
        <v/>
      </c>
      <c r="J24" s="18" t="str">
        <f aca="false">IF(A24="","",ROUND(D24*Settings!$B$18,2))</f>
        <v/>
      </c>
      <c r="K24" s="18" t="str">
        <f aca="false">IF(A24="","",G24+I24+J24+E24)</f>
        <v/>
      </c>
      <c r="L24" s="18" t="str">
        <f aca="false">IF(A24="","",ROUND(F24*Settings!$B$21*(1+Settings!$B$15/100)*(1-Settings!$B$16/100),2))</f>
        <v/>
      </c>
      <c r="M24" s="18" t="str">
        <f aca="false">IF(A24="","",MAX(K24,L24))</f>
        <v/>
      </c>
      <c r="N24" s="18" t="str">
        <f aca="false">IF(A24="","",H24-M24)</f>
        <v/>
      </c>
      <c r="O24" s="18" t="str">
        <f aca="false">IF(A24="","",IFERROR(ROUND(H24/F24,2),0))</f>
        <v/>
      </c>
      <c r="P24" s="18" t="str">
        <f aca="false">IF(A24="","",ROUND(H24*12,2))</f>
        <v/>
      </c>
    </row>
    <row r="25" customFormat="false" ht="15" hidden="false" customHeight="false" outlineLevel="0" collapsed="false">
      <c r="A25" s="16"/>
      <c r="B25" s="16"/>
      <c r="C25" s="17"/>
      <c r="D25" s="17"/>
      <c r="E25" s="8"/>
      <c r="F25" s="19"/>
      <c r="G25" s="8"/>
      <c r="H25" s="8"/>
      <c r="I25" s="18" t="str">
        <f aca="false">IF(A25="","",ROUND(C25*Settings!$B$17,2))</f>
        <v/>
      </c>
      <c r="J25" s="18" t="str">
        <f aca="false">IF(A25="","",ROUND(D25*Settings!$B$18,2))</f>
        <v/>
      </c>
      <c r="K25" s="18" t="str">
        <f aca="false">IF(A25="","",G25+I25+J25+E25)</f>
        <v/>
      </c>
      <c r="L25" s="18" t="str">
        <f aca="false">IF(A25="","",ROUND(F25*Settings!$B$21*(1+Settings!$B$15/100)*(1-Settings!$B$16/100),2))</f>
        <v/>
      </c>
      <c r="M25" s="18" t="str">
        <f aca="false">IF(A25="","",MAX(K25,L25))</f>
        <v/>
      </c>
      <c r="N25" s="18" t="str">
        <f aca="false">IF(A25="","",H25-M25)</f>
        <v/>
      </c>
      <c r="O25" s="18" t="str">
        <f aca="false">IF(A25="","",IFERROR(ROUND(H25/F25,2),0))</f>
        <v/>
      </c>
      <c r="P25" s="18" t="str">
        <f aca="false">IF(A25="","",ROUND(H25*12,2))</f>
        <v/>
      </c>
    </row>
    <row r="26" customFormat="false" ht="15" hidden="false" customHeight="false" outlineLevel="0" collapsed="false">
      <c r="A26" s="16"/>
      <c r="B26" s="16"/>
      <c r="C26" s="17"/>
      <c r="D26" s="17"/>
      <c r="E26" s="8"/>
      <c r="F26" s="19"/>
      <c r="G26" s="8"/>
      <c r="H26" s="8"/>
      <c r="I26" s="18" t="str">
        <f aca="false">IF(A26="","",ROUND(C26*Settings!$B$17,2))</f>
        <v/>
      </c>
      <c r="J26" s="18" t="str">
        <f aca="false">IF(A26="","",ROUND(D26*Settings!$B$18,2))</f>
        <v/>
      </c>
      <c r="K26" s="18" t="str">
        <f aca="false">IF(A26="","",G26+I26+J26+E26)</f>
        <v/>
      </c>
      <c r="L26" s="18" t="str">
        <f aca="false">IF(A26="","",ROUND(F26*Settings!$B$21*(1+Settings!$B$15/100)*(1-Settings!$B$16/100),2))</f>
        <v/>
      </c>
      <c r="M26" s="18" t="str">
        <f aca="false">IF(A26="","",MAX(K26,L26))</f>
        <v/>
      </c>
      <c r="N26" s="18" t="str">
        <f aca="false">IF(A26="","",H26-M26)</f>
        <v/>
      </c>
      <c r="O26" s="18" t="str">
        <f aca="false">IF(A26="","",IFERROR(ROUND(H26/F26,2),0))</f>
        <v/>
      </c>
      <c r="P26" s="18" t="str">
        <f aca="false">IF(A26="","",ROUND(H26*12,2))</f>
        <v/>
      </c>
    </row>
    <row r="27" customFormat="false" ht="15" hidden="false" customHeight="false" outlineLevel="0" collapsed="false">
      <c r="A27" s="16"/>
      <c r="B27" s="16"/>
      <c r="C27" s="17"/>
      <c r="D27" s="17"/>
      <c r="E27" s="8"/>
      <c r="F27" s="19"/>
      <c r="G27" s="8"/>
      <c r="H27" s="8"/>
      <c r="I27" s="18" t="str">
        <f aca="false">IF(A27="","",ROUND(C27*Settings!$B$17,2))</f>
        <v/>
      </c>
      <c r="J27" s="18" t="str">
        <f aca="false">IF(A27="","",ROUND(D27*Settings!$B$18,2))</f>
        <v/>
      </c>
      <c r="K27" s="18" t="str">
        <f aca="false">IF(A27="","",G27+I27+J27+E27)</f>
        <v/>
      </c>
      <c r="L27" s="18" t="str">
        <f aca="false">IF(A27="","",ROUND(F27*Settings!$B$21*(1+Settings!$B$15/100)*(1-Settings!$B$16/100),2))</f>
        <v/>
      </c>
      <c r="M27" s="18" t="str">
        <f aca="false">IF(A27="","",MAX(K27,L27))</f>
        <v/>
      </c>
      <c r="N27" s="18" t="str">
        <f aca="false">IF(A27="","",H27-M27)</f>
        <v/>
      </c>
      <c r="O27" s="18" t="str">
        <f aca="false">IF(A27="","",IFERROR(ROUND(H27/F27,2),0))</f>
        <v/>
      </c>
      <c r="P27" s="18" t="str">
        <f aca="false">IF(A27="","",ROUND(H27*12,2))</f>
        <v/>
      </c>
    </row>
    <row r="28" customFormat="false" ht="15" hidden="false" customHeight="false" outlineLevel="0" collapsed="false">
      <c r="A28" s="16"/>
      <c r="B28" s="16"/>
      <c r="C28" s="17"/>
      <c r="D28" s="17"/>
      <c r="E28" s="8"/>
      <c r="F28" s="19"/>
      <c r="G28" s="8"/>
      <c r="H28" s="8"/>
      <c r="I28" s="18" t="str">
        <f aca="false">IF(A28="","",ROUND(C28*Settings!$B$17,2))</f>
        <v/>
      </c>
      <c r="J28" s="18" t="str">
        <f aca="false">IF(A28="","",ROUND(D28*Settings!$B$18,2))</f>
        <v/>
      </c>
      <c r="K28" s="18" t="str">
        <f aca="false">IF(A28="","",G28+I28+J28+E28)</f>
        <v/>
      </c>
      <c r="L28" s="18" t="str">
        <f aca="false">IF(A28="","",ROUND(F28*Settings!$B$21*(1+Settings!$B$15/100)*(1-Settings!$B$16/100),2))</f>
        <v/>
      </c>
      <c r="M28" s="18" t="str">
        <f aca="false">IF(A28="","",MAX(K28,L28))</f>
        <v/>
      </c>
      <c r="N28" s="18" t="str">
        <f aca="false">IF(A28="","",H28-M28)</f>
        <v/>
      </c>
      <c r="O28" s="18" t="str">
        <f aca="false">IF(A28="","",IFERROR(ROUND(H28/F28,2),0))</f>
        <v/>
      </c>
      <c r="P28" s="18" t="str">
        <f aca="false">IF(A28="","",ROUND(H28*12,2))</f>
        <v/>
      </c>
    </row>
    <row r="29" customFormat="false" ht="15" hidden="false" customHeight="false" outlineLevel="0" collapsed="false">
      <c r="A29" s="16"/>
      <c r="B29" s="16"/>
      <c r="C29" s="17"/>
      <c r="D29" s="17"/>
      <c r="E29" s="8"/>
      <c r="F29" s="19"/>
      <c r="G29" s="8"/>
      <c r="H29" s="8"/>
      <c r="I29" s="18" t="str">
        <f aca="false">IF(A29="","",ROUND(C29*Settings!$B$17,2))</f>
        <v/>
      </c>
      <c r="J29" s="18" t="str">
        <f aca="false">IF(A29="","",ROUND(D29*Settings!$B$18,2))</f>
        <v/>
      </c>
      <c r="K29" s="18" t="str">
        <f aca="false">IF(A29="","",G29+I29+J29+E29)</f>
        <v/>
      </c>
      <c r="L29" s="18" t="str">
        <f aca="false">IF(A29="","",ROUND(F29*Settings!$B$21*(1+Settings!$B$15/100)*(1-Settings!$B$16/100),2))</f>
        <v/>
      </c>
      <c r="M29" s="18" t="str">
        <f aca="false">IF(A29="","",MAX(K29,L29))</f>
        <v/>
      </c>
      <c r="N29" s="18" t="str">
        <f aca="false">IF(A29="","",H29-M29)</f>
        <v/>
      </c>
      <c r="O29" s="18" t="str">
        <f aca="false">IF(A29="","",IFERROR(ROUND(H29/F29,2),0))</f>
        <v/>
      </c>
      <c r="P29" s="18" t="str">
        <f aca="false">IF(A29="","",ROUND(H29*12,2))</f>
        <v/>
      </c>
    </row>
    <row r="30" customFormat="false" ht="15" hidden="false" customHeight="false" outlineLevel="0" collapsed="false">
      <c r="A30" s="16"/>
      <c r="B30" s="16"/>
      <c r="C30" s="17"/>
      <c r="D30" s="17"/>
      <c r="E30" s="8"/>
      <c r="F30" s="19"/>
      <c r="G30" s="8"/>
      <c r="H30" s="8"/>
      <c r="I30" s="18" t="str">
        <f aca="false">IF(A30="","",ROUND(C30*Settings!$B$17,2))</f>
        <v/>
      </c>
      <c r="J30" s="18" t="str">
        <f aca="false">IF(A30="","",ROUND(D30*Settings!$B$18,2))</f>
        <v/>
      </c>
      <c r="K30" s="18" t="str">
        <f aca="false">IF(A30="","",G30+I30+J30+E30)</f>
        <v/>
      </c>
      <c r="L30" s="18" t="str">
        <f aca="false">IF(A30="","",ROUND(F30*Settings!$B$21*(1+Settings!$B$15/100)*(1-Settings!$B$16/100),2))</f>
        <v/>
      </c>
      <c r="M30" s="18" t="str">
        <f aca="false">IF(A30="","",MAX(K30,L30))</f>
        <v/>
      </c>
      <c r="N30" s="18" t="str">
        <f aca="false">IF(A30="","",H30-M30)</f>
        <v/>
      </c>
      <c r="O30" s="18" t="str">
        <f aca="false">IF(A30="","",IFERROR(ROUND(H30/F30,2),0))</f>
        <v/>
      </c>
      <c r="P30" s="18" t="str">
        <f aca="false">IF(A30="","",ROUND(H30*12,2))</f>
        <v/>
      </c>
    </row>
    <row r="31" customFormat="false" ht="15" hidden="false" customHeight="false" outlineLevel="0" collapsed="false">
      <c r="A31" s="16"/>
      <c r="B31" s="16"/>
      <c r="C31" s="17"/>
      <c r="D31" s="17"/>
      <c r="E31" s="8"/>
      <c r="F31" s="19"/>
      <c r="G31" s="8"/>
      <c r="H31" s="8"/>
      <c r="I31" s="18" t="str">
        <f aca="false">IF(A31="","",ROUND(C31*Settings!$B$17,2))</f>
        <v/>
      </c>
      <c r="J31" s="18" t="str">
        <f aca="false">IF(A31="","",ROUND(D31*Settings!$B$18,2))</f>
        <v/>
      </c>
      <c r="K31" s="18" t="str">
        <f aca="false">IF(A31="","",G31+I31+J31+E31)</f>
        <v/>
      </c>
      <c r="L31" s="18" t="str">
        <f aca="false">IF(A31="","",ROUND(F31*Settings!$B$21*(1+Settings!$B$15/100)*(1-Settings!$B$16/100),2))</f>
        <v/>
      </c>
      <c r="M31" s="18" t="str">
        <f aca="false">IF(A31="","",MAX(K31,L31))</f>
        <v/>
      </c>
      <c r="N31" s="18" t="str">
        <f aca="false">IF(A31="","",H31-M31)</f>
        <v/>
      </c>
      <c r="O31" s="18" t="str">
        <f aca="false">IF(A31="","",IFERROR(ROUND(H31/F31,2),0))</f>
        <v/>
      </c>
      <c r="P31" s="18" t="str">
        <f aca="false">IF(A31="","",ROUND(H31*12,2))</f>
        <v/>
      </c>
    </row>
    <row r="32" customFormat="false" ht="15" hidden="false" customHeight="false" outlineLevel="0" collapsed="false">
      <c r="A32" s="16"/>
      <c r="B32" s="16"/>
      <c r="C32" s="17"/>
      <c r="D32" s="17"/>
      <c r="E32" s="8"/>
      <c r="F32" s="19"/>
      <c r="G32" s="8"/>
      <c r="H32" s="8"/>
      <c r="I32" s="18" t="str">
        <f aca="false">IF(A32="","",ROUND(C32*Settings!$B$17,2))</f>
        <v/>
      </c>
      <c r="J32" s="18" t="str">
        <f aca="false">IF(A32="","",ROUND(D32*Settings!$B$18,2))</f>
        <v/>
      </c>
      <c r="K32" s="18" t="str">
        <f aca="false">IF(A32="","",G32+I32+J32+E32)</f>
        <v/>
      </c>
      <c r="L32" s="18" t="str">
        <f aca="false">IF(A32="","",ROUND(F32*Settings!$B$21*(1+Settings!$B$15/100)*(1-Settings!$B$16/100),2))</f>
        <v/>
      </c>
      <c r="M32" s="18" t="str">
        <f aca="false">IF(A32="","",MAX(K32,L32))</f>
        <v/>
      </c>
      <c r="N32" s="18" t="str">
        <f aca="false">IF(A32="","",H32-M32)</f>
        <v/>
      </c>
      <c r="O32" s="18" t="str">
        <f aca="false">IF(A32="","",IFERROR(ROUND(H32/F32,2),0))</f>
        <v/>
      </c>
      <c r="P32" s="18" t="str">
        <f aca="false">IF(A32="","",ROUND(H32*12,2))</f>
        <v/>
      </c>
    </row>
    <row r="33" customFormat="false" ht="15" hidden="false" customHeight="false" outlineLevel="0" collapsed="false">
      <c r="A33" s="16"/>
      <c r="B33" s="16"/>
      <c r="C33" s="17"/>
      <c r="D33" s="17"/>
      <c r="E33" s="8"/>
      <c r="F33" s="19"/>
      <c r="G33" s="8"/>
      <c r="H33" s="8"/>
      <c r="I33" s="18" t="str">
        <f aca="false">IF(A33="","",ROUND(C33*Settings!$B$17,2))</f>
        <v/>
      </c>
      <c r="J33" s="18" t="str">
        <f aca="false">IF(A33="","",ROUND(D33*Settings!$B$18,2))</f>
        <v/>
      </c>
      <c r="K33" s="18" t="str">
        <f aca="false">IF(A33="","",G33+I33+J33+E33)</f>
        <v/>
      </c>
      <c r="L33" s="18" t="str">
        <f aca="false">IF(A33="","",ROUND(F33*Settings!$B$21*(1+Settings!$B$15/100)*(1-Settings!$B$16/100),2))</f>
        <v/>
      </c>
      <c r="M33" s="18" t="str">
        <f aca="false">IF(A33="","",MAX(K33,L33))</f>
        <v/>
      </c>
      <c r="N33" s="18" t="str">
        <f aca="false">IF(A33="","",H33-M33)</f>
        <v/>
      </c>
      <c r="O33" s="18" t="str">
        <f aca="false">IF(A33="","",IFERROR(ROUND(H33/F33,2),0))</f>
        <v/>
      </c>
      <c r="P33" s="18" t="str">
        <f aca="false">IF(A33="","",ROUND(H33*12,2))</f>
        <v/>
      </c>
    </row>
    <row r="34" customFormat="false" ht="15" hidden="false" customHeight="false" outlineLevel="0" collapsed="false">
      <c r="A34" s="16"/>
      <c r="B34" s="16"/>
      <c r="C34" s="17"/>
      <c r="D34" s="17"/>
      <c r="E34" s="8"/>
      <c r="F34" s="19"/>
      <c r="G34" s="8"/>
      <c r="H34" s="8"/>
      <c r="I34" s="18" t="str">
        <f aca="false">IF(A34="","",ROUND(C34*Settings!$B$17,2))</f>
        <v/>
      </c>
      <c r="J34" s="18" t="str">
        <f aca="false">IF(A34="","",ROUND(D34*Settings!$B$18,2))</f>
        <v/>
      </c>
      <c r="K34" s="18" t="str">
        <f aca="false">IF(A34="","",G34+I34+J34+E34)</f>
        <v/>
      </c>
      <c r="L34" s="18" t="str">
        <f aca="false">IF(A34="","",ROUND(F34*Settings!$B$21*(1+Settings!$B$15/100)*(1-Settings!$B$16/100),2))</f>
        <v/>
      </c>
      <c r="M34" s="18" t="str">
        <f aca="false">IF(A34="","",MAX(K34,L34))</f>
        <v/>
      </c>
      <c r="N34" s="18" t="str">
        <f aca="false">IF(A34="","",H34-M34)</f>
        <v/>
      </c>
      <c r="O34" s="18" t="str">
        <f aca="false">IF(A34="","",IFERROR(ROUND(H34/F34,2),0))</f>
        <v/>
      </c>
      <c r="P34" s="18" t="str">
        <f aca="false">IF(A34="","",ROUND(H34*12,2))</f>
        <v/>
      </c>
    </row>
    <row r="35" customFormat="false" ht="15" hidden="false" customHeight="false" outlineLevel="0" collapsed="false">
      <c r="A35" s="5" t="s">
        <v>96</v>
      </c>
      <c r="B35" s="20" t="n">
        <f aca="false">COUNTA(A5:A34)</f>
        <v>8</v>
      </c>
      <c r="F35" s="21" t="n">
        <f aca="false">SUM(F5:F34)</f>
        <v>44</v>
      </c>
      <c r="H35" s="7" t="n">
        <f aca="false">SUM(H5:H34)</f>
        <v>3820</v>
      </c>
      <c r="K35" s="7" t="n">
        <f aca="false">SUM(K5:K34)</f>
        <v>4357.5</v>
      </c>
      <c r="L35" s="7" t="n">
        <f aca="false">SUM(L5:L34)</f>
        <v>4326.32</v>
      </c>
      <c r="M35" s="7" t="n">
        <f aca="false">SUM(M5:M34)</f>
        <v>4491.47</v>
      </c>
      <c r="N35" s="7" t="n">
        <f aca="false">H35-M35</f>
        <v>-671.47</v>
      </c>
      <c r="O35" s="7" t="n">
        <f aca="false">IFERROR(ROUND(H35/F35,2),0)</f>
        <v>86.82</v>
      </c>
      <c r="P35" s="7" t="n">
        <f aca="false">SUM(P5:P34)</f>
        <v>45840</v>
      </c>
    </row>
    <row r="36" customFormat="false" ht="15" hidden="false" customHeight="false" outlineLevel="0" collapsed="false">
      <c r="A36" s="3" t="s">
        <v>97</v>
      </c>
    </row>
  </sheetData>
  <dataValidations count="1">
    <dataValidation allowBlank="true" errorStyle="stop" operator="between" showDropDown="false" showErrorMessage="false" showInputMessage="false" sqref="B5:B34" type="list">
      <formula1>"sole trader,partnership,company,nonprofit,other"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10"/>
    <col collapsed="false" customWidth="true" hidden="false" outlineLevel="0" max="3" min="3" style="1" width="11"/>
    <col collapsed="false" customWidth="true" hidden="false" outlineLevel="0" max="5" min="4" style="1" width="12"/>
    <col collapsed="false" customWidth="true" hidden="false" outlineLevel="0" max="6" min="6" style="1" width="11"/>
    <col collapsed="false" customWidth="true" hidden="false" outlineLevel="0" max="9" min="7" style="1" width="10"/>
    <col collapsed="false" customWidth="true" hidden="false" outlineLevel="0" max="11" min="10" style="1" width="12"/>
    <col collapsed="false" customWidth="true" hidden="false" outlineLevel="0" max="12" min="12" style="1" width="11"/>
    <col collapsed="false" customWidth="true" hidden="false" outlineLevel="0" max="14" min="13" style="1" width="13"/>
  </cols>
  <sheetData>
    <row r="1" customFormat="false" ht="17.35" hidden="false" customHeight="false" outlineLevel="0" collapsed="false">
      <c r="A1" s="2" t="s">
        <v>98</v>
      </c>
    </row>
    <row r="2" customFormat="false" ht="15" hidden="false" customHeight="false" outlineLevel="0" collapsed="false">
      <c r="A2" s="3" t="s">
        <v>99</v>
      </c>
    </row>
    <row r="4" customFormat="false" ht="39.55" hidden="false" customHeight="false" outlineLevel="0" collapsed="false">
      <c r="A4" s="15" t="s">
        <v>67</v>
      </c>
      <c r="B4" s="15" t="s">
        <v>100</v>
      </c>
      <c r="C4" s="15" t="s">
        <v>101</v>
      </c>
      <c r="D4" s="15" t="s">
        <v>102</v>
      </c>
      <c r="E4" s="15" t="s">
        <v>103</v>
      </c>
      <c r="F4" s="15" t="s">
        <v>104</v>
      </c>
      <c r="G4" s="15" t="s">
        <v>105</v>
      </c>
      <c r="H4" s="15" t="s">
        <v>106</v>
      </c>
      <c r="I4" s="15" t="s">
        <v>107</v>
      </c>
      <c r="J4" s="15" t="s">
        <v>108</v>
      </c>
      <c r="K4" s="15" t="s">
        <v>109</v>
      </c>
      <c r="L4" s="15" t="s">
        <v>110</v>
      </c>
      <c r="M4" s="15" t="s">
        <v>111</v>
      </c>
      <c r="N4" s="15" t="s">
        <v>112</v>
      </c>
    </row>
    <row r="5" customFormat="false" ht="15" hidden="false" customHeight="false" outlineLevel="0" collapsed="false">
      <c r="A5" s="16" t="s">
        <v>113</v>
      </c>
      <c r="B5" s="9" t="n">
        <v>6</v>
      </c>
      <c r="C5" s="10" t="n">
        <v>5</v>
      </c>
      <c r="D5" s="18" t="n">
        <f aca="false">IF(A5="","",Settings!$B$21)</f>
        <v>90</v>
      </c>
      <c r="E5" s="8"/>
      <c r="F5" s="18" t="n">
        <f aca="false">IF(A5="","",IF(E5&lt;&gt;"",E5,D5))</f>
        <v>90</v>
      </c>
      <c r="G5" s="8" t="n">
        <v>150</v>
      </c>
      <c r="H5" s="12" t="n">
        <v>10</v>
      </c>
      <c r="I5" s="22" t="n">
        <f aca="false">IF(A5="","",ROUND(B5*C5,2))</f>
        <v>30</v>
      </c>
      <c r="J5" s="18" t="n">
        <f aca="false">IF(A5="","",ROUND(I5*F5,2))</f>
        <v>2700</v>
      </c>
      <c r="K5" s="18" t="n">
        <f aca="false">IF(A5="","",J5+G5)</f>
        <v>2850</v>
      </c>
      <c r="L5" s="18" t="n">
        <f aca="false">IF(A5="","",ROUND(K5*H5/100,2))</f>
        <v>285</v>
      </c>
      <c r="M5" s="18" t="n">
        <f aca="false">IF(A5="","",K5-L5)</f>
        <v>2565</v>
      </c>
      <c r="N5" s="18" t="n">
        <f aca="false">IF(A5="","",IFERROR(ROUND(M5/B5,2),0))</f>
        <v>427.5</v>
      </c>
    </row>
    <row r="6" customFormat="false" ht="15" hidden="false" customHeight="false" outlineLevel="0" collapsed="false">
      <c r="A6" s="16" t="s">
        <v>114</v>
      </c>
      <c r="B6" s="9" t="n">
        <v>12</v>
      </c>
      <c r="C6" s="10" t="n">
        <v>3.5</v>
      </c>
      <c r="D6" s="18" t="n">
        <f aca="false">IF(A6="","",Settings!$B$21)</f>
        <v>90</v>
      </c>
      <c r="E6" s="8" t="n">
        <v>80</v>
      </c>
      <c r="F6" s="18" t="n">
        <f aca="false">IF(A6="","",IF(E6&lt;&gt;"",E6,D6))</f>
        <v>80</v>
      </c>
      <c r="G6" s="8" t="n">
        <v>200</v>
      </c>
      <c r="H6" s="12" t="n">
        <v>0</v>
      </c>
      <c r="I6" s="22" t="n">
        <f aca="false">IF(A6="","",ROUND(B6*C6,2))</f>
        <v>42</v>
      </c>
      <c r="J6" s="18" t="n">
        <f aca="false">IF(A6="","",ROUND(I6*F6,2))</f>
        <v>3360</v>
      </c>
      <c r="K6" s="18" t="n">
        <f aca="false">IF(A6="","",J6+G6)</f>
        <v>3560</v>
      </c>
      <c r="L6" s="18" t="n">
        <f aca="false">IF(A6="","",ROUND(K6*H6/100,2))</f>
        <v>0</v>
      </c>
      <c r="M6" s="18" t="n">
        <f aca="false">IF(A6="","",K6-L6)</f>
        <v>3560</v>
      </c>
      <c r="N6" s="18" t="n">
        <f aca="false">IF(A6="","",IFERROR(ROUND(M6/B6,2),0))</f>
        <v>296.67</v>
      </c>
    </row>
    <row r="7" customFormat="false" ht="15" hidden="false" customHeight="false" outlineLevel="0" collapsed="false">
      <c r="A7" s="16" t="s">
        <v>115</v>
      </c>
      <c r="B7" s="9" t="n">
        <v>3</v>
      </c>
      <c r="C7" s="10" t="n">
        <v>4</v>
      </c>
      <c r="D7" s="18" t="n">
        <f aca="false">IF(A7="","",Settings!$B$21)</f>
        <v>90</v>
      </c>
      <c r="E7" s="8"/>
      <c r="F7" s="18" t="n">
        <f aca="false">IF(A7="","",IF(E7&lt;&gt;"",E7,D7))</f>
        <v>90</v>
      </c>
      <c r="G7" s="8" t="n">
        <v>100</v>
      </c>
      <c r="H7" s="12" t="n">
        <v>5</v>
      </c>
      <c r="I7" s="22" t="n">
        <f aca="false">IF(A7="","",ROUND(B7*C7,2))</f>
        <v>12</v>
      </c>
      <c r="J7" s="18" t="n">
        <f aca="false">IF(A7="","",ROUND(I7*F7,2))</f>
        <v>1080</v>
      </c>
      <c r="K7" s="18" t="n">
        <f aca="false">IF(A7="","",J7+G7)</f>
        <v>1180</v>
      </c>
      <c r="L7" s="18" t="n">
        <f aca="false">IF(A7="","",ROUND(K7*H7/100,2))</f>
        <v>59</v>
      </c>
      <c r="M7" s="18" t="n">
        <f aca="false">IF(A7="","",K7-L7)</f>
        <v>1121</v>
      </c>
      <c r="N7" s="18" t="n">
        <f aca="false">IF(A7="","",IFERROR(ROUND(M7/B7,2),0))</f>
        <v>373.67</v>
      </c>
    </row>
    <row r="8" customFormat="false" ht="15" hidden="false" customHeight="false" outlineLevel="0" collapsed="false">
      <c r="A8" s="16" t="s">
        <v>116</v>
      </c>
      <c r="B8" s="9" t="n">
        <v>9</v>
      </c>
      <c r="C8" s="10" t="n">
        <v>8</v>
      </c>
      <c r="D8" s="18" t="n">
        <f aca="false">IF(A8="","",Settings!$B$21)</f>
        <v>90</v>
      </c>
      <c r="E8" s="8" t="n">
        <v>85</v>
      </c>
      <c r="F8" s="18" t="n">
        <f aca="false">IF(A8="","",IF(E8&lt;&gt;"",E8,D8))</f>
        <v>85</v>
      </c>
      <c r="G8" s="8" t="n">
        <v>250</v>
      </c>
      <c r="H8" s="12" t="n">
        <v>10</v>
      </c>
      <c r="I8" s="22" t="n">
        <f aca="false">IF(A8="","",ROUND(B8*C8,2))</f>
        <v>72</v>
      </c>
      <c r="J8" s="18" t="n">
        <f aca="false">IF(A8="","",ROUND(I8*F8,2))</f>
        <v>6120</v>
      </c>
      <c r="K8" s="18" t="n">
        <f aca="false">IF(A8="","",J8+G8)</f>
        <v>6370</v>
      </c>
      <c r="L8" s="18" t="n">
        <f aca="false">IF(A8="","",ROUND(K8*H8/100,2))</f>
        <v>637</v>
      </c>
      <c r="M8" s="18" t="n">
        <f aca="false">IF(A8="","",K8-L8)</f>
        <v>5733</v>
      </c>
      <c r="N8" s="18" t="n">
        <f aca="false">IF(A8="","",IFERROR(ROUND(M8/B8,2),0))</f>
        <v>637</v>
      </c>
    </row>
    <row r="9" customFormat="false" ht="15" hidden="false" customHeight="false" outlineLevel="0" collapsed="false">
      <c r="A9" s="16"/>
      <c r="B9" s="17"/>
      <c r="C9" s="19"/>
      <c r="D9" s="18" t="str">
        <f aca="false">IF(A9="","",Settings!$B$21)</f>
        <v/>
      </c>
      <c r="E9" s="8"/>
      <c r="F9" s="18" t="str">
        <f aca="false">IF(A9="","",IF(E9&lt;&gt;"",E9,D9))</f>
        <v/>
      </c>
      <c r="G9" s="8"/>
      <c r="H9" s="12"/>
      <c r="I9" s="22" t="str">
        <f aca="false">IF(A9="","",ROUND(B9*C9,2))</f>
        <v/>
      </c>
      <c r="J9" s="18" t="str">
        <f aca="false">IF(A9="","",ROUND(I9*F9,2))</f>
        <v/>
      </c>
      <c r="K9" s="18" t="str">
        <f aca="false">IF(A9="","",J9+G9)</f>
        <v/>
      </c>
      <c r="L9" s="18" t="str">
        <f aca="false">IF(A9="","",ROUND(K9*H9/100,2))</f>
        <v/>
      </c>
      <c r="M9" s="18" t="str">
        <f aca="false">IF(A9="","",K9-L9)</f>
        <v/>
      </c>
      <c r="N9" s="18" t="str">
        <f aca="false">IF(A9="","",IFERROR(ROUND(M9/B9,2),0))</f>
        <v/>
      </c>
    </row>
    <row r="10" customFormat="false" ht="15" hidden="false" customHeight="false" outlineLevel="0" collapsed="false">
      <c r="A10" s="16"/>
      <c r="B10" s="17"/>
      <c r="C10" s="19"/>
      <c r="D10" s="18" t="str">
        <f aca="false">IF(A10="","",Settings!$B$21)</f>
        <v/>
      </c>
      <c r="E10" s="8"/>
      <c r="F10" s="18" t="str">
        <f aca="false">IF(A10="","",IF(E10&lt;&gt;"",E10,D10))</f>
        <v/>
      </c>
      <c r="G10" s="8"/>
      <c r="H10" s="12"/>
      <c r="I10" s="22" t="str">
        <f aca="false">IF(A10="","",ROUND(B10*C10,2))</f>
        <v/>
      </c>
      <c r="J10" s="18" t="str">
        <f aca="false">IF(A10="","",ROUND(I10*F10,2))</f>
        <v/>
      </c>
      <c r="K10" s="18" t="str">
        <f aca="false">IF(A10="","",J10+G10)</f>
        <v/>
      </c>
      <c r="L10" s="18" t="str">
        <f aca="false">IF(A10="","",ROUND(K10*H10/100,2))</f>
        <v/>
      </c>
      <c r="M10" s="18" t="str">
        <f aca="false">IF(A10="","",K10-L10)</f>
        <v/>
      </c>
      <c r="N10" s="18" t="str">
        <f aca="false">IF(A10="","",IFERROR(ROUND(M10/B10,2),0))</f>
        <v/>
      </c>
    </row>
    <row r="11" customFormat="false" ht="15" hidden="false" customHeight="false" outlineLevel="0" collapsed="false">
      <c r="A11" s="16"/>
      <c r="B11" s="17"/>
      <c r="C11" s="19"/>
      <c r="D11" s="18" t="str">
        <f aca="false">IF(A11="","",Settings!$B$21)</f>
        <v/>
      </c>
      <c r="E11" s="8"/>
      <c r="F11" s="18" t="str">
        <f aca="false">IF(A11="","",IF(E11&lt;&gt;"",E11,D11))</f>
        <v/>
      </c>
      <c r="G11" s="8"/>
      <c r="H11" s="12"/>
      <c r="I11" s="22" t="str">
        <f aca="false">IF(A11="","",ROUND(B11*C11,2))</f>
        <v/>
      </c>
      <c r="J11" s="18" t="str">
        <f aca="false">IF(A11="","",ROUND(I11*F11,2))</f>
        <v/>
      </c>
      <c r="K11" s="18" t="str">
        <f aca="false">IF(A11="","",J11+G11)</f>
        <v/>
      </c>
      <c r="L11" s="18" t="str">
        <f aca="false">IF(A11="","",ROUND(K11*H11/100,2))</f>
        <v/>
      </c>
      <c r="M11" s="18" t="str">
        <f aca="false">IF(A11="","",K11-L11)</f>
        <v/>
      </c>
      <c r="N11" s="18" t="str">
        <f aca="false">IF(A11="","",IFERROR(ROUND(M11/B11,2),0))</f>
        <v/>
      </c>
    </row>
    <row r="12" customFormat="false" ht="15" hidden="false" customHeight="false" outlineLevel="0" collapsed="false">
      <c r="A12" s="16"/>
      <c r="B12" s="17"/>
      <c r="C12" s="19"/>
      <c r="D12" s="18" t="str">
        <f aca="false">IF(A12="","",Settings!$B$21)</f>
        <v/>
      </c>
      <c r="E12" s="8"/>
      <c r="F12" s="18" t="str">
        <f aca="false">IF(A12="","",IF(E12&lt;&gt;"",E12,D12))</f>
        <v/>
      </c>
      <c r="G12" s="8"/>
      <c r="H12" s="12"/>
      <c r="I12" s="22" t="str">
        <f aca="false">IF(A12="","",ROUND(B12*C12,2))</f>
        <v/>
      </c>
      <c r="J12" s="18" t="str">
        <f aca="false">IF(A12="","",ROUND(I12*F12,2))</f>
        <v/>
      </c>
      <c r="K12" s="18" t="str">
        <f aca="false">IF(A12="","",J12+G12)</f>
        <v/>
      </c>
      <c r="L12" s="18" t="str">
        <f aca="false">IF(A12="","",ROUND(K12*H12/100,2))</f>
        <v/>
      </c>
      <c r="M12" s="18" t="str">
        <f aca="false">IF(A12="","",K12-L12)</f>
        <v/>
      </c>
      <c r="N12" s="18" t="str">
        <f aca="false">IF(A12="","",IFERROR(ROUND(M12/B12,2),0))</f>
        <v/>
      </c>
    </row>
    <row r="13" customFormat="false" ht="15" hidden="false" customHeight="false" outlineLevel="0" collapsed="false">
      <c r="A13" s="16"/>
      <c r="B13" s="17"/>
      <c r="C13" s="19"/>
      <c r="D13" s="18" t="str">
        <f aca="false">IF(A13="","",Settings!$B$21)</f>
        <v/>
      </c>
      <c r="E13" s="8"/>
      <c r="F13" s="18" t="str">
        <f aca="false">IF(A13="","",IF(E13&lt;&gt;"",E13,D13))</f>
        <v/>
      </c>
      <c r="G13" s="8"/>
      <c r="H13" s="12"/>
      <c r="I13" s="22" t="str">
        <f aca="false">IF(A13="","",ROUND(B13*C13,2))</f>
        <v/>
      </c>
      <c r="J13" s="18" t="str">
        <f aca="false">IF(A13="","",ROUND(I13*F13,2))</f>
        <v/>
      </c>
      <c r="K13" s="18" t="str">
        <f aca="false">IF(A13="","",J13+G13)</f>
        <v/>
      </c>
      <c r="L13" s="18" t="str">
        <f aca="false">IF(A13="","",ROUND(K13*H13/100,2))</f>
        <v/>
      </c>
      <c r="M13" s="18" t="str">
        <f aca="false">IF(A13="","",K13-L13)</f>
        <v/>
      </c>
      <c r="N13" s="18" t="str">
        <f aca="false">IF(A13="","",IFERROR(ROUND(M13/B13,2),0))</f>
        <v/>
      </c>
    </row>
    <row r="14" customFormat="false" ht="15" hidden="false" customHeight="false" outlineLevel="0" collapsed="false">
      <c r="A14" s="16"/>
      <c r="B14" s="17"/>
      <c r="C14" s="19"/>
      <c r="D14" s="18" t="str">
        <f aca="false">IF(A14="","",Settings!$B$21)</f>
        <v/>
      </c>
      <c r="E14" s="8"/>
      <c r="F14" s="18" t="str">
        <f aca="false">IF(A14="","",IF(E14&lt;&gt;"",E14,D14))</f>
        <v/>
      </c>
      <c r="G14" s="8"/>
      <c r="H14" s="12"/>
      <c r="I14" s="22" t="str">
        <f aca="false">IF(A14="","",ROUND(B14*C14,2))</f>
        <v/>
      </c>
      <c r="J14" s="18" t="str">
        <f aca="false">IF(A14="","",ROUND(I14*F14,2))</f>
        <v/>
      </c>
      <c r="K14" s="18" t="str">
        <f aca="false">IF(A14="","",J14+G14)</f>
        <v/>
      </c>
      <c r="L14" s="18" t="str">
        <f aca="false">IF(A14="","",ROUND(K14*H14/100,2))</f>
        <v/>
      </c>
      <c r="M14" s="18" t="str">
        <f aca="false">IF(A14="","",K14-L14)</f>
        <v/>
      </c>
      <c r="N14" s="18" t="str">
        <f aca="false">IF(A14="","",IFERROR(ROUND(M14/B14,2),0))</f>
        <v/>
      </c>
    </row>
    <row r="15" customFormat="false" ht="15" hidden="false" customHeight="false" outlineLevel="0" collapsed="false">
      <c r="A15" s="16"/>
      <c r="B15" s="17"/>
      <c r="C15" s="19"/>
      <c r="D15" s="18" t="str">
        <f aca="false">IF(A15="","",Settings!$B$21)</f>
        <v/>
      </c>
      <c r="E15" s="8"/>
      <c r="F15" s="18" t="str">
        <f aca="false">IF(A15="","",IF(E15&lt;&gt;"",E15,D15))</f>
        <v/>
      </c>
      <c r="G15" s="8"/>
      <c r="H15" s="12"/>
      <c r="I15" s="22" t="str">
        <f aca="false">IF(A15="","",ROUND(B15*C15,2))</f>
        <v/>
      </c>
      <c r="J15" s="18" t="str">
        <f aca="false">IF(A15="","",ROUND(I15*F15,2))</f>
        <v/>
      </c>
      <c r="K15" s="18" t="str">
        <f aca="false">IF(A15="","",J15+G15)</f>
        <v/>
      </c>
      <c r="L15" s="18" t="str">
        <f aca="false">IF(A15="","",ROUND(K15*H15/100,2))</f>
        <v/>
      </c>
      <c r="M15" s="18" t="str">
        <f aca="false">IF(A15="","",K15-L15)</f>
        <v/>
      </c>
      <c r="N15" s="18" t="str">
        <f aca="false">IF(A15="","",IFERROR(ROUND(M15/B15,2),0))</f>
        <v/>
      </c>
    </row>
    <row r="16" customFormat="false" ht="15" hidden="false" customHeight="false" outlineLevel="0" collapsed="false">
      <c r="A16" s="16"/>
      <c r="B16" s="17"/>
      <c r="C16" s="19"/>
      <c r="D16" s="18" t="str">
        <f aca="false">IF(A16="","",Settings!$B$21)</f>
        <v/>
      </c>
      <c r="E16" s="8"/>
      <c r="F16" s="18" t="str">
        <f aca="false">IF(A16="","",IF(E16&lt;&gt;"",E16,D16))</f>
        <v/>
      </c>
      <c r="G16" s="8"/>
      <c r="H16" s="12"/>
      <c r="I16" s="22" t="str">
        <f aca="false">IF(A16="","",ROUND(B16*C16,2))</f>
        <v/>
      </c>
      <c r="J16" s="18" t="str">
        <f aca="false">IF(A16="","",ROUND(I16*F16,2))</f>
        <v/>
      </c>
      <c r="K16" s="18" t="str">
        <f aca="false">IF(A16="","",J16+G16)</f>
        <v/>
      </c>
      <c r="L16" s="18" t="str">
        <f aca="false">IF(A16="","",ROUND(K16*H16/100,2))</f>
        <v/>
      </c>
      <c r="M16" s="18" t="str">
        <f aca="false">IF(A16="","",K16-L16)</f>
        <v/>
      </c>
      <c r="N16" s="18" t="str">
        <f aca="false">IF(A16="","",IFERROR(ROUND(M16/B16,2),0))</f>
        <v/>
      </c>
    </row>
    <row r="17" customFormat="false" ht="15" hidden="false" customHeight="false" outlineLevel="0" collapsed="false">
      <c r="A17" s="16"/>
      <c r="B17" s="17"/>
      <c r="C17" s="19"/>
      <c r="D17" s="18" t="str">
        <f aca="false">IF(A17="","",Settings!$B$21)</f>
        <v/>
      </c>
      <c r="E17" s="8"/>
      <c r="F17" s="18" t="str">
        <f aca="false">IF(A17="","",IF(E17&lt;&gt;"",E17,D17))</f>
        <v/>
      </c>
      <c r="G17" s="8"/>
      <c r="H17" s="12"/>
      <c r="I17" s="22" t="str">
        <f aca="false">IF(A17="","",ROUND(B17*C17,2))</f>
        <v/>
      </c>
      <c r="J17" s="18" t="str">
        <f aca="false">IF(A17="","",ROUND(I17*F17,2))</f>
        <v/>
      </c>
      <c r="K17" s="18" t="str">
        <f aca="false">IF(A17="","",J17+G17)</f>
        <v/>
      </c>
      <c r="L17" s="18" t="str">
        <f aca="false">IF(A17="","",ROUND(K17*H17/100,2))</f>
        <v/>
      </c>
      <c r="M17" s="18" t="str">
        <f aca="false">IF(A17="","",K17-L17)</f>
        <v/>
      </c>
      <c r="N17" s="18" t="str">
        <f aca="false">IF(A17="","",IFERROR(ROUND(M17/B17,2),0))</f>
        <v/>
      </c>
    </row>
    <row r="18" customFormat="false" ht="15" hidden="false" customHeight="false" outlineLevel="0" collapsed="false">
      <c r="A18" s="16"/>
      <c r="B18" s="17"/>
      <c r="C18" s="19"/>
      <c r="D18" s="18" t="str">
        <f aca="false">IF(A18="","",Settings!$B$21)</f>
        <v/>
      </c>
      <c r="E18" s="8"/>
      <c r="F18" s="18" t="str">
        <f aca="false">IF(A18="","",IF(E18&lt;&gt;"",E18,D18))</f>
        <v/>
      </c>
      <c r="G18" s="8"/>
      <c r="H18" s="12"/>
      <c r="I18" s="22" t="str">
        <f aca="false">IF(A18="","",ROUND(B18*C18,2))</f>
        <v/>
      </c>
      <c r="J18" s="18" t="str">
        <f aca="false">IF(A18="","",ROUND(I18*F18,2))</f>
        <v/>
      </c>
      <c r="K18" s="18" t="str">
        <f aca="false">IF(A18="","",J18+G18)</f>
        <v/>
      </c>
      <c r="L18" s="18" t="str">
        <f aca="false">IF(A18="","",ROUND(K18*H18/100,2))</f>
        <v/>
      </c>
      <c r="M18" s="18" t="str">
        <f aca="false">IF(A18="","",K18-L18)</f>
        <v/>
      </c>
      <c r="N18" s="18" t="str">
        <f aca="false">IF(A18="","",IFERROR(ROUND(M18/B18,2),0))</f>
        <v/>
      </c>
    </row>
    <row r="19" customFormat="false" ht="15" hidden="false" customHeight="false" outlineLevel="0" collapsed="false">
      <c r="A19" s="16"/>
      <c r="B19" s="17"/>
      <c r="C19" s="19"/>
      <c r="D19" s="18" t="str">
        <f aca="false">IF(A19="","",Settings!$B$21)</f>
        <v/>
      </c>
      <c r="E19" s="8"/>
      <c r="F19" s="18" t="str">
        <f aca="false">IF(A19="","",IF(E19&lt;&gt;"",E19,D19))</f>
        <v/>
      </c>
      <c r="G19" s="8"/>
      <c r="H19" s="12"/>
      <c r="I19" s="22" t="str">
        <f aca="false">IF(A19="","",ROUND(B19*C19,2))</f>
        <v/>
      </c>
      <c r="J19" s="18" t="str">
        <f aca="false">IF(A19="","",ROUND(I19*F19,2))</f>
        <v/>
      </c>
      <c r="K19" s="18" t="str">
        <f aca="false">IF(A19="","",J19+G19)</f>
        <v/>
      </c>
      <c r="L19" s="18" t="str">
        <f aca="false">IF(A19="","",ROUND(K19*H19/100,2))</f>
        <v/>
      </c>
      <c r="M19" s="18" t="str">
        <f aca="false">IF(A19="","",K19-L19)</f>
        <v/>
      </c>
      <c r="N19" s="18" t="str">
        <f aca="false">IF(A19="","",IFERROR(ROUND(M19/B19,2),0))</f>
        <v/>
      </c>
    </row>
    <row r="20" customFormat="false" ht="15" hidden="false" customHeight="false" outlineLevel="0" collapsed="false">
      <c r="A20" s="16"/>
      <c r="B20" s="17"/>
      <c r="C20" s="19"/>
      <c r="D20" s="18" t="str">
        <f aca="false">IF(A20="","",Settings!$B$21)</f>
        <v/>
      </c>
      <c r="E20" s="8"/>
      <c r="F20" s="18" t="str">
        <f aca="false">IF(A20="","",IF(E20&lt;&gt;"",E20,D20))</f>
        <v/>
      </c>
      <c r="G20" s="8"/>
      <c r="H20" s="12"/>
      <c r="I20" s="22" t="str">
        <f aca="false">IF(A20="","",ROUND(B20*C20,2))</f>
        <v/>
      </c>
      <c r="J20" s="18" t="str">
        <f aca="false">IF(A20="","",ROUND(I20*F20,2))</f>
        <v/>
      </c>
      <c r="K20" s="18" t="str">
        <f aca="false">IF(A20="","",J20+G20)</f>
        <v/>
      </c>
      <c r="L20" s="18" t="str">
        <f aca="false">IF(A20="","",ROUND(K20*H20/100,2))</f>
        <v/>
      </c>
      <c r="M20" s="18" t="str">
        <f aca="false">IF(A20="","",K20-L20)</f>
        <v/>
      </c>
      <c r="N20" s="18" t="str">
        <f aca="false">IF(A20="","",IFERROR(ROUND(M20/B20,2),0))</f>
        <v/>
      </c>
    </row>
    <row r="21" customFormat="false" ht="15" hidden="false" customHeight="false" outlineLevel="0" collapsed="false">
      <c r="A21" s="16"/>
      <c r="B21" s="17"/>
      <c r="C21" s="19"/>
      <c r="D21" s="18" t="str">
        <f aca="false">IF(A21="","",Settings!$B$21)</f>
        <v/>
      </c>
      <c r="E21" s="8"/>
      <c r="F21" s="18" t="str">
        <f aca="false">IF(A21="","",IF(E21&lt;&gt;"",E21,D21))</f>
        <v/>
      </c>
      <c r="G21" s="8"/>
      <c r="H21" s="12"/>
      <c r="I21" s="22" t="str">
        <f aca="false">IF(A21="","",ROUND(B21*C21,2))</f>
        <v/>
      </c>
      <c r="J21" s="18" t="str">
        <f aca="false">IF(A21="","",ROUND(I21*F21,2))</f>
        <v/>
      </c>
      <c r="K21" s="18" t="str">
        <f aca="false">IF(A21="","",J21+G21)</f>
        <v/>
      </c>
      <c r="L21" s="18" t="str">
        <f aca="false">IF(A21="","",ROUND(K21*H21/100,2))</f>
        <v/>
      </c>
      <c r="M21" s="18" t="str">
        <f aca="false">IF(A21="","",K21-L21)</f>
        <v/>
      </c>
      <c r="N21" s="18" t="str">
        <f aca="false">IF(A21="","",IFERROR(ROUND(M21/B21,2),0))</f>
        <v/>
      </c>
    </row>
    <row r="22" customFormat="false" ht="15" hidden="false" customHeight="false" outlineLevel="0" collapsed="false">
      <c r="A22" s="16"/>
      <c r="B22" s="17"/>
      <c r="C22" s="19"/>
      <c r="D22" s="18" t="str">
        <f aca="false">IF(A22="","",Settings!$B$21)</f>
        <v/>
      </c>
      <c r="E22" s="8"/>
      <c r="F22" s="18" t="str">
        <f aca="false">IF(A22="","",IF(E22&lt;&gt;"",E22,D22))</f>
        <v/>
      </c>
      <c r="G22" s="8"/>
      <c r="H22" s="12"/>
      <c r="I22" s="22" t="str">
        <f aca="false">IF(A22="","",ROUND(B22*C22,2))</f>
        <v/>
      </c>
      <c r="J22" s="18" t="str">
        <f aca="false">IF(A22="","",ROUND(I22*F22,2))</f>
        <v/>
      </c>
      <c r="K22" s="18" t="str">
        <f aca="false">IF(A22="","",J22+G22)</f>
        <v/>
      </c>
      <c r="L22" s="18" t="str">
        <f aca="false">IF(A22="","",ROUND(K22*H22/100,2))</f>
        <v/>
      </c>
      <c r="M22" s="18" t="str">
        <f aca="false">IF(A22="","",K22-L22)</f>
        <v/>
      </c>
      <c r="N22" s="18" t="str">
        <f aca="false">IF(A22="","",IFERROR(ROUND(M22/B22,2),0))</f>
        <v/>
      </c>
    </row>
    <row r="23" customFormat="false" ht="15" hidden="false" customHeight="false" outlineLevel="0" collapsed="false">
      <c r="A23" s="16"/>
      <c r="B23" s="17"/>
      <c r="C23" s="19"/>
      <c r="D23" s="18" t="str">
        <f aca="false">IF(A23="","",Settings!$B$21)</f>
        <v/>
      </c>
      <c r="E23" s="8"/>
      <c r="F23" s="18" t="str">
        <f aca="false">IF(A23="","",IF(E23&lt;&gt;"",E23,D23))</f>
        <v/>
      </c>
      <c r="G23" s="8"/>
      <c r="H23" s="12"/>
      <c r="I23" s="22" t="str">
        <f aca="false">IF(A23="","",ROUND(B23*C23,2))</f>
        <v/>
      </c>
      <c r="J23" s="18" t="str">
        <f aca="false">IF(A23="","",ROUND(I23*F23,2))</f>
        <v/>
      </c>
      <c r="K23" s="18" t="str">
        <f aca="false">IF(A23="","",J23+G23)</f>
        <v/>
      </c>
      <c r="L23" s="18" t="str">
        <f aca="false">IF(A23="","",ROUND(K23*H23/100,2))</f>
        <v/>
      </c>
      <c r="M23" s="18" t="str">
        <f aca="false">IF(A23="","",K23-L23)</f>
        <v/>
      </c>
      <c r="N23" s="18" t="str">
        <f aca="false">IF(A23="","",IFERROR(ROUND(M23/B23,2),0))</f>
        <v/>
      </c>
    </row>
    <row r="24" customFormat="false" ht="15" hidden="false" customHeight="false" outlineLevel="0" collapsed="false">
      <c r="A24" s="16"/>
      <c r="B24" s="17"/>
      <c r="C24" s="19"/>
      <c r="D24" s="18" t="str">
        <f aca="false">IF(A24="","",Settings!$B$21)</f>
        <v/>
      </c>
      <c r="E24" s="8"/>
      <c r="F24" s="18" t="str">
        <f aca="false">IF(A24="","",IF(E24&lt;&gt;"",E24,D24))</f>
        <v/>
      </c>
      <c r="G24" s="8"/>
      <c r="H24" s="12"/>
      <c r="I24" s="22" t="str">
        <f aca="false">IF(A24="","",ROUND(B24*C24,2))</f>
        <v/>
      </c>
      <c r="J24" s="18" t="str">
        <f aca="false">IF(A24="","",ROUND(I24*F24,2))</f>
        <v/>
      </c>
      <c r="K24" s="18" t="str">
        <f aca="false">IF(A24="","",J24+G24)</f>
        <v/>
      </c>
      <c r="L24" s="18" t="str">
        <f aca="false">IF(A24="","",ROUND(K24*H24/100,2))</f>
        <v/>
      </c>
      <c r="M24" s="18" t="str">
        <f aca="false">IF(A24="","",K24-L24)</f>
        <v/>
      </c>
      <c r="N24" s="18" t="str">
        <f aca="false">IF(A24="","",IFERROR(ROUND(M24/B24,2),0))</f>
        <v/>
      </c>
    </row>
    <row r="25" customFormat="false" ht="15" hidden="false" customHeight="false" outlineLevel="0" collapsed="false">
      <c r="A25" s="5" t="s">
        <v>96</v>
      </c>
      <c r="B25" s="23" t="n">
        <f aca="false">SUM(B5:B24)</f>
        <v>30</v>
      </c>
      <c r="G25" s="7" t="n">
        <f aca="false">SUM(G5:G24)</f>
        <v>700</v>
      </c>
      <c r="I25" s="21" t="n">
        <f aca="false">SUM(I5:I24)</f>
        <v>156</v>
      </c>
      <c r="J25" s="7" t="n">
        <f aca="false">SUM(J5:J24)</f>
        <v>13260</v>
      </c>
      <c r="K25" s="7" t="n">
        <f aca="false">SUM(K5:K24)</f>
        <v>13960</v>
      </c>
      <c r="L25" s="7" t="n">
        <f aca="false">SUM(L5:L24)</f>
        <v>981</v>
      </c>
      <c r="M25" s="7" t="n">
        <f aca="false">SUM(M5:M24)</f>
        <v>12979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2" min="2" style="1" width="14"/>
    <col collapsed="false" customWidth="true" hidden="false" outlineLevel="0" max="3" min="3" style="1" width="70"/>
  </cols>
  <sheetData>
    <row r="1" customFormat="false" ht="17.35" hidden="false" customHeight="false" outlineLevel="0" collapsed="false">
      <c r="A1" s="2" t="s">
        <v>117</v>
      </c>
    </row>
    <row r="2" customFormat="false" ht="15" hidden="false" customHeight="false" outlineLevel="0" collapsed="false">
      <c r="A2" s="3" t="s">
        <v>118</v>
      </c>
    </row>
    <row r="4" customFormat="false" ht="15" hidden="false" customHeight="false" outlineLevel="0" collapsed="false">
      <c r="A4" s="4" t="s">
        <v>57</v>
      </c>
      <c r="B4" s="24" t="n">
        <f aca="false">Settings!$B$19</f>
        <v>112</v>
      </c>
      <c r="C4" s="3" t="s">
        <v>119</v>
      </c>
    </row>
    <row r="5" customFormat="false" ht="15" hidden="false" customHeight="false" outlineLevel="0" collapsed="false">
      <c r="A5" s="4" t="s">
        <v>120</v>
      </c>
      <c r="B5" s="11" t="n">
        <v>10</v>
      </c>
      <c r="C5" s="3" t="s">
        <v>121</v>
      </c>
    </row>
    <row r="6" customFormat="false" ht="15" hidden="false" customHeight="false" outlineLevel="0" collapsed="false">
      <c r="A6" s="4" t="s">
        <v>122</v>
      </c>
      <c r="B6" s="24" t="n">
        <f aca="false">ROUND(B4*(1-B5/100),2)</f>
        <v>100.8</v>
      </c>
      <c r="C6" s="3" t="s">
        <v>123</v>
      </c>
    </row>
    <row r="7" customFormat="false" ht="15" hidden="false" customHeight="false" outlineLevel="0" collapsed="false">
      <c r="A7" s="4" t="s">
        <v>124</v>
      </c>
      <c r="B7" s="25" t="n">
        <f aca="false">'Package Builder'!B35</f>
        <v>8</v>
      </c>
      <c r="C7" s="3" t="s">
        <v>125</v>
      </c>
    </row>
    <row r="8" customFormat="false" ht="15" hidden="false" customHeight="false" outlineLevel="0" collapsed="false">
      <c r="A8" s="4" t="s">
        <v>126</v>
      </c>
      <c r="B8" s="9"/>
      <c r="C8" s="3" t="s">
        <v>127</v>
      </c>
    </row>
    <row r="9" customFormat="false" ht="15" hidden="false" customHeight="false" outlineLevel="0" collapsed="false">
      <c r="A9" s="4" t="s">
        <v>128</v>
      </c>
      <c r="B9" s="25" t="n">
        <f aca="false">IF(B8="",B7,B8)</f>
        <v>8</v>
      </c>
      <c r="C9" s="3" t="s">
        <v>129</v>
      </c>
    </row>
    <row r="10" customFormat="false" ht="15" hidden="false" customHeight="false" outlineLevel="0" collapsed="false">
      <c r="A10" s="4" t="s">
        <v>130</v>
      </c>
      <c r="B10" s="24" t="n">
        <f aca="false">IFERROR(ROUND('Package Builder'!F35/'Package Builder'!B35,2),0)</f>
        <v>5.5</v>
      </c>
      <c r="C10" s="3" t="s">
        <v>131</v>
      </c>
    </row>
    <row r="11" customFormat="false" ht="15" hidden="false" customHeight="false" outlineLevel="0" collapsed="false">
      <c r="A11" s="4" t="s">
        <v>132</v>
      </c>
      <c r="B11" s="26"/>
      <c r="C11" s="3" t="s">
        <v>127</v>
      </c>
    </row>
    <row r="12" customFormat="false" ht="15" hidden="false" customHeight="false" outlineLevel="0" collapsed="false">
      <c r="A12" s="4" t="s">
        <v>133</v>
      </c>
      <c r="B12" s="24" t="n">
        <f aca="false">IF(B11="",B10,B11)</f>
        <v>5.5</v>
      </c>
      <c r="C12" s="3" t="s">
        <v>129</v>
      </c>
    </row>
    <row r="13" customFormat="false" ht="15" hidden="false" customHeight="false" outlineLevel="0" collapsed="false">
      <c r="A13" s="4" t="s">
        <v>134</v>
      </c>
      <c r="B13" s="18" t="n">
        <f aca="false">IFERROR(ROUND('Package Builder'!H35/'Package Builder'!B35,2),0)</f>
        <v>477.5</v>
      </c>
      <c r="C13" s="3" t="s">
        <v>135</v>
      </c>
    </row>
    <row r="14" customFormat="false" ht="15" hidden="false" customHeight="false" outlineLevel="0" collapsed="false">
      <c r="A14" s="4" t="s">
        <v>136</v>
      </c>
      <c r="B14" s="6"/>
      <c r="C14" s="3" t="s">
        <v>127</v>
      </c>
    </row>
    <row r="15" customFormat="false" ht="15" hidden="false" customHeight="false" outlineLevel="0" collapsed="false">
      <c r="A15" s="4" t="s">
        <v>137</v>
      </c>
      <c r="B15" s="18" t="n">
        <f aca="false">IF(B14="",B13,B14)</f>
        <v>477.5</v>
      </c>
      <c r="C15" s="3" t="s">
        <v>129</v>
      </c>
    </row>
    <row r="16" customFormat="false" ht="15" hidden="false" customHeight="false" outlineLevel="0" collapsed="false">
      <c r="A16" s="5" t="s">
        <v>138</v>
      </c>
      <c r="B16" s="23" t="n">
        <f aca="false">IFERROR(INT(B6/B12),0)</f>
        <v>18</v>
      </c>
      <c r="C16" s="3" t="s">
        <v>139</v>
      </c>
    </row>
    <row r="17" customFormat="false" ht="15" hidden="false" customHeight="false" outlineLevel="0" collapsed="false">
      <c r="A17" s="4" t="s">
        <v>140</v>
      </c>
      <c r="B17" s="24" t="n">
        <f aca="false">ROUND(B9*B12,2)</f>
        <v>44</v>
      </c>
      <c r="C17" s="3" t="s">
        <v>141</v>
      </c>
    </row>
    <row r="18" customFormat="false" ht="15" hidden="false" customHeight="false" outlineLevel="0" collapsed="false">
      <c r="A18" s="4" t="s">
        <v>142</v>
      </c>
      <c r="B18" s="27" t="n">
        <f aca="false">ROUND(B6-B17,2)</f>
        <v>56.8</v>
      </c>
      <c r="C18" s="3" t="s">
        <v>143</v>
      </c>
    </row>
    <row r="19" customFormat="false" ht="15" hidden="false" customHeight="false" outlineLevel="0" collapsed="false">
      <c r="A19" s="5" t="s">
        <v>144</v>
      </c>
      <c r="B19" s="23" t="n">
        <f aca="false">MAX(0,B16-B9)</f>
        <v>10</v>
      </c>
      <c r="C19" s="3" t="s">
        <v>145</v>
      </c>
    </row>
    <row r="20" customFormat="false" ht="15" hidden="false" customHeight="false" outlineLevel="0" collapsed="false">
      <c r="A20" s="5" t="s">
        <v>146</v>
      </c>
      <c r="B20" s="7" t="n">
        <f aca="false">ROUND(B16*B15,2)</f>
        <v>8595</v>
      </c>
      <c r="C20" s="3" t="s">
        <v>147</v>
      </c>
    </row>
    <row r="21" customFormat="false" ht="15" hidden="false" customHeight="false" outlineLevel="0" collapsed="false">
      <c r="A21" s="4" t="s">
        <v>148</v>
      </c>
      <c r="B21" s="18" t="n">
        <f aca="false">ROUND(B9*B15,2)</f>
        <v>3820</v>
      </c>
      <c r="C21" s="3" t="s">
        <v>149</v>
      </c>
    </row>
    <row r="22" customFormat="false" ht="15" hidden="false" customHeight="false" outlineLevel="0" collapsed="false">
      <c r="A22" s="5" t="s">
        <v>150</v>
      </c>
      <c r="B22" s="5" t="str">
        <f aca="false">IF(B9&gt;B16,"Overbooked by "&amp;(B9-B16)&amp;" clients",IF(B19&gt;0,B19&amp;" open client slots","At capacity"))</f>
        <v>10 open client slots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11" min="3" style="1" width="12"/>
    <col collapsed="false" customWidth="true" hidden="false" outlineLevel="0" max="14" min="12" style="1" width="11"/>
  </cols>
  <sheetData>
    <row r="1" customFormat="false" ht="17.35" hidden="false" customHeight="false" outlineLevel="0" collapsed="false">
      <c r="A1" s="2" t="s">
        <v>151</v>
      </c>
    </row>
    <row r="2" customFormat="false" ht="15" hidden="false" customHeight="false" outlineLevel="0" collapsed="false">
      <c r="A2" s="3" t="s">
        <v>152</v>
      </c>
    </row>
    <row r="4" customFormat="false" ht="39.55" hidden="false" customHeight="false" outlineLevel="0" collapsed="false">
      <c r="A4" s="15" t="s">
        <v>153</v>
      </c>
      <c r="B4" s="15" t="s">
        <v>154</v>
      </c>
      <c r="C4" s="15" t="s">
        <v>102</v>
      </c>
      <c r="D4" s="15" t="s">
        <v>103</v>
      </c>
      <c r="E4" s="15" t="s">
        <v>155</v>
      </c>
      <c r="F4" s="15" t="s">
        <v>156</v>
      </c>
      <c r="G4" s="15" t="s">
        <v>157</v>
      </c>
      <c r="H4" s="15" t="s">
        <v>158</v>
      </c>
      <c r="I4" s="15" t="s">
        <v>159</v>
      </c>
      <c r="J4" s="15" t="s">
        <v>160</v>
      </c>
      <c r="K4" s="15" t="s">
        <v>161</v>
      </c>
      <c r="L4" s="15" t="s">
        <v>162</v>
      </c>
      <c r="M4" s="15" t="s">
        <v>163</v>
      </c>
      <c r="N4" s="15" t="s">
        <v>164</v>
      </c>
    </row>
    <row r="5" customFormat="false" ht="15" hidden="false" customHeight="false" outlineLevel="0" collapsed="false">
      <c r="A5" s="28" t="n">
        <v>46023</v>
      </c>
      <c r="B5" s="10" t="n">
        <v>110</v>
      </c>
      <c r="C5" s="18" t="n">
        <f aca="false">IF(A5="","",Settings!$B$21)</f>
        <v>90</v>
      </c>
      <c r="D5" s="8"/>
      <c r="E5" s="18" t="n">
        <f aca="false">IF(A5="","",IF(D5&lt;&gt;"",D5,C5))</f>
        <v>90</v>
      </c>
      <c r="F5" s="6" t="n">
        <v>9200</v>
      </c>
      <c r="G5" s="6" t="n">
        <v>8800</v>
      </c>
      <c r="H5" s="18" t="n">
        <f aca="false">IF(A5="","",ROUND(B5*E5,2))</f>
        <v>9900</v>
      </c>
      <c r="I5" s="29" t="n">
        <f aca="false">IF(A5="","",IFERROR(ROUND(F5/H5*100,2),0))</f>
        <v>92.93</v>
      </c>
      <c r="J5" s="29" t="n">
        <f aca="false">IF(A5="","",IFERROR(ROUND(G5/F5*100,2),0))</f>
        <v>95.65</v>
      </c>
      <c r="K5" s="29" t="n">
        <f aca="false">IF(A5="","",IFERROR(ROUND(G5/H5*100,2),0))</f>
        <v>88.89</v>
      </c>
      <c r="L5" s="18" t="n">
        <f aca="false">IF(A5="","",H5-F5)</f>
        <v>700</v>
      </c>
      <c r="M5" s="18" t="n">
        <f aca="false">IF(A5="","",F5-G5)</f>
        <v>400</v>
      </c>
      <c r="N5" s="18" t="n">
        <f aca="false">IF(A5="","",IFERROR(ROUND(G5/B5,2),0))</f>
        <v>80</v>
      </c>
    </row>
    <row r="6" customFormat="false" ht="15" hidden="false" customHeight="false" outlineLevel="0" collapsed="false">
      <c r="A6" s="28" t="n">
        <v>46054</v>
      </c>
      <c r="B6" s="19" t="n">
        <v>105</v>
      </c>
      <c r="C6" s="18" t="n">
        <f aca="false">IF(A6="","",Settings!$B$21)</f>
        <v>90</v>
      </c>
      <c r="D6" s="8"/>
      <c r="E6" s="18" t="n">
        <f aca="false">IF(A6="","",IF(D6&lt;&gt;"",D6,C6))</f>
        <v>90</v>
      </c>
      <c r="F6" s="8" t="n">
        <v>8900</v>
      </c>
      <c r="G6" s="8" t="n">
        <v>8700</v>
      </c>
      <c r="H6" s="18" t="n">
        <f aca="false">IF(A6="","",ROUND(B6*E6,2))</f>
        <v>9450</v>
      </c>
      <c r="I6" s="29" t="n">
        <f aca="false">IF(A6="","",IFERROR(ROUND(F6/H6*100,2),0))</f>
        <v>94.18</v>
      </c>
      <c r="J6" s="29" t="n">
        <f aca="false">IF(A6="","",IFERROR(ROUND(G6/F6*100,2),0))</f>
        <v>97.75</v>
      </c>
      <c r="K6" s="29" t="n">
        <f aca="false">IF(A6="","",IFERROR(ROUND(G6/H6*100,2),0))</f>
        <v>92.06</v>
      </c>
      <c r="L6" s="18" t="n">
        <f aca="false">IF(A6="","",H6-F6)</f>
        <v>550</v>
      </c>
      <c r="M6" s="18" t="n">
        <f aca="false">IF(A6="","",F6-G6)</f>
        <v>200</v>
      </c>
      <c r="N6" s="18" t="n">
        <f aca="false">IF(A6="","",IFERROR(ROUND(G6/B6,2),0))</f>
        <v>82.86</v>
      </c>
    </row>
    <row r="7" customFormat="false" ht="15" hidden="false" customHeight="false" outlineLevel="0" collapsed="false">
      <c r="A7" s="28" t="n">
        <v>46082</v>
      </c>
      <c r="B7" s="19" t="n">
        <v>120</v>
      </c>
      <c r="C7" s="18" t="n">
        <f aca="false">IF(A7="","",Settings!$B$21)</f>
        <v>90</v>
      </c>
      <c r="D7" s="8"/>
      <c r="E7" s="18" t="n">
        <f aca="false">IF(A7="","",IF(D7&lt;&gt;"",D7,C7))</f>
        <v>90</v>
      </c>
      <c r="F7" s="8" t="n">
        <v>10300</v>
      </c>
      <c r="G7" s="8" t="n">
        <v>9500</v>
      </c>
      <c r="H7" s="18" t="n">
        <f aca="false">IF(A7="","",ROUND(B7*E7,2))</f>
        <v>10800</v>
      </c>
      <c r="I7" s="29" t="n">
        <f aca="false">IF(A7="","",IFERROR(ROUND(F7/H7*100,2),0))</f>
        <v>95.37</v>
      </c>
      <c r="J7" s="29" t="n">
        <f aca="false">IF(A7="","",IFERROR(ROUND(G7/F7*100,2),0))</f>
        <v>92.23</v>
      </c>
      <c r="K7" s="29" t="n">
        <f aca="false">IF(A7="","",IFERROR(ROUND(G7/H7*100,2),0))</f>
        <v>87.96</v>
      </c>
      <c r="L7" s="18" t="n">
        <f aca="false">IF(A7="","",H7-F7)</f>
        <v>500</v>
      </c>
      <c r="M7" s="18" t="n">
        <f aca="false">IF(A7="","",F7-G7)</f>
        <v>800</v>
      </c>
      <c r="N7" s="18" t="n">
        <f aca="false">IF(A7="","",IFERROR(ROUND(G7/B7,2),0))</f>
        <v>79.17</v>
      </c>
    </row>
    <row r="8" customFormat="false" ht="15" hidden="false" customHeight="false" outlineLevel="0" collapsed="false">
      <c r="A8" s="28" t="n">
        <v>46113</v>
      </c>
      <c r="B8" s="19" t="n">
        <v>100</v>
      </c>
      <c r="C8" s="18" t="n">
        <f aca="false">IF(A8="","",Settings!$B$21)</f>
        <v>90</v>
      </c>
      <c r="D8" s="8"/>
      <c r="E8" s="18" t="n">
        <f aca="false">IF(A8="","",IF(D8&lt;&gt;"",D8,C8))</f>
        <v>90</v>
      </c>
      <c r="F8" s="8" t="n">
        <v>8600</v>
      </c>
      <c r="G8" s="8" t="n">
        <v>8400</v>
      </c>
      <c r="H8" s="18" t="n">
        <f aca="false">IF(A8="","",ROUND(B8*E8,2))</f>
        <v>9000</v>
      </c>
      <c r="I8" s="29" t="n">
        <f aca="false">IF(A8="","",IFERROR(ROUND(F8/H8*100,2),0))</f>
        <v>95.56</v>
      </c>
      <c r="J8" s="29" t="n">
        <f aca="false">IF(A8="","",IFERROR(ROUND(G8/F8*100,2),0))</f>
        <v>97.67</v>
      </c>
      <c r="K8" s="29" t="n">
        <f aca="false">IF(A8="","",IFERROR(ROUND(G8/H8*100,2),0))</f>
        <v>93.33</v>
      </c>
      <c r="L8" s="18" t="n">
        <f aca="false">IF(A8="","",H8-F8)</f>
        <v>400</v>
      </c>
      <c r="M8" s="18" t="n">
        <f aca="false">IF(A8="","",F8-G8)</f>
        <v>200</v>
      </c>
      <c r="N8" s="18" t="n">
        <f aca="false">IF(A8="","",IFERROR(ROUND(G8/B8,2),0))</f>
        <v>84</v>
      </c>
    </row>
    <row r="9" customFormat="false" ht="15" hidden="false" customHeight="false" outlineLevel="0" collapsed="false">
      <c r="A9" s="28" t="n">
        <v>46143</v>
      </c>
      <c r="B9" s="19" t="n">
        <v>115</v>
      </c>
      <c r="C9" s="18" t="n">
        <f aca="false">IF(A9="","",Settings!$B$21)</f>
        <v>90</v>
      </c>
      <c r="D9" s="8"/>
      <c r="E9" s="18" t="n">
        <f aca="false">IF(A9="","",IF(D9&lt;&gt;"",D9,C9))</f>
        <v>90</v>
      </c>
      <c r="F9" s="8" t="n">
        <v>9800</v>
      </c>
      <c r="G9" s="8" t="n">
        <v>9600</v>
      </c>
      <c r="H9" s="18" t="n">
        <f aca="false">IF(A9="","",ROUND(B9*E9,2))</f>
        <v>10350</v>
      </c>
      <c r="I9" s="29" t="n">
        <f aca="false">IF(A9="","",IFERROR(ROUND(F9/H9*100,2),0))</f>
        <v>94.69</v>
      </c>
      <c r="J9" s="29" t="n">
        <f aca="false">IF(A9="","",IFERROR(ROUND(G9/F9*100,2),0))</f>
        <v>97.96</v>
      </c>
      <c r="K9" s="29" t="n">
        <f aca="false">IF(A9="","",IFERROR(ROUND(G9/H9*100,2),0))</f>
        <v>92.75</v>
      </c>
      <c r="L9" s="18" t="n">
        <f aca="false">IF(A9="","",H9-F9)</f>
        <v>550</v>
      </c>
      <c r="M9" s="18" t="n">
        <f aca="false">IF(A9="","",F9-G9)</f>
        <v>200</v>
      </c>
      <c r="N9" s="18" t="n">
        <f aca="false">IF(A9="","",IFERROR(ROUND(G9/B9,2),0))</f>
        <v>83.48</v>
      </c>
    </row>
    <row r="10" customFormat="false" ht="15" hidden="false" customHeight="false" outlineLevel="0" collapsed="false">
      <c r="A10" s="28" t="n">
        <v>46174</v>
      </c>
      <c r="B10" s="19" t="n">
        <v>108</v>
      </c>
      <c r="C10" s="18" t="n">
        <f aca="false">IF(A10="","",Settings!$B$21)</f>
        <v>90</v>
      </c>
      <c r="D10" s="8"/>
      <c r="E10" s="18" t="n">
        <f aca="false">IF(A10="","",IF(D10&lt;&gt;"",D10,C10))</f>
        <v>90</v>
      </c>
      <c r="F10" s="8" t="n">
        <v>9300</v>
      </c>
      <c r="G10" s="8" t="n">
        <v>8900</v>
      </c>
      <c r="H10" s="18" t="n">
        <f aca="false">IF(A10="","",ROUND(B10*E10,2))</f>
        <v>9720</v>
      </c>
      <c r="I10" s="29" t="n">
        <f aca="false">IF(A10="","",IFERROR(ROUND(F10/H10*100,2),0))</f>
        <v>95.68</v>
      </c>
      <c r="J10" s="29" t="n">
        <f aca="false">IF(A10="","",IFERROR(ROUND(G10/F10*100,2),0))</f>
        <v>95.7</v>
      </c>
      <c r="K10" s="29" t="n">
        <f aca="false">IF(A10="","",IFERROR(ROUND(G10/H10*100,2),0))</f>
        <v>91.56</v>
      </c>
      <c r="L10" s="18" t="n">
        <f aca="false">IF(A10="","",H10-F10)</f>
        <v>420</v>
      </c>
      <c r="M10" s="18" t="n">
        <f aca="false">IF(A10="","",F10-G10)</f>
        <v>400</v>
      </c>
      <c r="N10" s="18" t="n">
        <f aca="false">IF(A10="","",IFERROR(ROUND(G10/B10,2),0))</f>
        <v>82.41</v>
      </c>
    </row>
    <row r="11" customFormat="false" ht="15" hidden="false" customHeight="false" outlineLevel="0" collapsed="false">
      <c r="A11" s="28"/>
      <c r="B11" s="19"/>
      <c r="C11" s="18" t="str">
        <f aca="false">IF(A11="","",Settings!$B$21)</f>
        <v/>
      </c>
      <c r="D11" s="8"/>
      <c r="E11" s="18" t="str">
        <f aca="false">IF(A11="","",IF(D11&lt;&gt;"",D11,C11))</f>
        <v/>
      </c>
      <c r="F11" s="8"/>
      <c r="G11" s="8"/>
      <c r="H11" s="18" t="str">
        <f aca="false">IF(A11="","",ROUND(B11*E11,2))</f>
        <v/>
      </c>
      <c r="I11" s="29" t="str">
        <f aca="false">IF(A11="","",IFERROR(ROUND(F11/H11*100,2),0))</f>
        <v/>
      </c>
      <c r="J11" s="29" t="str">
        <f aca="false">IF(A11="","",IFERROR(ROUND(G11/F11*100,2),0))</f>
        <v/>
      </c>
      <c r="K11" s="29" t="str">
        <f aca="false">IF(A11="","",IFERROR(ROUND(G11/H11*100,2),0))</f>
        <v/>
      </c>
      <c r="L11" s="18" t="str">
        <f aca="false">IF(A11="","",H11-F11)</f>
        <v/>
      </c>
      <c r="M11" s="18" t="str">
        <f aca="false">IF(A11="","",F11-G11)</f>
        <v/>
      </c>
      <c r="N11" s="18" t="str">
        <f aca="false">IF(A11="","",IFERROR(ROUND(G11/B11,2),0))</f>
        <v/>
      </c>
    </row>
    <row r="12" customFormat="false" ht="15" hidden="false" customHeight="false" outlineLevel="0" collapsed="false">
      <c r="A12" s="28"/>
      <c r="B12" s="19"/>
      <c r="C12" s="18" t="str">
        <f aca="false">IF(A12="","",Settings!$B$21)</f>
        <v/>
      </c>
      <c r="D12" s="8"/>
      <c r="E12" s="18" t="str">
        <f aca="false">IF(A12="","",IF(D12&lt;&gt;"",D12,C12))</f>
        <v/>
      </c>
      <c r="F12" s="8"/>
      <c r="G12" s="8"/>
      <c r="H12" s="18" t="str">
        <f aca="false">IF(A12="","",ROUND(B12*E12,2))</f>
        <v/>
      </c>
      <c r="I12" s="29" t="str">
        <f aca="false">IF(A12="","",IFERROR(ROUND(F12/H12*100,2),0))</f>
        <v/>
      </c>
      <c r="J12" s="29" t="str">
        <f aca="false">IF(A12="","",IFERROR(ROUND(G12/F12*100,2),0))</f>
        <v/>
      </c>
      <c r="K12" s="29" t="str">
        <f aca="false">IF(A12="","",IFERROR(ROUND(G12/H12*100,2),0))</f>
        <v/>
      </c>
      <c r="L12" s="18" t="str">
        <f aca="false">IF(A12="","",H12-F12)</f>
        <v/>
      </c>
      <c r="M12" s="18" t="str">
        <f aca="false">IF(A12="","",F12-G12)</f>
        <v/>
      </c>
      <c r="N12" s="18" t="str">
        <f aca="false">IF(A12="","",IFERROR(ROUND(G12/B12,2),0))</f>
        <v/>
      </c>
    </row>
    <row r="13" customFormat="false" ht="15" hidden="false" customHeight="false" outlineLevel="0" collapsed="false">
      <c r="A13" s="28"/>
      <c r="B13" s="19"/>
      <c r="C13" s="18" t="str">
        <f aca="false">IF(A13="","",Settings!$B$21)</f>
        <v/>
      </c>
      <c r="D13" s="8"/>
      <c r="E13" s="18" t="str">
        <f aca="false">IF(A13="","",IF(D13&lt;&gt;"",D13,C13))</f>
        <v/>
      </c>
      <c r="F13" s="8"/>
      <c r="G13" s="8"/>
      <c r="H13" s="18" t="str">
        <f aca="false">IF(A13="","",ROUND(B13*E13,2))</f>
        <v/>
      </c>
      <c r="I13" s="29" t="str">
        <f aca="false">IF(A13="","",IFERROR(ROUND(F13/H13*100,2),0))</f>
        <v/>
      </c>
      <c r="J13" s="29" t="str">
        <f aca="false">IF(A13="","",IFERROR(ROUND(G13/F13*100,2),0))</f>
        <v/>
      </c>
      <c r="K13" s="29" t="str">
        <f aca="false">IF(A13="","",IFERROR(ROUND(G13/H13*100,2),0))</f>
        <v/>
      </c>
      <c r="L13" s="18" t="str">
        <f aca="false">IF(A13="","",H13-F13)</f>
        <v/>
      </c>
      <c r="M13" s="18" t="str">
        <f aca="false">IF(A13="","",F13-G13)</f>
        <v/>
      </c>
      <c r="N13" s="18" t="str">
        <f aca="false">IF(A13="","",IFERROR(ROUND(G13/B13,2),0))</f>
        <v/>
      </c>
    </row>
    <row r="14" customFormat="false" ht="15" hidden="false" customHeight="false" outlineLevel="0" collapsed="false">
      <c r="A14" s="28"/>
      <c r="B14" s="19"/>
      <c r="C14" s="18" t="str">
        <f aca="false">IF(A14="","",Settings!$B$21)</f>
        <v/>
      </c>
      <c r="D14" s="8"/>
      <c r="E14" s="18" t="str">
        <f aca="false">IF(A14="","",IF(D14&lt;&gt;"",D14,C14))</f>
        <v/>
      </c>
      <c r="F14" s="8"/>
      <c r="G14" s="8"/>
      <c r="H14" s="18" t="str">
        <f aca="false">IF(A14="","",ROUND(B14*E14,2))</f>
        <v/>
      </c>
      <c r="I14" s="29" t="str">
        <f aca="false">IF(A14="","",IFERROR(ROUND(F14/H14*100,2),0))</f>
        <v/>
      </c>
      <c r="J14" s="29" t="str">
        <f aca="false">IF(A14="","",IFERROR(ROUND(G14/F14*100,2),0))</f>
        <v/>
      </c>
      <c r="K14" s="29" t="str">
        <f aca="false">IF(A14="","",IFERROR(ROUND(G14/H14*100,2),0))</f>
        <v/>
      </c>
      <c r="L14" s="18" t="str">
        <f aca="false">IF(A14="","",H14-F14)</f>
        <v/>
      </c>
      <c r="M14" s="18" t="str">
        <f aca="false">IF(A14="","",F14-G14)</f>
        <v/>
      </c>
      <c r="N14" s="18" t="str">
        <f aca="false">IF(A14="","",IFERROR(ROUND(G14/B14,2),0))</f>
        <v/>
      </c>
    </row>
    <row r="15" customFormat="false" ht="15" hidden="false" customHeight="false" outlineLevel="0" collapsed="false">
      <c r="A15" s="28"/>
      <c r="B15" s="19"/>
      <c r="C15" s="18" t="str">
        <f aca="false">IF(A15="","",Settings!$B$21)</f>
        <v/>
      </c>
      <c r="D15" s="8"/>
      <c r="E15" s="18" t="str">
        <f aca="false">IF(A15="","",IF(D15&lt;&gt;"",D15,C15))</f>
        <v/>
      </c>
      <c r="F15" s="8"/>
      <c r="G15" s="8"/>
      <c r="H15" s="18" t="str">
        <f aca="false">IF(A15="","",ROUND(B15*E15,2))</f>
        <v/>
      </c>
      <c r="I15" s="29" t="str">
        <f aca="false">IF(A15="","",IFERROR(ROUND(F15/H15*100,2),0))</f>
        <v/>
      </c>
      <c r="J15" s="29" t="str">
        <f aca="false">IF(A15="","",IFERROR(ROUND(G15/F15*100,2),0))</f>
        <v/>
      </c>
      <c r="K15" s="29" t="str">
        <f aca="false">IF(A15="","",IFERROR(ROUND(G15/H15*100,2),0))</f>
        <v/>
      </c>
      <c r="L15" s="18" t="str">
        <f aca="false">IF(A15="","",H15-F15)</f>
        <v/>
      </c>
      <c r="M15" s="18" t="str">
        <f aca="false">IF(A15="","",F15-G15)</f>
        <v/>
      </c>
      <c r="N15" s="18" t="str">
        <f aca="false">IF(A15="","",IFERROR(ROUND(G15/B15,2),0))</f>
        <v/>
      </c>
    </row>
    <row r="16" customFormat="false" ht="15" hidden="false" customHeight="false" outlineLevel="0" collapsed="false">
      <c r="A16" s="28"/>
      <c r="B16" s="19"/>
      <c r="C16" s="18" t="str">
        <f aca="false">IF(A16="","",Settings!$B$21)</f>
        <v/>
      </c>
      <c r="D16" s="8"/>
      <c r="E16" s="18" t="str">
        <f aca="false">IF(A16="","",IF(D16&lt;&gt;"",D16,C16))</f>
        <v/>
      </c>
      <c r="F16" s="8"/>
      <c r="G16" s="8"/>
      <c r="H16" s="18" t="str">
        <f aca="false">IF(A16="","",ROUND(B16*E16,2))</f>
        <v/>
      </c>
      <c r="I16" s="29" t="str">
        <f aca="false">IF(A16="","",IFERROR(ROUND(F16/H16*100,2),0))</f>
        <v/>
      </c>
      <c r="J16" s="29" t="str">
        <f aca="false">IF(A16="","",IFERROR(ROUND(G16/F16*100,2),0))</f>
        <v/>
      </c>
      <c r="K16" s="29" t="str">
        <f aca="false">IF(A16="","",IFERROR(ROUND(G16/H16*100,2),0))</f>
        <v/>
      </c>
      <c r="L16" s="18" t="str">
        <f aca="false">IF(A16="","",H16-F16)</f>
        <v/>
      </c>
      <c r="M16" s="18" t="str">
        <f aca="false">IF(A16="","",F16-G16)</f>
        <v/>
      </c>
      <c r="N16" s="18" t="str">
        <f aca="false">IF(A16="","",IFERROR(ROUND(G16/B16,2),0))</f>
        <v/>
      </c>
    </row>
    <row r="17" customFormat="false" ht="15" hidden="false" customHeight="false" outlineLevel="0" collapsed="false">
      <c r="A17" s="5" t="s">
        <v>96</v>
      </c>
      <c r="B17" s="21" t="n">
        <f aca="false">SUM(B5:B16)</f>
        <v>658</v>
      </c>
      <c r="F17" s="7" t="n">
        <f aca="false">SUM(F5:F16)</f>
        <v>56100</v>
      </c>
      <c r="G17" s="7" t="n">
        <f aca="false">SUM(G5:G16)</f>
        <v>53900</v>
      </c>
      <c r="H17" s="7" t="n">
        <f aca="false">SUM(H5:H16)</f>
        <v>59220</v>
      </c>
      <c r="I17" s="30" t="n">
        <f aca="false">IFERROR(ROUND(F17/H17*100,2),0)</f>
        <v>94.73</v>
      </c>
      <c r="J17" s="30" t="n">
        <f aca="false">IFERROR(ROUND(G17/F17*100,2),0)</f>
        <v>96.08</v>
      </c>
      <c r="K17" s="30" t="n">
        <f aca="false">IFERROR(ROUND(G17/H17*100,2),0)</f>
        <v>91.02</v>
      </c>
      <c r="L17" s="7" t="n">
        <f aca="false">SUM(L5:L16)</f>
        <v>3120</v>
      </c>
      <c r="M17" s="7" t="n">
        <f aca="false">SUM(M5:M16)</f>
        <v>2200</v>
      </c>
      <c r="N17" s="7" t="n">
        <f aca="false">IFERROR(ROUND(G17/B17,2),0)</f>
        <v>81.91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2" min="2" style="1" width="24"/>
    <col collapsed="false" customWidth="true" hidden="false" outlineLevel="0" max="3" min="3" style="1" width="60"/>
  </cols>
  <sheetData>
    <row r="1" customFormat="false" ht="17.35" hidden="false" customHeight="false" outlineLevel="0" collapsed="false">
      <c r="A1" s="2" t="s">
        <v>165</v>
      </c>
    </row>
    <row r="2" customFormat="false" ht="15" hidden="false" customHeight="false" outlineLevel="0" collapsed="false">
      <c r="A2" s="5" t="s">
        <v>59</v>
      </c>
      <c r="B2" s="7" t="n">
        <f aca="false">Settings!$B$20</f>
        <v>48.21</v>
      </c>
      <c r="C2" s="3" t="s">
        <v>119</v>
      </c>
    </row>
    <row r="3" customFormat="false" ht="15" hidden="false" customHeight="false" outlineLevel="0" collapsed="false">
      <c r="A3" s="5" t="s">
        <v>61</v>
      </c>
      <c r="B3" s="7" t="n">
        <f aca="false">Settings!$B$21</f>
        <v>90</v>
      </c>
      <c r="C3" s="3" t="s">
        <v>166</v>
      </c>
    </row>
    <row r="4" customFormat="false" ht="15" hidden="false" customHeight="false" outlineLevel="0" collapsed="false">
      <c r="A4" s="5" t="s">
        <v>167</v>
      </c>
      <c r="B4" s="23" t="n">
        <f aca="false">'Package Builder'!B35</f>
        <v>8</v>
      </c>
    </row>
    <row r="5" customFormat="false" ht="15" hidden="false" customHeight="false" outlineLevel="0" collapsed="false">
      <c r="A5" s="5" t="s">
        <v>168</v>
      </c>
      <c r="B5" s="23" t="n">
        <f aca="false">COUNTIF('Package Builder'!N5:N34,"&lt;0")</f>
        <v>4</v>
      </c>
      <c r="C5" s="3" t="s">
        <v>169</v>
      </c>
    </row>
    <row r="6" customFormat="false" ht="15" hidden="false" customHeight="false" outlineLevel="0" collapsed="false">
      <c r="A6" s="5" t="s">
        <v>170</v>
      </c>
      <c r="B6" s="7" t="n">
        <f aca="false">'Package Builder'!H35</f>
        <v>3820</v>
      </c>
    </row>
    <row r="7" customFormat="false" ht="15" hidden="false" customHeight="false" outlineLevel="0" collapsed="false">
      <c r="A7" s="5" t="s">
        <v>171</v>
      </c>
      <c r="B7" s="7" t="n">
        <f aca="false">'Package Builder'!P35</f>
        <v>45840</v>
      </c>
    </row>
    <row r="8" customFormat="false" ht="15" hidden="false" customHeight="false" outlineLevel="0" collapsed="false">
      <c r="A8" s="5" t="s">
        <v>172</v>
      </c>
      <c r="B8" s="7" t="n">
        <f aca="false">'Package Builder'!M35</f>
        <v>4491.47</v>
      </c>
      <c r="C8" s="3" t="s">
        <v>173</v>
      </c>
    </row>
    <row r="9" customFormat="false" ht="15" hidden="false" customHeight="false" outlineLevel="0" collapsed="false">
      <c r="A9" s="5" t="s">
        <v>174</v>
      </c>
      <c r="B9" s="7" t="n">
        <f aca="false">B8-B6</f>
        <v>671.47</v>
      </c>
      <c r="C9" s="3" t="s">
        <v>175</v>
      </c>
    </row>
    <row r="10" customFormat="false" ht="15" hidden="false" customHeight="false" outlineLevel="0" collapsed="false">
      <c r="A10" s="5" t="s">
        <v>176</v>
      </c>
      <c r="B10" s="7" t="n">
        <f aca="false">ROUND(B9*12,2)</f>
        <v>8057.64</v>
      </c>
      <c r="C10" s="3" t="s">
        <v>177</v>
      </c>
    </row>
    <row r="11" customFormat="false" ht="15" hidden="false" customHeight="false" outlineLevel="0" collapsed="false">
      <c r="A11" s="5" t="s">
        <v>178</v>
      </c>
      <c r="B11" s="5" t="str">
        <f aca="false">IFERROR(INDEX('Package Builder'!A5:A34,MATCH(MAX('Package Builder'!O5:O34),'Package Builder'!O5:O34,0)),"")</f>
        <v>Mason Family Trust</v>
      </c>
      <c r="C11" s="3" t="s">
        <v>179</v>
      </c>
    </row>
    <row r="12" customFormat="false" ht="15" hidden="false" customHeight="false" outlineLevel="0" collapsed="false">
      <c r="A12" s="5" t="s">
        <v>180</v>
      </c>
      <c r="B12" s="5" t="str">
        <f aca="false">IFERROR(INDEX('Package Builder'!A5:A34,MATCH(MIN('Package Builder'!O5:O34),'Package Builder'!O5:O34,0)),"")</f>
        <v>Nguyen Builders Ltd</v>
      </c>
      <c r="C12" s="3" t="s">
        <v>181</v>
      </c>
    </row>
    <row r="13" customFormat="false" ht="15" hidden="false" customHeight="false" outlineLevel="0" collapsed="false">
      <c r="A13" s="5" t="s">
        <v>144</v>
      </c>
      <c r="B13" s="23" t="n">
        <f aca="false">Capacity!B19</f>
        <v>10</v>
      </c>
      <c r="C13" s="3" t="s">
        <v>182</v>
      </c>
    </row>
    <row r="14" customFormat="false" ht="15" hidden="false" customHeight="false" outlineLevel="0" collapsed="false">
      <c r="A14" s="5" t="s">
        <v>142</v>
      </c>
      <c r="B14" s="13" t="n">
        <f aca="false">Capacity!B18</f>
        <v>56.8</v>
      </c>
      <c r="C14" s="3" t="s">
        <v>182</v>
      </c>
    </row>
    <row r="15" customFormat="false" ht="15" hidden="false" customHeight="false" outlineLevel="0" collapsed="false">
      <c r="A15" s="5" t="s">
        <v>183</v>
      </c>
      <c r="B15" s="30" t="n">
        <f aca="false">'Realization Log'!I17</f>
        <v>94.73</v>
      </c>
      <c r="C15" s="3" t="s">
        <v>184</v>
      </c>
    </row>
    <row r="16" customFormat="false" ht="15" hidden="false" customHeight="false" outlineLevel="0" collapsed="false">
      <c r="A16" s="5" t="s">
        <v>185</v>
      </c>
      <c r="B16" s="30" t="n">
        <f aca="false">'Realization Log'!J17</f>
        <v>96.08</v>
      </c>
      <c r="C16" s="3" t="s">
        <v>184</v>
      </c>
    </row>
    <row r="17" customFormat="false" ht="15" hidden="false" customHeight="false" outlineLevel="0" collapsed="false">
      <c r="A17" s="5" t="s">
        <v>186</v>
      </c>
      <c r="B17" s="30" t="n">
        <f aca="false">'Realization Log'!K17</f>
        <v>91.02</v>
      </c>
      <c r="C17" s="3" t="s">
        <v>184</v>
      </c>
    </row>
    <row r="18" customFormat="false" ht="15" hidden="false" customHeight="false" outlineLevel="0" collapsed="false">
      <c r="A18" s="5" t="s">
        <v>187</v>
      </c>
      <c r="B18" s="7" t="n">
        <f aca="false">'Realization Log'!L17</f>
        <v>3120</v>
      </c>
      <c r="C18" s="3" t="s">
        <v>188</v>
      </c>
    </row>
    <row r="19" customFormat="false" ht="15" hidden="false" customHeight="false" outlineLevel="0" collapsed="false">
      <c r="A19" s="5" t="s">
        <v>189</v>
      </c>
      <c r="B19" s="7" t="n">
        <f aca="false">'Realization Log'!M17</f>
        <v>2200</v>
      </c>
      <c r="C19" s="3" t="s">
        <v>190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2026-10-06T12:26:53Z</dcterms:created>
  <dc:creator>openpyxl</dc:creator>
  <dc:description/>
  <dc:language>en-US</dc:language>
  <cp:lastModifiedBy/>
  <dcterms:modified xsi:type="dcterms:W3CDTF">2026-10-06T12:26:53Z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