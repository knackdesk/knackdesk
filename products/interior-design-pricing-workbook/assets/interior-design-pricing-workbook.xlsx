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6.vml" ContentType="application/vnd.openxmlformats-officedocument.vmlDrawing"/>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comments7.xml" ContentType="application/vnd.openxmlformats-officedocument.spreadsheetml.comments+xml"/>
  <Override PartName="/xl/comments5.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Fee Builder" sheetId="3" state="visible" r:id="rId5"/>
    <sheet name="Procurement" sheetId="4" state="visible" r:id="rId6"/>
    <sheet name="Room Fees" sheetId="5" state="visible" r:id="rId7"/>
    <sheet name="Budget Plan"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Knackdesk</author>
  </authors>
  <commentList>
    <comment ref="B2" authorId="0">
      <text>
        <r>
          <rPr>
            <sz val="10"/>
            <rFont val="Arial"/>
            <family val="2"/>
          </rPr>
          <t xml:space="preserve">Your own placeholder, not a recommendation and not an industry benchmark.</t>
        </r>
      </text>
    </comment>
    <comment ref="B10" authorId="0">
      <text>
        <r>
          <rPr>
            <sz val="10"/>
            <rFont val="Arial"/>
            <family val="2"/>
          </rPr>
          <t xml:space="preserve">Assumption: 1,100 is a placeholder. Count the hours you actually billed last year to set it.</t>
        </r>
      </text>
    </comment>
    <comment ref="B12" authorId="0">
      <text>
        <r>
          <rPr>
            <sz val="10"/>
            <rFont val="Arial"/>
            <family val="2"/>
          </rPr>
          <t xml:space="preserve">Your own placeholder, not a recommendation and not an industry benchmark.</t>
        </r>
      </text>
    </comment>
    <comment ref="B13" authorId="0">
      <text>
        <r>
          <rPr>
            <sz val="10"/>
            <rFont val="Arial"/>
            <family val="2"/>
          </rPr>
          <t xml:space="preserve">Your own placeholder, not a recommendation and not an industry benchmark. Markup is on your cost, not a margin on price.</t>
        </r>
      </text>
    </comment>
    <comment ref="B14" authorId="0">
      <text>
        <r>
          <rPr>
            <sz val="10"/>
            <rFont val="Arial"/>
            <family val="2"/>
          </rPr>
          <t xml:space="preserve">Assumption: 30% is a placeholder. Trade discounts vary by supplier and order size.</t>
        </r>
      </text>
    </comment>
    <comment ref="B16" authorId="0">
      <text>
        <r>
          <rPr>
            <sz val="10"/>
            <rFont val="Arial"/>
            <family val="2"/>
          </rPr>
          <t xml:space="preserve">Your own placeholder. Fee Builder flags quotes below it; Room Fees raises a project's fee to it.</t>
        </r>
      </text>
    </comment>
    <comment ref="B20" authorId="0">
      <text>
        <r>
          <rPr>
            <sz val="10"/>
            <rFont val="Arial"/>
            <family val="2"/>
          </rPr>
          <t xml:space="preserve">Fee Builder, Room Fees and the Summary all price at this rate.</t>
        </r>
      </text>
    </comment>
  </commentList>
</comments>
</file>

<file path=xl/comments3.xml><?xml version="1.0" encoding="utf-8"?>
<comments xmlns="http://schemas.openxmlformats.org/spreadsheetml/2006/main" xmlns:xdr="http://schemas.openxmlformats.org/drawingml/2006/spreadsheetDrawing">
  <authors>
    <author>Knackdesk</author>
  </authors>
  <commentList>
    <comment ref="A8" authorId="0">
      <text>
        <r>
          <rPr>
            <sz val="10"/>
            <rFont val="Arial"/>
            <family val="2"/>
          </rPr>
          <t xml:space="preserve">Example: a small project whose design fee falls below the minimum project fee on Settings.</t>
        </r>
      </text>
    </comment>
    <comment ref="C5" authorId="0">
      <text>
        <r>
          <rPr>
            <sz val="10"/>
            <rFont val="Arial"/>
            <family val="2"/>
          </rPr>
          <t xml:space="preserve">Hours you expect for the concept phase: brief, mood boards and layouts.</t>
        </r>
      </text>
    </comment>
    <comment ref="H6" authorId="0">
      <text>
        <r>
          <rPr>
            <sz val="10"/>
            <rFont val="Arial"/>
            <family val="2"/>
          </rPr>
          <t xml:space="preserve">Example override: site visits to this loft take longer because of travel.</t>
        </r>
      </text>
    </comment>
    <comment ref="K7" authorId="0">
      <text>
        <r>
          <rPr>
            <sz val="10"/>
            <rFont val="Arial"/>
            <family val="2"/>
          </rPr>
          <t xml:space="preserve">Example override: a higher contingency for a commercial fit-out with more revisions.</t>
        </r>
      </text>
    </comment>
    <comment ref="M5" authorId="0">
      <text>
        <r>
          <rPr>
            <sz val="10"/>
            <rFont val="Arial"/>
            <family val="2"/>
          </rPr>
          <t xml:space="preserve">The client's total project budget, used only to compare a percentage fee with your hourly fee.</t>
        </r>
      </text>
    </comment>
    <comment ref="O7" authorId="0">
      <text>
        <r>
          <rPr>
            <sz val="10"/>
            <rFont val="Arial"/>
            <family val="2"/>
          </rPr>
          <t xml:space="preserve">Example override: a lower percentage fee agreed for this client.</t>
        </r>
      </text>
    </comment>
    <comment ref="R5" authorId="0">
      <text>
        <r>
          <rPr>
            <sz val="10"/>
            <rFont val="Arial"/>
            <family val="2"/>
          </rPr>
          <t xml:space="preserve">Assumption: total hours × the rate used on Settings.</t>
        </r>
      </text>
    </comment>
    <comment ref="U5" authorId="0">
      <text>
        <r>
          <rPr>
            <sz val="10"/>
            <rFont val="Arial"/>
            <family val="2"/>
          </rPr>
          <t xml:space="preserve">Design fee ÷ project budget. 0 when no budget is typed.</t>
        </r>
      </text>
    </comment>
    <comment ref="U25" authorId="0">
      <text>
        <r>
          <rPr>
            <sz val="10"/>
            <rFont val="Arial"/>
            <family val="2"/>
          </rPr>
          <t xml:space="preserve">From the totals, not an average of the rows.</t>
        </r>
      </text>
    </comment>
    <comment ref="W5" authorId="0">
      <text>
        <r>
          <rPr>
            <sz val="10"/>
            <rFont val="Arial"/>
            <family val="2"/>
          </rPr>
          <t xml:space="preserve">Positive = a percentage fee would pay you more than your hourly fee for this project.</t>
        </r>
      </text>
    </comment>
    <comment ref="Y5" authorId="0">
      <text>
        <r>
          <rPr>
            <sz val="10"/>
            <rFont val="Arial"/>
            <family val="2"/>
          </rPr>
          <t xml:space="preserve">Percentage fee ÷ total hours: what each hour earns if you charge the percentage fee. 0 when there are no hours.</t>
        </r>
      </text>
    </comment>
    <comment ref="Z5" authorId="0">
      <text>
        <r>
          <rPr>
            <sz val="10"/>
            <rFont val="Arial"/>
            <family val="2"/>
          </rPr>
          <t xml:space="preserve">Flags a design fee below the minimum project fee on Settings. The fee itself is not changed here.</t>
        </r>
      </text>
    </comment>
  </commentList>
</comments>
</file>

<file path=xl/comments4.xml><?xml version="1.0" encoding="utf-8"?>
<comments xmlns="http://schemas.openxmlformats.org/spreadsheetml/2006/main" xmlns:xdr="http://schemas.openxmlformats.org/drawingml/2006/spreadsheetDrawing">
  <authors>
    <author>Knackdesk</author>
  </authors>
  <commentList>
    <comment ref="D5" authorId="0">
      <text>
        <r>
          <rPr>
            <sz val="10"/>
            <rFont val="Arial"/>
            <family val="2"/>
          </rPr>
          <t xml:space="preserve">The supplier's retail or list price per unit, the price the client could pay without you.</t>
        </r>
      </text>
    </comment>
    <comment ref="F11" authorId="0">
      <text>
        <r>
          <rPr>
            <sz val="10"/>
            <rFont val="Arial"/>
            <family val="2"/>
          </rPr>
          <t xml:space="preserve">Example override: a workroom that gives only a 10% trade discount, so the client price at your markup ends up above retail and the saving is negative.</t>
        </r>
      </text>
    </comment>
    <comment ref="I8" authorId="0">
      <text>
        <r>
          <rPr>
            <sz val="10"/>
            <rFont val="Arial"/>
            <family val="2"/>
          </rPr>
          <t xml:space="preserve">Example override: a lower markup on a large rug to stay below retail.</t>
        </r>
      </text>
    </comment>
    <comment ref="K14" authorId="0">
      <text>
        <r>
          <rPr>
            <sz val="10"/>
            <rFont val="Arial"/>
            <family val="2"/>
          </rPr>
          <t xml:space="preserve">Example: a client price typed directly instead of cost plus markup.</t>
        </r>
      </text>
    </comment>
    <comment ref="L5" authorId="0">
      <text>
        <r>
          <rPr>
            <sz val="10"/>
            <rFont val="Arial"/>
            <family val="2"/>
          </rPr>
          <t xml:space="preserve">Assumption: freight, delivery and handling for the whole line, paid by you and passed to the client at cost (in both line cost and line revenue).</t>
        </r>
      </text>
    </comment>
    <comment ref="O5" authorId="0">
      <text>
        <r>
          <rPr>
            <sz val="10"/>
            <rFont val="Arial"/>
            <family val="2"/>
          </rPr>
          <t xml:space="preserve">Your own client price if typed, otherwise your cost per unit × (1 + markup %).</t>
        </r>
      </text>
    </comment>
    <comment ref="S5" authorId="0">
      <text>
        <r>
          <rPr>
            <sz val="10"/>
            <rFont val="Arial"/>
            <family val="2"/>
          </rPr>
          <t xml:space="preserve">Margin % = gross profit ÷ line revenue: the share of the price you keep, not the markup on cost.</t>
        </r>
      </text>
    </comment>
    <comment ref="S35" authorId="0">
      <text>
        <r>
          <rPr>
            <sz val="10"/>
            <rFont val="Arial"/>
            <family val="2"/>
          </rPr>
          <t xml:space="preserve">Overall margin % from the totals, not an average of the rows.</t>
        </r>
      </text>
    </comment>
    <comment ref="T5" authorId="0">
      <text>
        <r>
          <rPr>
            <sz val="10"/>
            <rFont val="Arial"/>
            <family val="2"/>
          </rPr>
          <t xml:space="preserve">(Retail price − client price) × quantity. Negative = the client pays more than retail through you.</t>
        </r>
      </text>
    </comment>
  </commentList>
</comments>
</file>

<file path=xl/comments5.xml><?xml version="1.0" encoding="utf-8"?>
<comments xmlns="http://schemas.openxmlformats.org/spreadsheetml/2006/main" xmlns:xdr="http://schemas.openxmlformats.org/drawingml/2006/spreadsheetDrawing">
  <authors>
    <author>Knackdesk</author>
  </authors>
  <commentList>
    <comment ref="A20" authorId="0">
      <text>
        <r>
          <rPr>
            <sz val="10"/>
            <rFont val="Arial"/>
            <family val="2"/>
          </rPr>
          <t xml:space="preserve">Type each project once; its rooms above are counted and summed by name.</t>
        </r>
      </text>
    </comment>
    <comment ref="C5" authorId="0">
      <text>
        <r>
          <rPr>
            <sz val="10"/>
            <rFont val="Arial"/>
            <family val="2"/>
          </rPr>
          <t xml:space="preserve">Design hours you expect this room to take before any complexity uplift.</t>
        </r>
      </text>
    </comment>
    <comment ref="D20" authorId="0">
      <text>
        <r>
          <rPr>
            <sz val="10"/>
            <rFont val="Arial"/>
            <family val="2"/>
          </rPr>
          <t xml:space="preserve">Assumption: site visit hours for the whole project, priced at the rate used on Settings.</t>
        </r>
      </text>
    </comment>
    <comment ref="E6" authorId="0">
      <text>
        <r>
          <rPr>
            <sz val="10"/>
            <rFont val="Arial"/>
            <family val="2"/>
          </rPr>
          <t xml:space="preserve">Example override: a kitchen with joinery and services is more complex than the default.</t>
        </r>
      </text>
    </comment>
    <comment ref="G20" authorId="0">
      <text>
        <r>
          <rPr>
            <sz val="10"/>
            <rFont val="Arial"/>
            <family val="2"/>
          </rPr>
          <t xml:space="preserve">The larger of the fee before minimum and the minimum project fee on Settings.</t>
        </r>
      </text>
    </comment>
    <comment ref="H10" authorId="0">
      <text>
        <r>
          <rPr>
            <sz val="10"/>
            <rFont val="Arial"/>
            <family val="2"/>
          </rPr>
          <t xml:space="preserve">Example override: a higher rate for a bathroom with detailed tiling drawings.</t>
        </r>
      </text>
    </comment>
    <comment ref="I20" authorId="0">
      <text>
        <r>
          <rPr>
            <sz val="10"/>
            <rFont val="Arial"/>
            <family val="2"/>
          </rPr>
          <t xml:space="preserve">Project fee ÷ rooms. 0 when the project has no rooms above.</t>
        </r>
      </text>
    </comment>
    <comment ref="J5" authorId="0">
      <text>
        <r>
          <rPr>
            <sz val="10"/>
            <rFont val="Arial"/>
            <family val="2"/>
          </rPr>
          <t xml:space="preserve">Assumption: hours × (1 + complexity uplift %).</t>
        </r>
      </text>
    </comment>
  </commentList>
</comments>
</file>

<file path=xl/comments6.xml><?xml version="1.0" encoding="utf-8"?>
<comments xmlns="http://schemas.openxmlformats.org/spreadsheetml/2006/main" xmlns:xdr="http://schemas.openxmlformats.org/drawingml/2006/spreadsheetDrawing">
  <authors>
    <author>Knackdesk</author>
  </authors>
  <commentList>
    <comment ref="D7" authorId="0">
      <text>
        <r>
          <rPr>
            <sz val="10"/>
            <rFont val="Arial"/>
            <family val="2"/>
          </rPr>
          <t xml:space="preserve">Example override: the lower percentage fee agreed with this client.</t>
        </r>
      </text>
    </comment>
    <comment ref="G7" authorId="0">
      <text>
        <r>
          <rPr>
            <sz val="10"/>
            <rFont val="Arial"/>
            <family val="2"/>
          </rPr>
          <t xml:space="preserve">Example: construction set high, so the plan adds up to more than the budget and shows as over-allocated.</t>
        </r>
      </text>
    </comment>
    <comment ref="H5" authorId="0">
      <text>
        <r>
          <rPr>
            <sz val="10"/>
            <rFont val="Arial"/>
            <family val="2"/>
          </rPr>
          <t xml:space="preserve">Assumption: a reserve for the unexpected, as a % of the total budget. Your own placeholder.</t>
        </r>
      </text>
    </comment>
    <comment ref="O5" authorId="0">
      <text>
        <r>
          <rPr>
            <sz val="10"/>
            <rFont val="Arial"/>
            <family val="2"/>
          </rPr>
          <t xml:space="preserve">Total budget − allocated amount. Negative = over-allocated; positive = budget not yet assigned.</t>
        </r>
      </text>
    </comment>
  </commentList>
</comments>
</file>

<file path=xl/comments7.xml><?xml version="1.0" encoding="utf-8"?>
<comments xmlns="http://schemas.openxmlformats.org/spreadsheetml/2006/main" xmlns:xdr="http://schemas.openxmlformats.org/drawingml/2006/spreadsheetDrawing">
  <authors>
    <author>Knackdesk</author>
  </authors>
  <commentList>
    <comment ref="B6" authorId="0">
      <text>
        <r>
          <rPr>
            <sz val="10"/>
            <rFont val="Arial"/>
            <family val="2"/>
          </rPr>
          <t xml:space="preserve">Count only. Whether to charge a percentage fee is your decision; this is arithmetic, not advice.</t>
        </r>
      </text>
    </comment>
    <comment ref="B11" authorId="0">
      <text>
        <r>
          <rPr>
            <sz val="10"/>
            <rFont val="Arial"/>
            <family val="2"/>
          </rPr>
          <t xml:space="preserve">Items where the client would pay more than retail through you. Check the trade discount and markup on those rows.</t>
        </r>
      </text>
    </comment>
  </commentList>
</comments>
</file>

<file path=xl/sharedStrings.xml><?xml version="1.0" encoding="utf-8"?>
<sst xmlns="http://schemas.openxmlformats.org/spreadsheetml/2006/main" count="255" uniqueCount="215">
  <si>
    <t xml:space="preserve">Interior Design Pricing Workbook</t>
  </si>
  <si>
    <t xml:space="preserve">by Knackdesk · knackdesk.com</t>
  </si>
  <si>
    <t xml:space="preserve">HOW TO USE</t>
  </si>
  <si>
    <t xml:space="preserve">1. Settings: your annual income goal, six annual overhead lines, billable hours per year, default contingency %, percentage fee %, procurement markup %, trade discount %, hours per site visit, minimum project fee and complexity uplift %. The hourly rate you need follows; type your own rate to override it, and every other sheet prices at the rate used.</t>
  </si>
  <si>
    <t xml:space="preserve">2. Fee Builder: one row per project or quote with client, concept, development and documentation hours, site visits, hours per visit, contingency % and percentage fee % (defaults from Settings, type your own to override) and the project budget. Total hours, base fee, contingency, design fee, fee as % of budget, the percentage fee, the difference, which pays more, the percentage fee's implied hourly rate and a minimum fee flag are calculated.</t>
  </si>
  <si>
    <t xml:space="preserve">3. Procurement: one row per item you specify and sell, with project, supplier, retail price, trade discount % and markup % (defaults from Settings, type your own to override), an optional client price, freight and handling and quantity. Your cost, the client price used, line cost, revenue, gross profit, margin % and the client's saving against retail are calculated, with totals.</t>
  </si>
  <si>
    <t xml:space="preserve">4. Room Fees: one row per room with the hours it takes, complexity uplift % and rate (defaults from Settings, type your own to override); hours with uplift and the room fee follow. The block below totals each project's room fees, adds site visit hours, applies your minimum project fee and shows the fee per room.</t>
  </si>
  <si>
    <t xml:space="preserve">5. Budget Plan: one row per project with the total budget and the share for your design fee (default from Settings), furniture, construction and contingency. Amounts, allocated %, the amount left and a status (over-allocated, unallocated or fully allocated) are calculated.</t>
  </si>
  <si>
    <t xml:space="preserve">6. Summary: hourly rate needed and used, projects quoted, design fees quoted, projects where a percentage fee pays more, projects at the minimum, procurement revenue, gross profit and margin %, items priced above retail, the highest-fee project and budgets over-allocated.</t>
  </si>
  <si>
    <t xml:space="preserve">LEGEND</t>
  </si>
  <si>
    <t xml:space="preserve">Blue text = a cell you type into.   Black text = a formula, leave it alone.   Yellow fill = key inputs.</t>
  </si>
  <si>
    <t xml:space="preserve">DEFINITIONS</t>
  </si>
  <si>
    <t xml:space="preserve">Hourly rate from income and overhead: the rate that pays your income goal and your overhead from the hours you can actually bill. Hourly rate needed = (annual income goal + annual overhead) ÷ billable hours per year.</t>
  </si>
  <si>
    <t xml:space="preserve">Design phases: concept (brief, mood boards, layouts), development (selections, drawings, specifications) and documentation (drawings, schedules and specifications for the trades). Site visits are counted separately at hours per visit.</t>
  </si>
  <si>
    <t xml:space="preserve">Contingency: extra hours priced into a quote for revisions and the unexpected, as a % of the base fee. Design fee = base fee + contingency.</t>
  </si>
  <si>
    <t xml:space="preserve">Percentage fee vs hourly: a percentage fee charges a % of the project budget; an hourly fee charges the hours you expect at your rate. The workbook shows both, which pays more and the hourly rate the percentage fee works out to.</t>
  </si>
  <si>
    <t xml:space="preserve">Procurement and trade discount: buying furniture, lighting and finishes for the client. The trade discount is what the supplier takes off retail for you; your cost per unit = retail × (1 − trade discount %).</t>
  </si>
  <si>
    <t xml:space="preserve">Markup on cost vs margin on price: markup is added to your cost; margin is the share of the client price you keep. A 25% markup on a 100.00 cost is a 125.00 client price and a 20% margin, not 25%.</t>
  </si>
  <si>
    <t xml:space="preserve">Per-room flat fee: a fixed fee for each room, from the hours the room takes with a complexity uplift, priced at your rate. Never below your minimum project fee for the project as a whole.</t>
  </si>
  <si>
    <t xml:space="preserve">Budget allocation: splitting a client's total budget into your design fee, furniture, construction and contingency so the plan adds up before anything is bought. Negative remaining = over-allocated.</t>
  </si>
  <si>
    <t xml:space="preserve">The targets in this workbook are your own; it does not supply industry benchmarks. Set them from your own history and plan.</t>
  </si>
  <si>
    <t xml:space="preserve">Support: hello@knackdesk.com</t>
  </si>
  <si>
    <t xml:space="preserve">Arithmetic only; not financial advice.</t>
  </si>
  <si>
    <t xml:space="preserve">Settings</t>
  </si>
  <si>
    <t xml:space="preserve">Annual income goal (your own)</t>
  </si>
  <si>
    <t xml:space="preserve">Example default 60,000 a year. Your own placeholder, not a recommendation: what you want to pay yourself before tax.</t>
  </si>
  <si>
    <t xml:space="preserve">Overhead: studio or office (annual)</t>
  </si>
  <si>
    <t xml:space="preserve">Example default 6,000 a year. Rent, utilities and a share of home-office costs.</t>
  </si>
  <si>
    <t xml:space="preserve">Overhead: software and subscriptions (annual)</t>
  </si>
  <si>
    <t xml:space="preserve">Example default 1,800 a year. CAD, rendering, project management and accounting software.</t>
  </si>
  <si>
    <t xml:space="preserve">Overhead: insurance (annual)</t>
  </si>
  <si>
    <t xml:space="preserve">Example default 1,500 a year. Professional indemnity and liability insurance.</t>
  </si>
  <si>
    <t xml:space="preserve">Overhead: marketing and portfolio (annual)</t>
  </si>
  <si>
    <t xml:space="preserve">Example default 2,400 a year. Website, photography, directories and print.</t>
  </si>
  <si>
    <t xml:space="preserve">Overhead: samples and travel (annual)</t>
  </si>
  <si>
    <t xml:space="preserve">Example default 1,800 a year. Samples, showroom visits and unbilled travel.</t>
  </si>
  <si>
    <t xml:space="preserve">Overhead: other (annual)</t>
  </si>
  <si>
    <t xml:space="preserve">Example default 1,500 a year. Accounting, memberships, training and everything else.</t>
  </si>
  <si>
    <t xml:space="preserve">Total annual overhead</t>
  </si>
  <si>
    <t xml:space="preserve">formula: sum of the six overhead lines above</t>
  </si>
  <si>
    <t xml:space="preserve">Billable hours per year</t>
  </si>
  <si>
    <t xml:space="preserve">Example default 1,100. Hours you can bill in a year after admin, marketing, holidays and quiet weeks; your own placeholder.</t>
  </si>
  <si>
    <t xml:space="preserve">Default contingency %</t>
  </si>
  <si>
    <t xml:space="preserve">Default 10. Added to the base fee on Fee Builder for revisions; each project can override it.</t>
  </si>
  <si>
    <t xml:space="preserve">Default percentage fee %</t>
  </si>
  <si>
    <t xml:space="preserve">Default 15. Your own placeholder, not a recommendation: the % of project budget you would charge as a percentage fee.</t>
  </si>
  <si>
    <t xml:space="preserve">Default markup on procurement %</t>
  </si>
  <si>
    <t xml:space="preserve">Default 25. Your own placeholder, not a recommendation: added to your cost on Procurement; each item can override it.</t>
  </si>
  <si>
    <t xml:space="preserve">Default trade discount %</t>
  </si>
  <si>
    <t xml:space="preserve">Default 30. Placeholder; use what your suppliers actually give you. Each item can override it.</t>
  </si>
  <si>
    <t xml:space="preserve">Default hours per site visit</t>
  </si>
  <si>
    <t xml:space="preserve">Default 2. Including travel; each project can override it on Fee Builder.</t>
  </si>
  <si>
    <t xml:space="preserve">Minimum project fee</t>
  </si>
  <si>
    <t xml:space="preserve">Example default 2,500. Your own placeholder: the smallest fee you take a project on for.</t>
  </si>
  <si>
    <t xml:space="preserve">Default complexity uplift %</t>
  </si>
  <si>
    <t xml:space="preserve">Default 10. Extra hours for a room's complexity on Room Fees; each room can override it.</t>
  </si>
  <si>
    <t xml:space="preserve">Hourly rate needed</t>
  </si>
  <si>
    <t xml:space="preserve">formula: (annual income goal + total annual overhead) ÷ billable hours per year</t>
  </si>
  <si>
    <t xml:space="preserve">or type your own rate</t>
  </si>
  <si>
    <t xml:space="preserve">Leave blank to price at the hourly rate needed; type a rate to price every sheet at your own rate instead.</t>
  </si>
  <si>
    <t xml:space="preserve">Rate used for pricing</t>
  </si>
  <si>
    <t xml:space="preserve">formula: your own rate if typed, otherwise the hourly rate needed</t>
  </si>
  <si>
    <t xml:space="preserve">Total to cover per year</t>
  </si>
  <si>
    <t xml:space="preserve">formula: annual income goal + total annual overhead</t>
  </si>
  <si>
    <t xml:space="preserve">Overhead per billable hour</t>
  </si>
  <si>
    <t xml:space="preserve">formula: total annual overhead ÷ billable hours per year (the part of the rate that pays overhead)</t>
  </si>
  <si>
    <t xml:space="preserve">Minimum project fee in hours</t>
  </si>
  <si>
    <t xml:space="preserve">formula: minimum project fee ÷ rate used: the hours of work your minimum fee pays for</t>
  </si>
  <si>
    <t xml:space="preserve">Fee Builder</t>
  </si>
  <si>
    <t xml:space="preserve">One row per project or quote. Hours per visit, contingency % and percentage fee % default from Settings; type your own to override them. The fee is priced at the rate used on Settings.</t>
  </si>
  <si>
    <t xml:space="preserve">Project</t>
  </si>
  <si>
    <t xml:space="preserve">Client</t>
  </si>
  <si>
    <t xml:space="preserve">Concept hours</t>
  </si>
  <si>
    <t xml:space="preserve">Development hours</t>
  </si>
  <si>
    <t xml:space="preserve">Documentation hours</t>
  </si>
  <si>
    <t xml:space="preserve">Site visits</t>
  </si>
  <si>
    <t xml:space="preserve">Default hours per visit (Settings)</t>
  </si>
  <si>
    <t xml:space="preserve">or type your own hours per visit</t>
  </si>
  <si>
    <t xml:space="preserve">Hours per visit used</t>
  </si>
  <si>
    <t xml:space="preserve">Default contingency % (Settings)</t>
  </si>
  <si>
    <t xml:space="preserve">or type your own contingency %</t>
  </si>
  <si>
    <t xml:space="preserve">Contingency % used</t>
  </si>
  <si>
    <t xml:space="preserve">Project budget</t>
  </si>
  <si>
    <t xml:space="preserve">Default percentage fee % (Settings)</t>
  </si>
  <si>
    <t xml:space="preserve">or type your own percentage fee %</t>
  </si>
  <si>
    <t xml:space="preserve">Percentage fee % used</t>
  </si>
  <si>
    <t xml:space="preserve">Total hours</t>
  </si>
  <si>
    <t xml:space="preserve">Base fee</t>
  </si>
  <si>
    <t xml:space="preserve">Contingency amount</t>
  </si>
  <si>
    <t xml:space="preserve">Design fee</t>
  </si>
  <si>
    <t xml:space="preserve">Fee as % of budget</t>
  </si>
  <si>
    <t xml:space="preserve">Percentage fee amount</t>
  </si>
  <si>
    <t xml:space="preserve">Difference (percentage − design fee)</t>
  </si>
  <si>
    <t xml:space="preserve">Which pays more</t>
  </si>
  <si>
    <t xml:space="preserve">Implied hourly rate of percentage fee</t>
  </si>
  <si>
    <t xml:space="preserve">Minimum fee check</t>
  </si>
  <si>
    <t xml:space="preserve">Hart residence</t>
  </si>
  <si>
    <t xml:space="preserve">J. Hart</t>
  </si>
  <si>
    <t xml:space="preserve">Lake Street loft</t>
  </si>
  <si>
    <t xml:space="preserve">M. Okafor</t>
  </si>
  <si>
    <t xml:space="preserve">Corner cafe</t>
  </si>
  <si>
    <t xml:space="preserve">Bean &amp; Co.</t>
  </si>
  <si>
    <t xml:space="preserve">Powder room refresh</t>
  </si>
  <si>
    <t xml:space="preserve">S. Lind</t>
  </si>
  <si>
    <t xml:space="preserve">Mill house</t>
  </si>
  <si>
    <t xml:space="preserve">R. &amp; T. Vance</t>
  </si>
  <si>
    <t xml:space="preserve">Office reception</t>
  </si>
  <si>
    <t xml:space="preserve">Northgate Ltd</t>
  </si>
  <si>
    <t xml:space="preserve">Total</t>
  </si>
  <si>
    <t xml:space="preserve">Procurement</t>
  </si>
  <si>
    <t xml:space="preserve">One row per item you buy for a client. Trade discount % and markup % default from Settings; type your own to override them, or type a client price to set it directly. Freight and handling is for the whole line and is passed to the client at cost.</t>
  </si>
  <si>
    <t xml:space="preserve">Item</t>
  </si>
  <si>
    <t xml:space="preserve">Supplier</t>
  </si>
  <si>
    <t xml:space="preserve">Retail price (per unit)</t>
  </si>
  <si>
    <t xml:space="preserve">Default trade discount % (Settings)</t>
  </si>
  <si>
    <t xml:space="preserve">or type your own trade discount %</t>
  </si>
  <si>
    <t xml:space="preserve">Trade discount % used</t>
  </si>
  <si>
    <t xml:space="preserve">Default markup % (Settings)</t>
  </si>
  <si>
    <t xml:space="preserve">or type your own markup %</t>
  </si>
  <si>
    <t xml:space="preserve">Markup % used</t>
  </si>
  <si>
    <t xml:space="preserve">or type your own client price (per unit)</t>
  </si>
  <si>
    <t xml:space="preserve">Freight and handling (line)</t>
  </si>
  <si>
    <t xml:space="preserve">Quantity</t>
  </si>
  <si>
    <t xml:space="preserve">Your cost per unit</t>
  </si>
  <si>
    <t xml:space="preserve">Client price used (per unit)</t>
  </si>
  <si>
    <t xml:space="preserve">Line cost</t>
  </si>
  <si>
    <t xml:space="preserve">Line revenue</t>
  </si>
  <si>
    <t xml:space="preserve">Gross profit</t>
  </si>
  <si>
    <t xml:space="preserve">Margin %</t>
  </si>
  <si>
    <t xml:space="preserve">Client saving vs retail</t>
  </si>
  <si>
    <t xml:space="preserve">Sofa</t>
  </si>
  <si>
    <t xml:space="preserve">Supplier A</t>
  </si>
  <si>
    <t xml:space="preserve">Dining chairs</t>
  </si>
  <si>
    <t xml:space="preserve">Supplier B</t>
  </si>
  <si>
    <t xml:space="preserve">Pendant lights</t>
  </si>
  <si>
    <t xml:space="preserve">Supplier C</t>
  </si>
  <si>
    <t xml:space="preserve">Rug</t>
  </si>
  <si>
    <t xml:space="preserve">Bed frame</t>
  </si>
  <si>
    <t xml:space="preserve">Supplier D</t>
  </si>
  <si>
    <t xml:space="preserve">Bedside tables</t>
  </si>
  <si>
    <t xml:space="preserve">Curtains (made to measure)</t>
  </si>
  <si>
    <t xml:space="preserve">Workroom E</t>
  </si>
  <si>
    <t xml:space="preserve">Cafe chairs</t>
  </si>
  <si>
    <t xml:space="preserve">Supplier F</t>
  </si>
  <si>
    <t xml:space="preserve">Bar stools</t>
  </si>
  <si>
    <t xml:space="preserve">Wall lights</t>
  </si>
  <si>
    <t xml:space="preserve">Room Fees</t>
  </si>
  <si>
    <t xml:space="preserve">One row per room. Complexity uplift % and rate default from Settings; type your own to override them. The block below totals each project and applies your minimum project fee.</t>
  </si>
  <si>
    <t xml:space="preserve">Room</t>
  </si>
  <si>
    <t xml:space="preserve">Hours for the room</t>
  </si>
  <si>
    <t xml:space="preserve">Default complexity uplift % (Settings)</t>
  </si>
  <si>
    <t xml:space="preserve">or type your own uplift %</t>
  </si>
  <si>
    <t xml:space="preserve">Uplift % used</t>
  </si>
  <si>
    <t xml:space="preserve">Default rate (Settings)</t>
  </si>
  <si>
    <t xml:space="preserve">Rate used</t>
  </si>
  <si>
    <t xml:space="preserve">Hours with uplift</t>
  </si>
  <si>
    <t xml:space="preserve">Room fee</t>
  </si>
  <si>
    <t xml:space="preserve">Living room</t>
  </si>
  <si>
    <t xml:space="preserve">Kitchen</t>
  </si>
  <si>
    <t xml:space="preserve">Primary bedroom</t>
  </si>
  <si>
    <t xml:space="preserve">Open-plan living</t>
  </si>
  <si>
    <t xml:space="preserve">Bedroom</t>
  </si>
  <si>
    <t xml:space="preserve">Bathroom</t>
  </si>
  <si>
    <t xml:space="preserve">Dining area</t>
  </si>
  <si>
    <t xml:space="preserve">Restroom</t>
  </si>
  <si>
    <t xml:space="preserve">PER-PROJECT FLAT FEE</t>
  </si>
  <si>
    <t xml:space="preserve">Rooms</t>
  </si>
  <si>
    <t xml:space="preserve">Room fees</t>
  </si>
  <si>
    <t xml:space="preserve">Site visit hours</t>
  </si>
  <si>
    <t xml:space="preserve">Site visit fee</t>
  </si>
  <si>
    <t xml:space="preserve">Fee before minimum</t>
  </si>
  <si>
    <t xml:space="preserve">Project fee (at least the minimum)</t>
  </si>
  <si>
    <t xml:space="preserve">Minimum check</t>
  </si>
  <si>
    <t xml:space="preserve">Fee per room</t>
  </si>
  <si>
    <t xml:space="preserve">Budget Plan</t>
  </si>
  <si>
    <t xml:space="preserve">One row per project. The design fee % defaults from the percentage fee % on Settings; type your own to override it. Type the furniture, construction and contingency shares as % of the total budget.</t>
  </si>
  <si>
    <t xml:space="preserve">Total budget</t>
  </si>
  <si>
    <t xml:space="preserve">Default design fee % (Settings)</t>
  </si>
  <si>
    <t xml:space="preserve">or type your own design fee %</t>
  </si>
  <si>
    <t xml:space="preserve">Design fee % used</t>
  </si>
  <si>
    <t xml:space="preserve">Furniture %</t>
  </si>
  <si>
    <t xml:space="preserve">Construction %</t>
  </si>
  <si>
    <t xml:space="preserve">Contingency %</t>
  </si>
  <si>
    <t xml:space="preserve">Design fee amount</t>
  </si>
  <si>
    <t xml:space="preserve">Furniture amount</t>
  </si>
  <si>
    <t xml:space="preserve">Construction amount</t>
  </si>
  <si>
    <t xml:space="preserve">Allocated %</t>
  </si>
  <si>
    <t xml:space="preserve">Allocated amount</t>
  </si>
  <si>
    <t xml:space="preserve">Remaining</t>
  </si>
  <si>
    <t xml:space="preserve">Status</t>
  </si>
  <si>
    <t xml:space="preserve">Summary</t>
  </si>
  <si>
    <t xml:space="preserve">from Settings: (income goal + overhead) ÷ billable hours</t>
  </si>
  <si>
    <t xml:space="preserve">from Settings: your own rate if typed, otherwise the rate needed</t>
  </si>
  <si>
    <t xml:space="preserve">Projects quoted</t>
  </si>
  <si>
    <t xml:space="preserve">rows with a project name on Fee Builder</t>
  </si>
  <si>
    <t xml:space="preserve">Total design fees quoted</t>
  </si>
  <si>
    <t xml:space="preserve">Fee Builder totals</t>
  </si>
  <si>
    <t xml:space="preserve">Projects where the percentage fee pays more</t>
  </si>
  <si>
    <t xml:space="preserve">budget × percentage fee % is above the hourly design fee</t>
  </si>
  <si>
    <t xml:space="preserve">Projects at the minimum fee</t>
  </si>
  <si>
    <t xml:space="preserve">design fee below the minimum project fee on Settings</t>
  </si>
  <si>
    <t xml:space="preserve">Procurement revenue</t>
  </si>
  <si>
    <t xml:space="preserve">Procurement totals, freight included at cost</t>
  </si>
  <si>
    <t xml:space="preserve">Procurement gross profit</t>
  </si>
  <si>
    <t xml:space="preserve">line revenue − line cost</t>
  </si>
  <si>
    <t xml:space="preserve">Procurement margin %</t>
  </si>
  <si>
    <t xml:space="preserve">gross profit ÷ revenue, from the totals</t>
  </si>
  <si>
    <t xml:space="preserve">Items priced above retail</t>
  </si>
  <si>
    <t xml:space="preserve">items where the client saving vs retail is negative</t>
  </si>
  <si>
    <t xml:space="preserve">Highest-fee project</t>
  </si>
  <si>
    <t xml:space="preserve">largest design fee on Fee Builder</t>
  </si>
  <si>
    <t xml:space="preserve">Its design fee</t>
  </si>
  <si>
    <t xml:space="preserve">highest design fee on Fee Builder</t>
  </si>
  <si>
    <t xml:space="preserve">Budgets over-allocated</t>
  </si>
  <si>
    <t xml:space="preserve">Budget Plan rows where the shares add up to more than the budget</t>
  </si>
</sst>
</file>

<file path=xl/styles.xml><?xml version="1.0" encoding="utf-8"?>
<styleSheet xmlns="http://schemas.openxmlformats.org/spreadsheetml/2006/main">
  <numFmts count="8">
    <numFmt numFmtId="164" formatCode="General"/>
    <numFmt numFmtId="165" formatCode="#,##0.00;\(#,##0.00\);\-"/>
    <numFmt numFmtId="166" formatCode="0.0"/>
    <numFmt numFmtId="167" formatCode="0.00\%"/>
    <numFmt numFmtId="168" formatCode="0"/>
    <numFmt numFmtId="169" formatCode="0&quot; projects&quot;"/>
    <numFmt numFmtId="170" formatCode="0&quot; items&quot;"/>
    <numFmt numFmtId="171" formatCode="0&quot; rooms&quot;"/>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row>
    <row r="4" customFormat="false" ht="15" hidden="false" customHeight="false" outlineLevel="0" collapsed="false">
      <c r="A4" s="5"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row>
    <row r="12" customFormat="false" ht="15" hidden="false" customHeight="false" outlineLevel="0" collapsed="false">
      <c r="A12" s="5"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5"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t="s">
        <v>17</v>
      </c>
    </row>
    <row r="22" customFormat="false" ht="15" hidden="false" customHeight="false" outlineLevel="0" collapsed="false">
      <c r="A22" s="4" t="s">
        <v>18</v>
      </c>
    </row>
    <row r="23" customFormat="false" ht="15" hidden="false" customHeight="false" outlineLevel="0" collapsed="false">
      <c r="A23" s="4" t="s">
        <v>19</v>
      </c>
    </row>
    <row r="24" customFormat="false" ht="15" hidden="false" customHeight="false" outlineLevel="0" collapsed="false">
      <c r="A24" s="4" t="s">
        <v>20</v>
      </c>
    </row>
    <row r="25" customFormat="false" ht="15" hidden="false" customHeight="false" outlineLevel="0" collapsed="false">
      <c r="A25" s="4" t="s">
        <v>21</v>
      </c>
    </row>
    <row r="26" customFormat="false" ht="15" hidden="false" customHeight="false" outlineLevel="0" collapsed="false">
      <c r="A26" s="4"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90"/>
  </cols>
  <sheetData>
    <row r="1" customFormat="false" ht="17.35" hidden="false" customHeight="false" outlineLevel="0" collapsed="false">
      <c r="A1" s="2" t="s">
        <v>23</v>
      </c>
    </row>
    <row r="2" customFormat="false" ht="15" hidden="false" customHeight="false" outlineLevel="0" collapsed="false">
      <c r="A2" s="4" t="s">
        <v>24</v>
      </c>
      <c r="B2" s="6" t="n">
        <v>60000</v>
      </c>
      <c r="C2" s="3" t="s">
        <v>25</v>
      </c>
    </row>
    <row r="3" customFormat="false" ht="15" hidden="false" customHeight="false" outlineLevel="0" collapsed="false">
      <c r="A3" s="4" t="s">
        <v>26</v>
      </c>
      <c r="B3" s="7" t="n">
        <v>6000</v>
      </c>
      <c r="C3" s="3" t="s">
        <v>27</v>
      </c>
    </row>
    <row r="4" customFormat="false" ht="15" hidden="false" customHeight="false" outlineLevel="0" collapsed="false">
      <c r="A4" s="4" t="s">
        <v>28</v>
      </c>
      <c r="B4" s="7" t="n">
        <v>1800</v>
      </c>
      <c r="C4" s="3" t="s">
        <v>29</v>
      </c>
    </row>
    <row r="5" customFormat="false" ht="15" hidden="false" customHeight="false" outlineLevel="0" collapsed="false">
      <c r="A5" s="4" t="s">
        <v>30</v>
      </c>
      <c r="B5" s="7" t="n">
        <v>1500</v>
      </c>
      <c r="C5" s="3" t="s">
        <v>31</v>
      </c>
    </row>
    <row r="6" customFormat="false" ht="15" hidden="false" customHeight="false" outlineLevel="0" collapsed="false">
      <c r="A6" s="4" t="s">
        <v>32</v>
      </c>
      <c r="B6" s="7" t="n">
        <v>2400</v>
      </c>
      <c r="C6" s="3" t="s">
        <v>33</v>
      </c>
    </row>
    <row r="7" customFormat="false" ht="15" hidden="false" customHeight="false" outlineLevel="0" collapsed="false">
      <c r="A7" s="4" t="s">
        <v>34</v>
      </c>
      <c r="B7" s="7" t="n">
        <v>1800</v>
      </c>
      <c r="C7" s="3" t="s">
        <v>35</v>
      </c>
    </row>
    <row r="8" customFormat="false" ht="15" hidden="false" customHeight="false" outlineLevel="0" collapsed="false">
      <c r="A8" s="4" t="s">
        <v>36</v>
      </c>
      <c r="B8" s="7" t="n">
        <v>1500</v>
      </c>
      <c r="C8" s="3" t="s">
        <v>37</v>
      </c>
    </row>
    <row r="9" customFormat="false" ht="15" hidden="false" customHeight="false" outlineLevel="0" collapsed="false">
      <c r="A9" s="5" t="s">
        <v>38</v>
      </c>
      <c r="B9" s="8" t="n">
        <f aca="false">SUM(B3:B8)</f>
        <v>15000</v>
      </c>
      <c r="C9" s="3" t="s">
        <v>39</v>
      </c>
    </row>
    <row r="10" customFormat="false" ht="15" hidden="false" customHeight="false" outlineLevel="0" collapsed="false">
      <c r="A10" s="4" t="s">
        <v>40</v>
      </c>
      <c r="B10" s="9" t="n">
        <v>1100</v>
      </c>
      <c r="C10" s="3" t="s">
        <v>41</v>
      </c>
    </row>
    <row r="11" customFormat="false" ht="15" hidden="false" customHeight="false" outlineLevel="0" collapsed="false">
      <c r="A11" s="4" t="s">
        <v>42</v>
      </c>
      <c r="B11" s="10" t="n">
        <v>10</v>
      </c>
      <c r="C11" s="3" t="s">
        <v>43</v>
      </c>
    </row>
    <row r="12" customFormat="false" ht="15" hidden="false" customHeight="false" outlineLevel="0" collapsed="false">
      <c r="A12" s="4" t="s">
        <v>44</v>
      </c>
      <c r="B12" s="11" t="n">
        <v>15</v>
      </c>
      <c r="C12" s="3" t="s">
        <v>45</v>
      </c>
    </row>
    <row r="13" customFormat="false" ht="15" hidden="false" customHeight="false" outlineLevel="0" collapsed="false">
      <c r="A13" s="4" t="s">
        <v>46</v>
      </c>
      <c r="B13" s="11" t="n">
        <v>25</v>
      </c>
      <c r="C13" s="3" t="s">
        <v>47</v>
      </c>
    </row>
    <row r="14" customFormat="false" ht="15" hidden="false" customHeight="false" outlineLevel="0" collapsed="false">
      <c r="A14" s="4" t="s">
        <v>48</v>
      </c>
      <c r="B14" s="10" t="n">
        <v>30</v>
      </c>
      <c r="C14" s="3" t="s">
        <v>49</v>
      </c>
    </row>
    <row r="15" customFormat="false" ht="15" hidden="false" customHeight="false" outlineLevel="0" collapsed="false">
      <c r="A15" s="4" t="s">
        <v>50</v>
      </c>
      <c r="B15" s="12" t="n">
        <v>2</v>
      </c>
      <c r="C15" s="3" t="s">
        <v>51</v>
      </c>
    </row>
    <row r="16" customFormat="false" ht="15" hidden="false" customHeight="false" outlineLevel="0" collapsed="false">
      <c r="A16" s="4" t="s">
        <v>52</v>
      </c>
      <c r="B16" s="6" t="n">
        <v>2500</v>
      </c>
      <c r="C16" s="3" t="s">
        <v>53</v>
      </c>
    </row>
    <row r="17" customFormat="false" ht="15" hidden="false" customHeight="false" outlineLevel="0" collapsed="false">
      <c r="A17" s="4" t="s">
        <v>54</v>
      </c>
      <c r="B17" s="10" t="n">
        <v>10</v>
      </c>
      <c r="C17" s="3" t="s">
        <v>55</v>
      </c>
    </row>
    <row r="18" customFormat="false" ht="15" hidden="false" customHeight="false" outlineLevel="0" collapsed="false">
      <c r="A18" s="5" t="s">
        <v>56</v>
      </c>
      <c r="B18" s="8" t="n">
        <f aca="false">IFERROR(ROUND((B2+B9)/B10,2),0)</f>
        <v>68.18</v>
      </c>
      <c r="C18" s="3" t="s">
        <v>57</v>
      </c>
    </row>
    <row r="19" customFormat="false" ht="15" hidden="false" customHeight="false" outlineLevel="0" collapsed="false">
      <c r="A19" s="4" t="s">
        <v>58</v>
      </c>
      <c r="B19" s="6"/>
      <c r="C19" s="3" t="s">
        <v>59</v>
      </c>
    </row>
    <row r="20" customFormat="false" ht="15" hidden="false" customHeight="false" outlineLevel="0" collapsed="false">
      <c r="A20" s="5" t="s">
        <v>60</v>
      </c>
      <c r="B20" s="8" t="n">
        <f aca="false">IF(B19&lt;&gt;"",B19,B18)</f>
        <v>68.18</v>
      </c>
      <c r="C20" s="3" t="s">
        <v>61</v>
      </c>
    </row>
    <row r="21" customFormat="false" ht="15" hidden="false" customHeight="false" outlineLevel="0" collapsed="false">
      <c r="A21" s="4" t="s">
        <v>62</v>
      </c>
      <c r="B21" s="13" t="n">
        <f aca="false">B2+B9</f>
        <v>75000</v>
      </c>
      <c r="C21" s="3" t="s">
        <v>63</v>
      </c>
    </row>
    <row r="22" customFormat="false" ht="15" hidden="false" customHeight="false" outlineLevel="0" collapsed="false">
      <c r="A22" s="4" t="s">
        <v>64</v>
      </c>
      <c r="B22" s="13" t="n">
        <f aca="false">IFERROR(ROUND(B9/B10,2),0)</f>
        <v>13.64</v>
      </c>
      <c r="C22" s="3" t="s">
        <v>65</v>
      </c>
    </row>
    <row r="23" customFormat="false" ht="15" hidden="false" customHeight="false" outlineLevel="0" collapsed="false">
      <c r="A23" s="4" t="s">
        <v>66</v>
      </c>
      <c r="B23" s="14" t="n">
        <f aca="false">IFERROR(ROUND(B16/B20,2),0)</f>
        <v>36.67</v>
      </c>
      <c r="C23" s="3"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5" min="3" style="1" width="10"/>
    <col collapsed="false" customWidth="true" hidden="false" outlineLevel="0" max="6" min="6" style="1" width="9"/>
    <col collapsed="false" customWidth="true" hidden="false" outlineLevel="0" max="8" min="7" style="1" width="10"/>
    <col collapsed="false" customWidth="true" hidden="false" outlineLevel="0" max="9" min="9" style="1" width="9"/>
    <col collapsed="false" customWidth="true" hidden="false" outlineLevel="0" max="11" min="10" style="1" width="10"/>
    <col collapsed="false" customWidth="true" hidden="false" outlineLevel="0" max="12" min="12" style="1" width="9"/>
    <col collapsed="false" customWidth="true" hidden="false" outlineLevel="0" max="13" min="13" style="1" width="12"/>
    <col collapsed="false" customWidth="true" hidden="false" outlineLevel="0" max="15" min="14" style="1" width="10"/>
    <col collapsed="false" customWidth="true" hidden="false" outlineLevel="0" max="17" min="16" style="1" width="9"/>
    <col collapsed="false" customWidth="true" hidden="false" outlineLevel="0" max="20" min="18" style="1" width="11"/>
    <col collapsed="false" customWidth="true" hidden="false" outlineLevel="0" max="21" min="21" style="1" width="10"/>
    <col collapsed="false" customWidth="true" hidden="false" outlineLevel="0" max="22" min="22" style="1" width="11"/>
    <col collapsed="false" customWidth="true" hidden="false" outlineLevel="0" max="23" min="23" style="1" width="12"/>
    <col collapsed="false" customWidth="true" hidden="false" outlineLevel="0" max="24" min="24" style="1" width="14"/>
    <col collapsed="false" customWidth="true" hidden="false" outlineLevel="0" max="25" min="25" style="1" width="11"/>
    <col collapsed="false" customWidth="true" hidden="false" outlineLevel="0" max="26" min="26" style="1" width="15"/>
  </cols>
  <sheetData>
    <row r="1" customFormat="false" ht="17.35" hidden="false" customHeight="false" outlineLevel="0" collapsed="false">
      <c r="A1" s="2" t="s">
        <v>68</v>
      </c>
    </row>
    <row r="2" customFormat="false" ht="15" hidden="false" customHeight="false" outlineLevel="0" collapsed="false">
      <c r="A2" s="3" t="s">
        <v>69</v>
      </c>
    </row>
    <row r="4" customFormat="false" ht="64.9" hidden="false" customHeight="false" outlineLevel="0" collapsed="false">
      <c r="A4" s="15" t="s">
        <v>70</v>
      </c>
      <c r="B4" s="15" t="s">
        <v>71</v>
      </c>
      <c r="C4" s="15" t="s">
        <v>72</v>
      </c>
      <c r="D4" s="15" t="s">
        <v>73</v>
      </c>
      <c r="E4" s="15" t="s">
        <v>74</v>
      </c>
      <c r="F4" s="15" t="s">
        <v>75</v>
      </c>
      <c r="G4" s="15" t="s">
        <v>76</v>
      </c>
      <c r="H4" s="15" t="s">
        <v>77</v>
      </c>
      <c r="I4" s="15" t="s">
        <v>78</v>
      </c>
      <c r="J4" s="15" t="s">
        <v>79</v>
      </c>
      <c r="K4" s="15" t="s">
        <v>80</v>
      </c>
      <c r="L4" s="15" t="s">
        <v>81</v>
      </c>
      <c r="M4" s="15" t="s">
        <v>82</v>
      </c>
      <c r="N4" s="15" t="s">
        <v>83</v>
      </c>
      <c r="O4" s="15" t="s">
        <v>84</v>
      </c>
      <c r="P4" s="15" t="s">
        <v>85</v>
      </c>
      <c r="Q4" s="15" t="s">
        <v>86</v>
      </c>
      <c r="R4" s="15" t="s">
        <v>87</v>
      </c>
      <c r="S4" s="15" t="s">
        <v>88</v>
      </c>
      <c r="T4" s="15" t="s">
        <v>89</v>
      </c>
      <c r="U4" s="15" t="s">
        <v>90</v>
      </c>
      <c r="V4" s="15" t="s">
        <v>91</v>
      </c>
      <c r="W4" s="15" t="s">
        <v>92</v>
      </c>
      <c r="X4" s="15" t="s">
        <v>93</v>
      </c>
      <c r="Y4" s="15" t="s">
        <v>94</v>
      </c>
      <c r="Z4" s="15" t="s">
        <v>95</v>
      </c>
    </row>
    <row r="5" customFormat="false" ht="15" hidden="false" customHeight="false" outlineLevel="0" collapsed="false">
      <c r="A5" s="16" t="s">
        <v>96</v>
      </c>
      <c r="B5" s="16" t="s">
        <v>97</v>
      </c>
      <c r="C5" s="9" t="n">
        <v>20</v>
      </c>
      <c r="D5" s="9" t="n">
        <v>30</v>
      </c>
      <c r="E5" s="9" t="n">
        <v>25</v>
      </c>
      <c r="F5" s="17" t="n">
        <v>6</v>
      </c>
      <c r="G5" s="14" t="n">
        <f aca="false">IF(A5="","",Settings!$B$15)</f>
        <v>2</v>
      </c>
      <c r="H5" s="12"/>
      <c r="I5" s="14" t="n">
        <f aca="false">IF(A5="","",IF(H5&lt;&gt;"",H5,G5))</f>
        <v>2</v>
      </c>
      <c r="J5" s="18" t="n">
        <f aca="false">IF(A5="","",Settings!$B$11)</f>
        <v>10</v>
      </c>
      <c r="K5" s="10"/>
      <c r="L5" s="18" t="n">
        <f aca="false">IF(A5="","",IF(K5&lt;&gt;"",K5,J5))</f>
        <v>10</v>
      </c>
      <c r="M5" s="6" t="n">
        <v>120000</v>
      </c>
      <c r="N5" s="18" t="n">
        <f aca="false">IF(A5="","",Settings!$B$12)</f>
        <v>15</v>
      </c>
      <c r="O5" s="10"/>
      <c r="P5" s="18" t="n">
        <f aca="false">IF(A5="","",IF(O5&lt;&gt;"",O5,N5))</f>
        <v>15</v>
      </c>
      <c r="Q5" s="14" t="n">
        <f aca="false">IF(A5="","",C5+D5+E5+F5*I5)</f>
        <v>87</v>
      </c>
      <c r="R5" s="13" t="n">
        <f aca="false">IF(A5="","",ROUND(Q5*Settings!$B$20,2))</f>
        <v>5931.66</v>
      </c>
      <c r="S5" s="13" t="n">
        <f aca="false">IF(A5="","",ROUND(R5*L5/100,2))</f>
        <v>593.17</v>
      </c>
      <c r="T5" s="13" t="n">
        <f aca="false">IF(A5="","",ROUND(R5+S5,2))</f>
        <v>6524.83</v>
      </c>
      <c r="U5" s="18" t="n">
        <f aca="false">IF(A5="","",IFERROR(ROUND(T5/M5*100,2),0))</f>
        <v>5.44</v>
      </c>
      <c r="V5" s="13" t="n">
        <f aca="false">IF(A5="","",ROUND(M5*P5/100,2))</f>
        <v>18000</v>
      </c>
      <c r="W5" s="13" t="n">
        <f aca="false">IF(A5="","",ROUND(V5-T5,2))</f>
        <v>11475.17</v>
      </c>
      <c r="X5" s="4" t="str">
        <f aca="false">IF(A5="","",IF(V5&gt;T5,"percentage fee",IF(V5&lt;T5,"hourly fee","same")))</f>
        <v>percentage fee</v>
      </c>
      <c r="Y5" s="13" t="n">
        <f aca="false">IF(A5="","",IFERROR(ROUND(V5/Q5,2),0))</f>
        <v>206.9</v>
      </c>
      <c r="Z5" s="4" t="str">
        <f aca="false">IF(A5="","",IF(T5&lt;Settings!$B$16,"minimum applies",""))</f>
        <v/>
      </c>
    </row>
    <row r="6" customFormat="false" ht="15" hidden="false" customHeight="false" outlineLevel="0" collapsed="false">
      <c r="A6" s="16" t="s">
        <v>98</v>
      </c>
      <c r="B6" s="16" t="s">
        <v>99</v>
      </c>
      <c r="C6" s="9" t="n">
        <v>14</v>
      </c>
      <c r="D6" s="9" t="n">
        <v>18</v>
      </c>
      <c r="E6" s="9" t="n">
        <v>12</v>
      </c>
      <c r="F6" s="17" t="n">
        <v>4</v>
      </c>
      <c r="G6" s="14" t="n">
        <f aca="false">IF(A6="","",Settings!$B$15)</f>
        <v>2</v>
      </c>
      <c r="H6" s="12" t="n">
        <v>3</v>
      </c>
      <c r="I6" s="14" t="n">
        <f aca="false">IF(A6="","",IF(H6&lt;&gt;"",H6,G6))</f>
        <v>3</v>
      </c>
      <c r="J6" s="18" t="n">
        <f aca="false">IF(A6="","",Settings!$B$11)</f>
        <v>10</v>
      </c>
      <c r="K6" s="10"/>
      <c r="L6" s="18" t="n">
        <f aca="false">IF(A6="","",IF(K6&lt;&gt;"",K6,J6))</f>
        <v>10</v>
      </c>
      <c r="M6" s="6" t="n">
        <v>60000</v>
      </c>
      <c r="N6" s="18" t="n">
        <f aca="false">IF(A6="","",Settings!$B$12)</f>
        <v>15</v>
      </c>
      <c r="O6" s="10"/>
      <c r="P6" s="18" t="n">
        <f aca="false">IF(A6="","",IF(O6&lt;&gt;"",O6,N6))</f>
        <v>15</v>
      </c>
      <c r="Q6" s="14" t="n">
        <f aca="false">IF(A6="","",C6+D6+E6+F6*I6)</f>
        <v>56</v>
      </c>
      <c r="R6" s="13" t="n">
        <f aca="false">IF(A6="","",ROUND(Q6*Settings!$B$20,2))</f>
        <v>3818.08</v>
      </c>
      <c r="S6" s="13" t="n">
        <f aca="false">IF(A6="","",ROUND(R6*L6/100,2))</f>
        <v>381.81</v>
      </c>
      <c r="T6" s="13" t="n">
        <f aca="false">IF(A6="","",ROUND(R6+S6,2))</f>
        <v>4199.89</v>
      </c>
      <c r="U6" s="18" t="n">
        <f aca="false">IF(A6="","",IFERROR(ROUND(T6/M6*100,2),0))</f>
        <v>7</v>
      </c>
      <c r="V6" s="13" t="n">
        <f aca="false">IF(A6="","",ROUND(M6*P6/100,2))</f>
        <v>9000</v>
      </c>
      <c r="W6" s="13" t="n">
        <f aca="false">IF(A6="","",ROUND(V6-T6,2))</f>
        <v>4800.11</v>
      </c>
      <c r="X6" s="4" t="str">
        <f aca="false">IF(A6="","",IF(V6&gt;T6,"percentage fee",IF(V6&lt;T6,"hourly fee","same")))</f>
        <v>percentage fee</v>
      </c>
      <c r="Y6" s="13" t="n">
        <f aca="false">IF(A6="","",IFERROR(ROUND(V6/Q6,2),0))</f>
        <v>160.71</v>
      </c>
      <c r="Z6" s="4" t="str">
        <f aca="false">IF(A6="","",IF(T6&lt;Settings!$B$16,"minimum applies",""))</f>
        <v/>
      </c>
    </row>
    <row r="7" customFormat="false" ht="15" hidden="false" customHeight="false" outlineLevel="0" collapsed="false">
      <c r="A7" s="16" t="s">
        <v>100</v>
      </c>
      <c r="B7" s="16" t="s">
        <v>101</v>
      </c>
      <c r="C7" s="9" t="n">
        <v>10</v>
      </c>
      <c r="D7" s="9" t="n">
        <v>16</v>
      </c>
      <c r="E7" s="9" t="n">
        <v>14</v>
      </c>
      <c r="F7" s="17" t="n">
        <v>3</v>
      </c>
      <c r="G7" s="14" t="n">
        <f aca="false">IF(A7="","",Settings!$B$15)</f>
        <v>2</v>
      </c>
      <c r="H7" s="12"/>
      <c r="I7" s="14" t="n">
        <f aca="false">IF(A7="","",IF(H7&lt;&gt;"",H7,G7))</f>
        <v>2</v>
      </c>
      <c r="J7" s="18" t="n">
        <f aca="false">IF(A7="","",Settings!$B$11)</f>
        <v>10</v>
      </c>
      <c r="K7" s="10" t="n">
        <v>15</v>
      </c>
      <c r="L7" s="18" t="n">
        <f aca="false">IF(A7="","",IF(K7&lt;&gt;"",K7,J7))</f>
        <v>15</v>
      </c>
      <c r="M7" s="6" t="n">
        <v>45000</v>
      </c>
      <c r="N7" s="18" t="n">
        <f aca="false">IF(A7="","",Settings!$B$12)</f>
        <v>15</v>
      </c>
      <c r="O7" s="10" t="n">
        <v>12</v>
      </c>
      <c r="P7" s="18" t="n">
        <f aca="false">IF(A7="","",IF(O7&lt;&gt;"",O7,N7))</f>
        <v>12</v>
      </c>
      <c r="Q7" s="14" t="n">
        <f aca="false">IF(A7="","",C7+D7+E7+F7*I7)</f>
        <v>46</v>
      </c>
      <c r="R7" s="13" t="n">
        <f aca="false">IF(A7="","",ROUND(Q7*Settings!$B$20,2))</f>
        <v>3136.28</v>
      </c>
      <c r="S7" s="13" t="n">
        <f aca="false">IF(A7="","",ROUND(R7*L7/100,2))</f>
        <v>470.44</v>
      </c>
      <c r="T7" s="13" t="n">
        <f aca="false">IF(A7="","",ROUND(R7+S7,2))</f>
        <v>3606.72</v>
      </c>
      <c r="U7" s="18" t="n">
        <f aca="false">IF(A7="","",IFERROR(ROUND(T7/M7*100,2),0))</f>
        <v>8.01</v>
      </c>
      <c r="V7" s="13" t="n">
        <f aca="false">IF(A7="","",ROUND(M7*P7/100,2))</f>
        <v>5400</v>
      </c>
      <c r="W7" s="13" t="n">
        <f aca="false">IF(A7="","",ROUND(V7-T7,2))</f>
        <v>1793.28</v>
      </c>
      <c r="X7" s="4" t="str">
        <f aca="false">IF(A7="","",IF(V7&gt;T7,"percentage fee",IF(V7&lt;T7,"hourly fee","same")))</f>
        <v>percentage fee</v>
      </c>
      <c r="Y7" s="13" t="n">
        <f aca="false">IF(A7="","",IFERROR(ROUND(V7/Q7,2),0))</f>
        <v>117.39</v>
      </c>
      <c r="Z7" s="4" t="str">
        <f aca="false">IF(A7="","",IF(T7&lt;Settings!$B$16,"minimum applies",""))</f>
        <v/>
      </c>
    </row>
    <row r="8" customFormat="false" ht="15" hidden="false" customHeight="false" outlineLevel="0" collapsed="false">
      <c r="A8" s="16" t="s">
        <v>102</v>
      </c>
      <c r="B8" s="16" t="s">
        <v>103</v>
      </c>
      <c r="C8" s="9" t="n">
        <v>4</v>
      </c>
      <c r="D8" s="9" t="n">
        <v>6</v>
      </c>
      <c r="E8" s="9" t="n">
        <v>3</v>
      </c>
      <c r="F8" s="17" t="n">
        <v>1</v>
      </c>
      <c r="G8" s="14" t="n">
        <f aca="false">IF(A8="","",Settings!$B$15)</f>
        <v>2</v>
      </c>
      <c r="H8" s="12"/>
      <c r="I8" s="14" t="n">
        <f aca="false">IF(A8="","",IF(H8&lt;&gt;"",H8,G8))</f>
        <v>2</v>
      </c>
      <c r="J8" s="18" t="n">
        <f aca="false">IF(A8="","",Settings!$B$11)</f>
        <v>10</v>
      </c>
      <c r="K8" s="10"/>
      <c r="L8" s="18" t="n">
        <f aca="false">IF(A8="","",IF(K8&lt;&gt;"",K8,J8))</f>
        <v>10</v>
      </c>
      <c r="M8" s="6" t="n">
        <v>6000</v>
      </c>
      <c r="N8" s="18" t="n">
        <f aca="false">IF(A8="","",Settings!$B$12)</f>
        <v>15</v>
      </c>
      <c r="O8" s="10"/>
      <c r="P8" s="18" t="n">
        <f aca="false">IF(A8="","",IF(O8&lt;&gt;"",O8,N8))</f>
        <v>15</v>
      </c>
      <c r="Q8" s="14" t="n">
        <f aca="false">IF(A8="","",C8+D8+E8+F8*I8)</f>
        <v>15</v>
      </c>
      <c r="R8" s="13" t="n">
        <f aca="false">IF(A8="","",ROUND(Q8*Settings!$B$20,2))</f>
        <v>1022.7</v>
      </c>
      <c r="S8" s="13" t="n">
        <f aca="false">IF(A8="","",ROUND(R8*L8/100,2))</f>
        <v>102.27</v>
      </c>
      <c r="T8" s="13" t="n">
        <f aca="false">IF(A8="","",ROUND(R8+S8,2))</f>
        <v>1124.97</v>
      </c>
      <c r="U8" s="18" t="n">
        <f aca="false">IF(A8="","",IFERROR(ROUND(T8/M8*100,2),0))</f>
        <v>18.75</v>
      </c>
      <c r="V8" s="13" t="n">
        <f aca="false">IF(A8="","",ROUND(M8*P8/100,2))</f>
        <v>900</v>
      </c>
      <c r="W8" s="13" t="n">
        <f aca="false">IF(A8="","",ROUND(V8-T8,2))</f>
        <v>-224.97</v>
      </c>
      <c r="X8" s="4" t="str">
        <f aca="false">IF(A8="","",IF(V8&gt;T8,"percentage fee",IF(V8&lt;T8,"hourly fee","same")))</f>
        <v>hourly fee</v>
      </c>
      <c r="Y8" s="13" t="n">
        <f aca="false">IF(A8="","",IFERROR(ROUND(V8/Q8,2),0))</f>
        <v>60</v>
      </c>
      <c r="Z8" s="4" t="str">
        <f aca="false">IF(A8="","",IF(T8&lt;Settings!$B$16,"minimum applies",""))</f>
        <v>minimum applies</v>
      </c>
    </row>
    <row r="9" customFormat="false" ht="15" hidden="false" customHeight="false" outlineLevel="0" collapsed="false">
      <c r="A9" s="16" t="s">
        <v>104</v>
      </c>
      <c r="B9" s="16" t="s">
        <v>105</v>
      </c>
      <c r="C9" s="9" t="n">
        <v>30</v>
      </c>
      <c r="D9" s="9" t="n">
        <v>45</v>
      </c>
      <c r="E9" s="9" t="n">
        <v>40</v>
      </c>
      <c r="F9" s="17" t="n">
        <v>10</v>
      </c>
      <c r="G9" s="14" t="n">
        <f aca="false">IF(A9="","",Settings!$B$15)</f>
        <v>2</v>
      </c>
      <c r="H9" s="12"/>
      <c r="I9" s="14" t="n">
        <f aca="false">IF(A9="","",IF(H9&lt;&gt;"",H9,G9))</f>
        <v>2</v>
      </c>
      <c r="J9" s="18" t="n">
        <f aca="false">IF(A9="","",Settings!$B$11)</f>
        <v>10</v>
      </c>
      <c r="K9" s="10"/>
      <c r="L9" s="18" t="n">
        <f aca="false">IF(A9="","",IF(K9&lt;&gt;"",K9,J9))</f>
        <v>10</v>
      </c>
      <c r="M9" s="6" t="n">
        <v>250000</v>
      </c>
      <c r="N9" s="18" t="n">
        <f aca="false">IF(A9="","",Settings!$B$12)</f>
        <v>15</v>
      </c>
      <c r="O9" s="10"/>
      <c r="P9" s="18" t="n">
        <f aca="false">IF(A9="","",IF(O9&lt;&gt;"",O9,N9))</f>
        <v>15</v>
      </c>
      <c r="Q9" s="14" t="n">
        <f aca="false">IF(A9="","",C9+D9+E9+F9*I9)</f>
        <v>135</v>
      </c>
      <c r="R9" s="13" t="n">
        <f aca="false">IF(A9="","",ROUND(Q9*Settings!$B$20,2))</f>
        <v>9204.3</v>
      </c>
      <c r="S9" s="13" t="n">
        <f aca="false">IF(A9="","",ROUND(R9*L9/100,2))</f>
        <v>920.43</v>
      </c>
      <c r="T9" s="13" t="n">
        <f aca="false">IF(A9="","",ROUND(R9+S9,2))</f>
        <v>10124.73</v>
      </c>
      <c r="U9" s="18" t="n">
        <f aca="false">IF(A9="","",IFERROR(ROUND(T9/M9*100,2),0))</f>
        <v>4.05</v>
      </c>
      <c r="V9" s="13" t="n">
        <f aca="false">IF(A9="","",ROUND(M9*P9/100,2))</f>
        <v>37500</v>
      </c>
      <c r="W9" s="13" t="n">
        <f aca="false">IF(A9="","",ROUND(V9-T9,2))</f>
        <v>27375.27</v>
      </c>
      <c r="X9" s="4" t="str">
        <f aca="false">IF(A9="","",IF(V9&gt;T9,"percentage fee",IF(V9&lt;T9,"hourly fee","same")))</f>
        <v>percentage fee</v>
      </c>
      <c r="Y9" s="13" t="n">
        <f aca="false">IF(A9="","",IFERROR(ROUND(V9/Q9,2),0))</f>
        <v>277.78</v>
      </c>
      <c r="Z9" s="4" t="str">
        <f aca="false">IF(A9="","",IF(T9&lt;Settings!$B$16,"minimum applies",""))</f>
        <v/>
      </c>
    </row>
    <row r="10" customFormat="false" ht="15" hidden="false" customHeight="false" outlineLevel="0" collapsed="false">
      <c r="A10" s="16" t="s">
        <v>106</v>
      </c>
      <c r="B10" s="16" t="s">
        <v>107</v>
      </c>
      <c r="C10" s="9" t="n">
        <v>12</v>
      </c>
      <c r="D10" s="9" t="n">
        <v>15</v>
      </c>
      <c r="E10" s="9" t="n">
        <v>10</v>
      </c>
      <c r="F10" s="17" t="n">
        <v>3</v>
      </c>
      <c r="G10" s="14" t="n">
        <f aca="false">IF(A10="","",Settings!$B$15)</f>
        <v>2</v>
      </c>
      <c r="H10" s="12"/>
      <c r="I10" s="14" t="n">
        <f aca="false">IF(A10="","",IF(H10&lt;&gt;"",H10,G10))</f>
        <v>2</v>
      </c>
      <c r="J10" s="18" t="n">
        <f aca="false">IF(A10="","",Settings!$B$11)</f>
        <v>10</v>
      </c>
      <c r="K10" s="10"/>
      <c r="L10" s="18" t="n">
        <f aca="false">IF(A10="","",IF(K10&lt;&gt;"",K10,J10))</f>
        <v>10</v>
      </c>
      <c r="M10" s="6" t="n">
        <v>30000</v>
      </c>
      <c r="N10" s="18" t="n">
        <f aca="false">IF(A10="","",Settings!$B$12)</f>
        <v>15</v>
      </c>
      <c r="O10" s="10"/>
      <c r="P10" s="18" t="n">
        <f aca="false">IF(A10="","",IF(O10&lt;&gt;"",O10,N10))</f>
        <v>15</v>
      </c>
      <c r="Q10" s="14" t="n">
        <f aca="false">IF(A10="","",C10+D10+E10+F10*I10)</f>
        <v>43</v>
      </c>
      <c r="R10" s="13" t="n">
        <f aca="false">IF(A10="","",ROUND(Q10*Settings!$B$20,2))</f>
        <v>2931.74</v>
      </c>
      <c r="S10" s="13" t="n">
        <f aca="false">IF(A10="","",ROUND(R10*L10/100,2))</f>
        <v>293.17</v>
      </c>
      <c r="T10" s="13" t="n">
        <f aca="false">IF(A10="","",ROUND(R10+S10,2))</f>
        <v>3224.91</v>
      </c>
      <c r="U10" s="18" t="n">
        <f aca="false">IF(A10="","",IFERROR(ROUND(T10/M10*100,2),0))</f>
        <v>10.75</v>
      </c>
      <c r="V10" s="13" t="n">
        <f aca="false">IF(A10="","",ROUND(M10*P10/100,2))</f>
        <v>4500</v>
      </c>
      <c r="W10" s="13" t="n">
        <f aca="false">IF(A10="","",ROUND(V10-T10,2))</f>
        <v>1275.09</v>
      </c>
      <c r="X10" s="4" t="str">
        <f aca="false">IF(A10="","",IF(V10&gt;T10,"percentage fee",IF(V10&lt;T10,"hourly fee","same")))</f>
        <v>percentage fee</v>
      </c>
      <c r="Y10" s="13" t="n">
        <f aca="false">IF(A10="","",IFERROR(ROUND(V10/Q10,2),0))</f>
        <v>104.65</v>
      </c>
      <c r="Z10" s="4" t="str">
        <f aca="false">IF(A10="","",IF(T10&lt;Settings!$B$16,"minimum applies",""))</f>
        <v/>
      </c>
    </row>
    <row r="11" customFormat="false" ht="15" hidden="false" customHeight="false" outlineLevel="0" collapsed="false">
      <c r="A11" s="16"/>
      <c r="B11" s="16"/>
      <c r="C11" s="12"/>
      <c r="D11" s="12"/>
      <c r="E11" s="12"/>
      <c r="F11" s="17"/>
      <c r="G11" s="14" t="str">
        <f aca="false">IF(A11="","",Settings!$B$15)</f>
        <v/>
      </c>
      <c r="H11" s="12"/>
      <c r="I11" s="14" t="str">
        <f aca="false">IF(A11="","",IF(H11&lt;&gt;"",H11,G11))</f>
        <v/>
      </c>
      <c r="J11" s="18" t="str">
        <f aca="false">IF(A11="","",Settings!$B$11)</f>
        <v/>
      </c>
      <c r="K11" s="10"/>
      <c r="L11" s="18" t="str">
        <f aca="false">IF(A11="","",IF(K11&lt;&gt;"",K11,J11))</f>
        <v/>
      </c>
      <c r="M11" s="7"/>
      <c r="N11" s="18" t="str">
        <f aca="false">IF(A11="","",Settings!$B$12)</f>
        <v/>
      </c>
      <c r="O11" s="10"/>
      <c r="P11" s="18" t="str">
        <f aca="false">IF(A11="","",IF(O11&lt;&gt;"",O11,N11))</f>
        <v/>
      </c>
      <c r="Q11" s="14" t="str">
        <f aca="false">IF(A11="","",C11+D11+E11+F11*I11)</f>
        <v/>
      </c>
      <c r="R11" s="13" t="str">
        <f aca="false">IF(A11="","",ROUND(Q11*Settings!$B$20,2))</f>
        <v/>
      </c>
      <c r="S11" s="13" t="str">
        <f aca="false">IF(A11="","",ROUND(R11*L11/100,2))</f>
        <v/>
      </c>
      <c r="T11" s="13" t="str">
        <f aca="false">IF(A11="","",ROUND(R11+S11,2))</f>
        <v/>
      </c>
      <c r="U11" s="18" t="str">
        <f aca="false">IF(A11="","",IFERROR(ROUND(T11/M11*100,2),0))</f>
        <v/>
      </c>
      <c r="V11" s="13" t="str">
        <f aca="false">IF(A11="","",ROUND(M11*P11/100,2))</f>
        <v/>
      </c>
      <c r="W11" s="13" t="str">
        <f aca="false">IF(A11="","",ROUND(V11-T11,2))</f>
        <v/>
      </c>
      <c r="X11" s="4" t="str">
        <f aca="false">IF(A11="","",IF(V11&gt;T11,"percentage fee",IF(V11&lt;T11,"hourly fee","same")))</f>
        <v/>
      </c>
      <c r="Y11" s="13" t="str">
        <f aca="false">IF(A11="","",IFERROR(ROUND(V11/Q11,2),0))</f>
        <v/>
      </c>
      <c r="Z11" s="4" t="str">
        <f aca="false">IF(A11="","",IF(T11&lt;Settings!$B$16,"minimum applies",""))</f>
        <v/>
      </c>
    </row>
    <row r="12" customFormat="false" ht="15" hidden="false" customHeight="false" outlineLevel="0" collapsed="false">
      <c r="A12" s="16"/>
      <c r="B12" s="16"/>
      <c r="C12" s="12"/>
      <c r="D12" s="12"/>
      <c r="E12" s="12"/>
      <c r="F12" s="17"/>
      <c r="G12" s="14" t="str">
        <f aca="false">IF(A12="","",Settings!$B$15)</f>
        <v/>
      </c>
      <c r="H12" s="12"/>
      <c r="I12" s="14" t="str">
        <f aca="false">IF(A12="","",IF(H12&lt;&gt;"",H12,G12))</f>
        <v/>
      </c>
      <c r="J12" s="18" t="str">
        <f aca="false">IF(A12="","",Settings!$B$11)</f>
        <v/>
      </c>
      <c r="K12" s="10"/>
      <c r="L12" s="18" t="str">
        <f aca="false">IF(A12="","",IF(K12&lt;&gt;"",K12,J12))</f>
        <v/>
      </c>
      <c r="M12" s="7"/>
      <c r="N12" s="18" t="str">
        <f aca="false">IF(A12="","",Settings!$B$12)</f>
        <v/>
      </c>
      <c r="O12" s="10"/>
      <c r="P12" s="18" t="str">
        <f aca="false">IF(A12="","",IF(O12&lt;&gt;"",O12,N12))</f>
        <v/>
      </c>
      <c r="Q12" s="14" t="str">
        <f aca="false">IF(A12="","",C12+D12+E12+F12*I12)</f>
        <v/>
      </c>
      <c r="R12" s="13" t="str">
        <f aca="false">IF(A12="","",ROUND(Q12*Settings!$B$20,2))</f>
        <v/>
      </c>
      <c r="S12" s="13" t="str">
        <f aca="false">IF(A12="","",ROUND(R12*L12/100,2))</f>
        <v/>
      </c>
      <c r="T12" s="13" t="str">
        <f aca="false">IF(A12="","",ROUND(R12+S12,2))</f>
        <v/>
      </c>
      <c r="U12" s="18" t="str">
        <f aca="false">IF(A12="","",IFERROR(ROUND(T12/M12*100,2),0))</f>
        <v/>
      </c>
      <c r="V12" s="13" t="str">
        <f aca="false">IF(A12="","",ROUND(M12*P12/100,2))</f>
        <v/>
      </c>
      <c r="W12" s="13" t="str">
        <f aca="false">IF(A12="","",ROUND(V12-T12,2))</f>
        <v/>
      </c>
      <c r="X12" s="4" t="str">
        <f aca="false">IF(A12="","",IF(V12&gt;T12,"percentage fee",IF(V12&lt;T12,"hourly fee","same")))</f>
        <v/>
      </c>
      <c r="Y12" s="13" t="str">
        <f aca="false">IF(A12="","",IFERROR(ROUND(V12/Q12,2),0))</f>
        <v/>
      </c>
      <c r="Z12" s="4" t="str">
        <f aca="false">IF(A12="","",IF(T12&lt;Settings!$B$16,"minimum applies",""))</f>
        <v/>
      </c>
    </row>
    <row r="13" customFormat="false" ht="15" hidden="false" customHeight="false" outlineLevel="0" collapsed="false">
      <c r="A13" s="16"/>
      <c r="B13" s="16"/>
      <c r="C13" s="12"/>
      <c r="D13" s="12"/>
      <c r="E13" s="12"/>
      <c r="F13" s="17"/>
      <c r="G13" s="14" t="str">
        <f aca="false">IF(A13="","",Settings!$B$15)</f>
        <v/>
      </c>
      <c r="H13" s="12"/>
      <c r="I13" s="14" t="str">
        <f aca="false">IF(A13="","",IF(H13&lt;&gt;"",H13,G13))</f>
        <v/>
      </c>
      <c r="J13" s="18" t="str">
        <f aca="false">IF(A13="","",Settings!$B$11)</f>
        <v/>
      </c>
      <c r="K13" s="10"/>
      <c r="L13" s="18" t="str">
        <f aca="false">IF(A13="","",IF(K13&lt;&gt;"",K13,J13))</f>
        <v/>
      </c>
      <c r="M13" s="7"/>
      <c r="N13" s="18" t="str">
        <f aca="false">IF(A13="","",Settings!$B$12)</f>
        <v/>
      </c>
      <c r="O13" s="10"/>
      <c r="P13" s="18" t="str">
        <f aca="false">IF(A13="","",IF(O13&lt;&gt;"",O13,N13))</f>
        <v/>
      </c>
      <c r="Q13" s="14" t="str">
        <f aca="false">IF(A13="","",C13+D13+E13+F13*I13)</f>
        <v/>
      </c>
      <c r="R13" s="13" t="str">
        <f aca="false">IF(A13="","",ROUND(Q13*Settings!$B$20,2))</f>
        <v/>
      </c>
      <c r="S13" s="13" t="str">
        <f aca="false">IF(A13="","",ROUND(R13*L13/100,2))</f>
        <v/>
      </c>
      <c r="T13" s="13" t="str">
        <f aca="false">IF(A13="","",ROUND(R13+S13,2))</f>
        <v/>
      </c>
      <c r="U13" s="18" t="str">
        <f aca="false">IF(A13="","",IFERROR(ROUND(T13/M13*100,2),0))</f>
        <v/>
      </c>
      <c r="V13" s="13" t="str">
        <f aca="false">IF(A13="","",ROUND(M13*P13/100,2))</f>
        <v/>
      </c>
      <c r="W13" s="13" t="str">
        <f aca="false">IF(A13="","",ROUND(V13-T13,2))</f>
        <v/>
      </c>
      <c r="X13" s="4" t="str">
        <f aca="false">IF(A13="","",IF(V13&gt;T13,"percentage fee",IF(V13&lt;T13,"hourly fee","same")))</f>
        <v/>
      </c>
      <c r="Y13" s="13" t="str">
        <f aca="false">IF(A13="","",IFERROR(ROUND(V13/Q13,2),0))</f>
        <v/>
      </c>
      <c r="Z13" s="4" t="str">
        <f aca="false">IF(A13="","",IF(T13&lt;Settings!$B$16,"minimum applies",""))</f>
        <v/>
      </c>
    </row>
    <row r="14" customFormat="false" ht="15" hidden="false" customHeight="false" outlineLevel="0" collapsed="false">
      <c r="A14" s="16"/>
      <c r="B14" s="16"/>
      <c r="C14" s="12"/>
      <c r="D14" s="12"/>
      <c r="E14" s="12"/>
      <c r="F14" s="17"/>
      <c r="G14" s="14" t="str">
        <f aca="false">IF(A14="","",Settings!$B$15)</f>
        <v/>
      </c>
      <c r="H14" s="12"/>
      <c r="I14" s="14" t="str">
        <f aca="false">IF(A14="","",IF(H14&lt;&gt;"",H14,G14))</f>
        <v/>
      </c>
      <c r="J14" s="18" t="str">
        <f aca="false">IF(A14="","",Settings!$B$11)</f>
        <v/>
      </c>
      <c r="K14" s="10"/>
      <c r="L14" s="18" t="str">
        <f aca="false">IF(A14="","",IF(K14&lt;&gt;"",K14,J14))</f>
        <v/>
      </c>
      <c r="M14" s="7"/>
      <c r="N14" s="18" t="str">
        <f aca="false">IF(A14="","",Settings!$B$12)</f>
        <v/>
      </c>
      <c r="O14" s="10"/>
      <c r="P14" s="18" t="str">
        <f aca="false">IF(A14="","",IF(O14&lt;&gt;"",O14,N14))</f>
        <v/>
      </c>
      <c r="Q14" s="14" t="str">
        <f aca="false">IF(A14="","",C14+D14+E14+F14*I14)</f>
        <v/>
      </c>
      <c r="R14" s="13" t="str">
        <f aca="false">IF(A14="","",ROUND(Q14*Settings!$B$20,2))</f>
        <v/>
      </c>
      <c r="S14" s="13" t="str">
        <f aca="false">IF(A14="","",ROUND(R14*L14/100,2))</f>
        <v/>
      </c>
      <c r="T14" s="13" t="str">
        <f aca="false">IF(A14="","",ROUND(R14+S14,2))</f>
        <v/>
      </c>
      <c r="U14" s="18" t="str">
        <f aca="false">IF(A14="","",IFERROR(ROUND(T14/M14*100,2),0))</f>
        <v/>
      </c>
      <c r="V14" s="13" t="str">
        <f aca="false">IF(A14="","",ROUND(M14*P14/100,2))</f>
        <v/>
      </c>
      <c r="W14" s="13" t="str">
        <f aca="false">IF(A14="","",ROUND(V14-T14,2))</f>
        <v/>
      </c>
      <c r="X14" s="4" t="str">
        <f aca="false">IF(A14="","",IF(V14&gt;T14,"percentage fee",IF(V14&lt;T14,"hourly fee","same")))</f>
        <v/>
      </c>
      <c r="Y14" s="13" t="str">
        <f aca="false">IF(A14="","",IFERROR(ROUND(V14/Q14,2),0))</f>
        <v/>
      </c>
      <c r="Z14" s="4" t="str">
        <f aca="false">IF(A14="","",IF(T14&lt;Settings!$B$16,"minimum applies",""))</f>
        <v/>
      </c>
    </row>
    <row r="15" customFormat="false" ht="15" hidden="false" customHeight="false" outlineLevel="0" collapsed="false">
      <c r="A15" s="16"/>
      <c r="B15" s="16"/>
      <c r="C15" s="12"/>
      <c r="D15" s="12"/>
      <c r="E15" s="12"/>
      <c r="F15" s="17"/>
      <c r="G15" s="14" t="str">
        <f aca="false">IF(A15="","",Settings!$B$15)</f>
        <v/>
      </c>
      <c r="H15" s="12"/>
      <c r="I15" s="14" t="str">
        <f aca="false">IF(A15="","",IF(H15&lt;&gt;"",H15,G15))</f>
        <v/>
      </c>
      <c r="J15" s="18" t="str">
        <f aca="false">IF(A15="","",Settings!$B$11)</f>
        <v/>
      </c>
      <c r="K15" s="10"/>
      <c r="L15" s="18" t="str">
        <f aca="false">IF(A15="","",IF(K15&lt;&gt;"",K15,J15))</f>
        <v/>
      </c>
      <c r="M15" s="7"/>
      <c r="N15" s="18" t="str">
        <f aca="false">IF(A15="","",Settings!$B$12)</f>
        <v/>
      </c>
      <c r="O15" s="10"/>
      <c r="P15" s="18" t="str">
        <f aca="false">IF(A15="","",IF(O15&lt;&gt;"",O15,N15))</f>
        <v/>
      </c>
      <c r="Q15" s="14" t="str">
        <f aca="false">IF(A15="","",C15+D15+E15+F15*I15)</f>
        <v/>
      </c>
      <c r="R15" s="13" t="str">
        <f aca="false">IF(A15="","",ROUND(Q15*Settings!$B$20,2))</f>
        <v/>
      </c>
      <c r="S15" s="13" t="str">
        <f aca="false">IF(A15="","",ROUND(R15*L15/100,2))</f>
        <v/>
      </c>
      <c r="T15" s="13" t="str">
        <f aca="false">IF(A15="","",ROUND(R15+S15,2))</f>
        <v/>
      </c>
      <c r="U15" s="18" t="str">
        <f aca="false">IF(A15="","",IFERROR(ROUND(T15/M15*100,2),0))</f>
        <v/>
      </c>
      <c r="V15" s="13" t="str">
        <f aca="false">IF(A15="","",ROUND(M15*P15/100,2))</f>
        <v/>
      </c>
      <c r="W15" s="13" t="str">
        <f aca="false">IF(A15="","",ROUND(V15-T15,2))</f>
        <v/>
      </c>
      <c r="X15" s="4" t="str">
        <f aca="false">IF(A15="","",IF(V15&gt;T15,"percentage fee",IF(V15&lt;T15,"hourly fee","same")))</f>
        <v/>
      </c>
      <c r="Y15" s="13" t="str">
        <f aca="false">IF(A15="","",IFERROR(ROUND(V15/Q15,2),0))</f>
        <v/>
      </c>
      <c r="Z15" s="4" t="str">
        <f aca="false">IF(A15="","",IF(T15&lt;Settings!$B$16,"minimum applies",""))</f>
        <v/>
      </c>
    </row>
    <row r="16" customFormat="false" ht="15" hidden="false" customHeight="false" outlineLevel="0" collapsed="false">
      <c r="A16" s="16"/>
      <c r="B16" s="16"/>
      <c r="C16" s="12"/>
      <c r="D16" s="12"/>
      <c r="E16" s="12"/>
      <c r="F16" s="17"/>
      <c r="G16" s="14" t="str">
        <f aca="false">IF(A16="","",Settings!$B$15)</f>
        <v/>
      </c>
      <c r="H16" s="12"/>
      <c r="I16" s="14" t="str">
        <f aca="false">IF(A16="","",IF(H16&lt;&gt;"",H16,G16))</f>
        <v/>
      </c>
      <c r="J16" s="18" t="str">
        <f aca="false">IF(A16="","",Settings!$B$11)</f>
        <v/>
      </c>
      <c r="K16" s="10"/>
      <c r="L16" s="18" t="str">
        <f aca="false">IF(A16="","",IF(K16&lt;&gt;"",K16,J16))</f>
        <v/>
      </c>
      <c r="M16" s="7"/>
      <c r="N16" s="18" t="str">
        <f aca="false">IF(A16="","",Settings!$B$12)</f>
        <v/>
      </c>
      <c r="O16" s="10"/>
      <c r="P16" s="18" t="str">
        <f aca="false">IF(A16="","",IF(O16&lt;&gt;"",O16,N16))</f>
        <v/>
      </c>
      <c r="Q16" s="14" t="str">
        <f aca="false">IF(A16="","",C16+D16+E16+F16*I16)</f>
        <v/>
      </c>
      <c r="R16" s="13" t="str">
        <f aca="false">IF(A16="","",ROUND(Q16*Settings!$B$20,2))</f>
        <v/>
      </c>
      <c r="S16" s="13" t="str">
        <f aca="false">IF(A16="","",ROUND(R16*L16/100,2))</f>
        <v/>
      </c>
      <c r="T16" s="13" t="str">
        <f aca="false">IF(A16="","",ROUND(R16+S16,2))</f>
        <v/>
      </c>
      <c r="U16" s="18" t="str">
        <f aca="false">IF(A16="","",IFERROR(ROUND(T16/M16*100,2),0))</f>
        <v/>
      </c>
      <c r="V16" s="13" t="str">
        <f aca="false">IF(A16="","",ROUND(M16*P16/100,2))</f>
        <v/>
      </c>
      <c r="W16" s="13" t="str">
        <f aca="false">IF(A16="","",ROUND(V16-T16,2))</f>
        <v/>
      </c>
      <c r="X16" s="4" t="str">
        <f aca="false">IF(A16="","",IF(V16&gt;T16,"percentage fee",IF(V16&lt;T16,"hourly fee","same")))</f>
        <v/>
      </c>
      <c r="Y16" s="13" t="str">
        <f aca="false">IF(A16="","",IFERROR(ROUND(V16/Q16,2),0))</f>
        <v/>
      </c>
      <c r="Z16" s="4" t="str">
        <f aca="false">IF(A16="","",IF(T16&lt;Settings!$B$16,"minimum applies",""))</f>
        <v/>
      </c>
    </row>
    <row r="17" customFormat="false" ht="15" hidden="false" customHeight="false" outlineLevel="0" collapsed="false">
      <c r="A17" s="16"/>
      <c r="B17" s="16"/>
      <c r="C17" s="12"/>
      <c r="D17" s="12"/>
      <c r="E17" s="12"/>
      <c r="F17" s="17"/>
      <c r="G17" s="14" t="str">
        <f aca="false">IF(A17="","",Settings!$B$15)</f>
        <v/>
      </c>
      <c r="H17" s="12"/>
      <c r="I17" s="14" t="str">
        <f aca="false">IF(A17="","",IF(H17&lt;&gt;"",H17,G17))</f>
        <v/>
      </c>
      <c r="J17" s="18" t="str">
        <f aca="false">IF(A17="","",Settings!$B$11)</f>
        <v/>
      </c>
      <c r="K17" s="10"/>
      <c r="L17" s="18" t="str">
        <f aca="false">IF(A17="","",IF(K17&lt;&gt;"",K17,J17))</f>
        <v/>
      </c>
      <c r="M17" s="7"/>
      <c r="N17" s="18" t="str">
        <f aca="false">IF(A17="","",Settings!$B$12)</f>
        <v/>
      </c>
      <c r="O17" s="10"/>
      <c r="P17" s="18" t="str">
        <f aca="false">IF(A17="","",IF(O17&lt;&gt;"",O17,N17))</f>
        <v/>
      </c>
      <c r="Q17" s="14" t="str">
        <f aca="false">IF(A17="","",C17+D17+E17+F17*I17)</f>
        <v/>
      </c>
      <c r="R17" s="13" t="str">
        <f aca="false">IF(A17="","",ROUND(Q17*Settings!$B$20,2))</f>
        <v/>
      </c>
      <c r="S17" s="13" t="str">
        <f aca="false">IF(A17="","",ROUND(R17*L17/100,2))</f>
        <v/>
      </c>
      <c r="T17" s="13" t="str">
        <f aca="false">IF(A17="","",ROUND(R17+S17,2))</f>
        <v/>
      </c>
      <c r="U17" s="18" t="str">
        <f aca="false">IF(A17="","",IFERROR(ROUND(T17/M17*100,2),0))</f>
        <v/>
      </c>
      <c r="V17" s="13" t="str">
        <f aca="false">IF(A17="","",ROUND(M17*P17/100,2))</f>
        <v/>
      </c>
      <c r="W17" s="13" t="str">
        <f aca="false">IF(A17="","",ROUND(V17-T17,2))</f>
        <v/>
      </c>
      <c r="X17" s="4" t="str">
        <f aca="false">IF(A17="","",IF(V17&gt;T17,"percentage fee",IF(V17&lt;T17,"hourly fee","same")))</f>
        <v/>
      </c>
      <c r="Y17" s="13" t="str">
        <f aca="false">IF(A17="","",IFERROR(ROUND(V17/Q17,2),0))</f>
        <v/>
      </c>
      <c r="Z17" s="4" t="str">
        <f aca="false">IF(A17="","",IF(T17&lt;Settings!$B$16,"minimum applies",""))</f>
        <v/>
      </c>
    </row>
    <row r="18" customFormat="false" ht="15" hidden="false" customHeight="false" outlineLevel="0" collapsed="false">
      <c r="A18" s="16"/>
      <c r="B18" s="16"/>
      <c r="C18" s="12"/>
      <c r="D18" s="12"/>
      <c r="E18" s="12"/>
      <c r="F18" s="17"/>
      <c r="G18" s="14" t="str">
        <f aca="false">IF(A18="","",Settings!$B$15)</f>
        <v/>
      </c>
      <c r="H18" s="12"/>
      <c r="I18" s="14" t="str">
        <f aca="false">IF(A18="","",IF(H18&lt;&gt;"",H18,G18))</f>
        <v/>
      </c>
      <c r="J18" s="18" t="str">
        <f aca="false">IF(A18="","",Settings!$B$11)</f>
        <v/>
      </c>
      <c r="K18" s="10"/>
      <c r="L18" s="18" t="str">
        <f aca="false">IF(A18="","",IF(K18&lt;&gt;"",K18,J18))</f>
        <v/>
      </c>
      <c r="M18" s="7"/>
      <c r="N18" s="18" t="str">
        <f aca="false">IF(A18="","",Settings!$B$12)</f>
        <v/>
      </c>
      <c r="O18" s="10"/>
      <c r="P18" s="18" t="str">
        <f aca="false">IF(A18="","",IF(O18&lt;&gt;"",O18,N18))</f>
        <v/>
      </c>
      <c r="Q18" s="14" t="str">
        <f aca="false">IF(A18="","",C18+D18+E18+F18*I18)</f>
        <v/>
      </c>
      <c r="R18" s="13" t="str">
        <f aca="false">IF(A18="","",ROUND(Q18*Settings!$B$20,2))</f>
        <v/>
      </c>
      <c r="S18" s="13" t="str">
        <f aca="false">IF(A18="","",ROUND(R18*L18/100,2))</f>
        <v/>
      </c>
      <c r="T18" s="13" t="str">
        <f aca="false">IF(A18="","",ROUND(R18+S18,2))</f>
        <v/>
      </c>
      <c r="U18" s="18" t="str">
        <f aca="false">IF(A18="","",IFERROR(ROUND(T18/M18*100,2),0))</f>
        <v/>
      </c>
      <c r="V18" s="13" t="str">
        <f aca="false">IF(A18="","",ROUND(M18*P18/100,2))</f>
        <v/>
      </c>
      <c r="W18" s="13" t="str">
        <f aca="false">IF(A18="","",ROUND(V18-T18,2))</f>
        <v/>
      </c>
      <c r="X18" s="4" t="str">
        <f aca="false">IF(A18="","",IF(V18&gt;T18,"percentage fee",IF(V18&lt;T18,"hourly fee","same")))</f>
        <v/>
      </c>
      <c r="Y18" s="13" t="str">
        <f aca="false">IF(A18="","",IFERROR(ROUND(V18/Q18,2),0))</f>
        <v/>
      </c>
      <c r="Z18" s="4" t="str">
        <f aca="false">IF(A18="","",IF(T18&lt;Settings!$B$16,"minimum applies",""))</f>
        <v/>
      </c>
    </row>
    <row r="19" customFormat="false" ht="15" hidden="false" customHeight="false" outlineLevel="0" collapsed="false">
      <c r="A19" s="16"/>
      <c r="B19" s="16"/>
      <c r="C19" s="12"/>
      <c r="D19" s="12"/>
      <c r="E19" s="12"/>
      <c r="F19" s="17"/>
      <c r="G19" s="14" t="str">
        <f aca="false">IF(A19="","",Settings!$B$15)</f>
        <v/>
      </c>
      <c r="H19" s="12"/>
      <c r="I19" s="14" t="str">
        <f aca="false">IF(A19="","",IF(H19&lt;&gt;"",H19,G19))</f>
        <v/>
      </c>
      <c r="J19" s="18" t="str">
        <f aca="false">IF(A19="","",Settings!$B$11)</f>
        <v/>
      </c>
      <c r="K19" s="10"/>
      <c r="L19" s="18" t="str">
        <f aca="false">IF(A19="","",IF(K19&lt;&gt;"",K19,J19))</f>
        <v/>
      </c>
      <c r="M19" s="7"/>
      <c r="N19" s="18" t="str">
        <f aca="false">IF(A19="","",Settings!$B$12)</f>
        <v/>
      </c>
      <c r="O19" s="10"/>
      <c r="P19" s="18" t="str">
        <f aca="false">IF(A19="","",IF(O19&lt;&gt;"",O19,N19))</f>
        <v/>
      </c>
      <c r="Q19" s="14" t="str">
        <f aca="false">IF(A19="","",C19+D19+E19+F19*I19)</f>
        <v/>
      </c>
      <c r="R19" s="13" t="str">
        <f aca="false">IF(A19="","",ROUND(Q19*Settings!$B$20,2))</f>
        <v/>
      </c>
      <c r="S19" s="13" t="str">
        <f aca="false">IF(A19="","",ROUND(R19*L19/100,2))</f>
        <v/>
      </c>
      <c r="T19" s="13" t="str">
        <f aca="false">IF(A19="","",ROUND(R19+S19,2))</f>
        <v/>
      </c>
      <c r="U19" s="18" t="str">
        <f aca="false">IF(A19="","",IFERROR(ROUND(T19/M19*100,2),0))</f>
        <v/>
      </c>
      <c r="V19" s="13" t="str">
        <f aca="false">IF(A19="","",ROUND(M19*P19/100,2))</f>
        <v/>
      </c>
      <c r="W19" s="13" t="str">
        <f aca="false">IF(A19="","",ROUND(V19-T19,2))</f>
        <v/>
      </c>
      <c r="X19" s="4" t="str">
        <f aca="false">IF(A19="","",IF(V19&gt;T19,"percentage fee",IF(V19&lt;T19,"hourly fee","same")))</f>
        <v/>
      </c>
      <c r="Y19" s="13" t="str">
        <f aca="false">IF(A19="","",IFERROR(ROUND(V19/Q19,2),0))</f>
        <v/>
      </c>
      <c r="Z19" s="4" t="str">
        <f aca="false">IF(A19="","",IF(T19&lt;Settings!$B$16,"minimum applies",""))</f>
        <v/>
      </c>
    </row>
    <row r="20" customFormat="false" ht="15" hidden="false" customHeight="false" outlineLevel="0" collapsed="false">
      <c r="A20" s="16"/>
      <c r="B20" s="16"/>
      <c r="C20" s="12"/>
      <c r="D20" s="12"/>
      <c r="E20" s="12"/>
      <c r="F20" s="17"/>
      <c r="G20" s="14" t="str">
        <f aca="false">IF(A20="","",Settings!$B$15)</f>
        <v/>
      </c>
      <c r="H20" s="12"/>
      <c r="I20" s="14" t="str">
        <f aca="false">IF(A20="","",IF(H20&lt;&gt;"",H20,G20))</f>
        <v/>
      </c>
      <c r="J20" s="18" t="str">
        <f aca="false">IF(A20="","",Settings!$B$11)</f>
        <v/>
      </c>
      <c r="K20" s="10"/>
      <c r="L20" s="18" t="str">
        <f aca="false">IF(A20="","",IF(K20&lt;&gt;"",K20,J20))</f>
        <v/>
      </c>
      <c r="M20" s="7"/>
      <c r="N20" s="18" t="str">
        <f aca="false">IF(A20="","",Settings!$B$12)</f>
        <v/>
      </c>
      <c r="O20" s="10"/>
      <c r="P20" s="18" t="str">
        <f aca="false">IF(A20="","",IF(O20&lt;&gt;"",O20,N20))</f>
        <v/>
      </c>
      <c r="Q20" s="14" t="str">
        <f aca="false">IF(A20="","",C20+D20+E20+F20*I20)</f>
        <v/>
      </c>
      <c r="R20" s="13" t="str">
        <f aca="false">IF(A20="","",ROUND(Q20*Settings!$B$20,2))</f>
        <v/>
      </c>
      <c r="S20" s="13" t="str">
        <f aca="false">IF(A20="","",ROUND(R20*L20/100,2))</f>
        <v/>
      </c>
      <c r="T20" s="13" t="str">
        <f aca="false">IF(A20="","",ROUND(R20+S20,2))</f>
        <v/>
      </c>
      <c r="U20" s="18" t="str">
        <f aca="false">IF(A20="","",IFERROR(ROUND(T20/M20*100,2),0))</f>
        <v/>
      </c>
      <c r="V20" s="13" t="str">
        <f aca="false">IF(A20="","",ROUND(M20*P20/100,2))</f>
        <v/>
      </c>
      <c r="W20" s="13" t="str">
        <f aca="false">IF(A20="","",ROUND(V20-T20,2))</f>
        <v/>
      </c>
      <c r="X20" s="4" t="str">
        <f aca="false">IF(A20="","",IF(V20&gt;T20,"percentage fee",IF(V20&lt;T20,"hourly fee","same")))</f>
        <v/>
      </c>
      <c r="Y20" s="13" t="str">
        <f aca="false">IF(A20="","",IFERROR(ROUND(V20/Q20,2),0))</f>
        <v/>
      </c>
      <c r="Z20" s="4" t="str">
        <f aca="false">IF(A20="","",IF(T20&lt;Settings!$B$16,"minimum applies",""))</f>
        <v/>
      </c>
    </row>
    <row r="21" customFormat="false" ht="15" hidden="false" customHeight="false" outlineLevel="0" collapsed="false">
      <c r="A21" s="16"/>
      <c r="B21" s="16"/>
      <c r="C21" s="12"/>
      <c r="D21" s="12"/>
      <c r="E21" s="12"/>
      <c r="F21" s="17"/>
      <c r="G21" s="14" t="str">
        <f aca="false">IF(A21="","",Settings!$B$15)</f>
        <v/>
      </c>
      <c r="H21" s="12"/>
      <c r="I21" s="14" t="str">
        <f aca="false">IF(A21="","",IF(H21&lt;&gt;"",H21,G21))</f>
        <v/>
      </c>
      <c r="J21" s="18" t="str">
        <f aca="false">IF(A21="","",Settings!$B$11)</f>
        <v/>
      </c>
      <c r="K21" s="10"/>
      <c r="L21" s="18" t="str">
        <f aca="false">IF(A21="","",IF(K21&lt;&gt;"",K21,J21))</f>
        <v/>
      </c>
      <c r="M21" s="7"/>
      <c r="N21" s="18" t="str">
        <f aca="false">IF(A21="","",Settings!$B$12)</f>
        <v/>
      </c>
      <c r="O21" s="10"/>
      <c r="P21" s="18" t="str">
        <f aca="false">IF(A21="","",IF(O21&lt;&gt;"",O21,N21))</f>
        <v/>
      </c>
      <c r="Q21" s="14" t="str">
        <f aca="false">IF(A21="","",C21+D21+E21+F21*I21)</f>
        <v/>
      </c>
      <c r="R21" s="13" t="str">
        <f aca="false">IF(A21="","",ROUND(Q21*Settings!$B$20,2))</f>
        <v/>
      </c>
      <c r="S21" s="13" t="str">
        <f aca="false">IF(A21="","",ROUND(R21*L21/100,2))</f>
        <v/>
      </c>
      <c r="T21" s="13" t="str">
        <f aca="false">IF(A21="","",ROUND(R21+S21,2))</f>
        <v/>
      </c>
      <c r="U21" s="18" t="str">
        <f aca="false">IF(A21="","",IFERROR(ROUND(T21/M21*100,2),0))</f>
        <v/>
      </c>
      <c r="V21" s="13" t="str">
        <f aca="false">IF(A21="","",ROUND(M21*P21/100,2))</f>
        <v/>
      </c>
      <c r="W21" s="13" t="str">
        <f aca="false">IF(A21="","",ROUND(V21-T21,2))</f>
        <v/>
      </c>
      <c r="X21" s="4" t="str">
        <f aca="false">IF(A21="","",IF(V21&gt;T21,"percentage fee",IF(V21&lt;T21,"hourly fee","same")))</f>
        <v/>
      </c>
      <c r="Y21" s="13" t="str">
        <f aca="false">IF(A21="","",IFERROR(ROUND(V21/Q21,2),0))</f>
        <v/>
      </c>
      <c r="Z21" s="4" t="str">
        <f aca="false">IF(A21="","",IF(T21&lt;Settings!$B$16,"minimum applies",""))</f>
        <v/>
      </c>
    </row>
    <row r="22" customFormat="false" ht="15" hidden="false" customHeight="false" outlineLevel="0" collapsed="false">
      <c r="A22" s="16"/>
      <c r="B22" s="16"/>
      <c r="C22" s="12"/>
      <c r="D22" s="12"/>
      <c r="E22" s="12"/>
      <c r="F22" s="17"/>
      <c r="G22" s="14" t="str">
        <f aca="false">IF(A22="","",Settings!$B$15)</f>
        <v/>
      </c>
      <c r="H22" s="12"/>
      <c r="I22" s="14" t="str">
        <f aca="false">IF(A22="","",IF(H22&lt;&gt;"",H22,G22))</f>
        <v/>
      </c>
      <c r="J22" s="18" t="str">
        <f aca="false">IF(A22="","",Settings!$B$11)</f>
        <v/>
      </c>
      <c r="K22" s="10"/>
      <c r="L22" s="18" t="str">
        <f aca="false">IF(A22="","",IF(K22&lt;&gt;"",K22,J22))</f>
        <v/>
      </c>
      <c r="M22" s="7"/>
      <c r="N22" s="18" t="str">
        <f aca="false">IF(A22="","",Settings!$B$12)</f>
        <v/>
      </c>
      <c r="O22" s="10"/>
      <c r="P22" s="18" t="str">
        <f aca="false">IF(A22="","",IF(O22&lt;&gt;"",O22,N22))</f>
        <v/>
      </c>
      <c r="Q22" s="14" t="str">
        <f aca="false">IF(A22="","",C22+D22+E22+F22*I22)</f>
        <v/>
      </c>
      <c r="R22" s="13" t="str">
        <f aca="false">IF(A22="","",ROUND(Q22*Settings!$B$20,2))</f>
        <v/>
      </c>
      <c r="S22" s="13" t="str">
        <f aca="false">IF(A22="","",ROUND(R22*L22/100,2))</f>
        <v/>
      </c>
      <c r="T22" s="13" t="str">
        <f aca="false">IF(A22="","",ROUND(R22+S22,2))</f>
        <v/>
      </c>
      <c r="U22" s="18" t="str">
        <f aca="false">IF(A22="","",IFERROR(ROUND(T22/M22*100,2),0))</f>
        <v/>
      </c>
      <c r="V22" s="13" t="str">
        <f aca="false">IF(A22="","",ROUND(M22*P22/100,2))</f>
        <v/>
      </c>
      <c r="W22" s="13" t="str">
        <f aca="false">IF(A22="","",ROUND(V22-T22,2))</f>
        <v/>
      </c>
      <c r="X22" s="4" t="str">
        <f aca="false">IF(A22="","",IF(V22&gt;T22,"percentage fee",IF(V22&lt;T22,"hourly fee","same")))</f>
        <v/>
      </c>
      <c r="Y22" s="13" t="str">
        <f aca="false">IF(A22="","",IFERROR(ROUND(V22/Q22,2),0))</f>
        <v/>
      </c>
      <c r="Z22" s="4" t="str">
        <f aca="false">IF(A22="","",IF(T22&lt;Settings!$B$16,"minimum applies",""))</f>
        <v/>
      </c>
    </row>
    <row r="23" customFormat="false" ht="15" hidden="false" customHeight="false" outlineLevel="0" collapsed="false">
      <c r="A23" s="16"/>
      <c r="B23" s="16"/>
      <c r="C23" s="12"/>
      <c r="D23" s="12"/>
      <c r="E23" s="12"/>
      <c r="F23" s="17"/>
      <c r="G23" s="14" t="str">
        <f aca="false">IF(A23="","",Settings!$B$15)</f>
        <v/>
      </c>
      <c r="H23" s="12"/>
      <c r="I23" s="14" t="str">
        <f aca="false">IF(A23="","",IF(H23&lt;&gt;"",H23,G23))</f>
        <v/>
      </c>
      <c r="J23" s="18" t="str">
        <f aca="false">IF(A23="","",Settings!$B$11)</f>
        <v/>
      </c>
      <c r="K23" s="10"/>
      <c r="L23" s="18" t="str">
        <f aca="false">IF(A23="","",IF(K23&lt;&gt;"",K23,J23))</f>
        <v/>
      </c>
      <c r="M23" s="7"/>
      <c r="N23" s="18" t="str">
        <f aca="false">IF(A23="","",Settings!$B$12)</f>
        <v/>
      </c>
      <c r="O23" s="10"/>
      <c r="P23" s="18" t="str">
        <f aca="false">IF(A23="","",IF(O23&lt;&gt;"",O23,N23))</f>
        <v/>
      </c>
      <c r="Q23" s="14" t="str">
        <f aca="false">IF(A23="","",C23+D23+E23+F23*I23)</f>
        <v/>
      </c>
      <c r="R23" s="13" t="str">
        <f aca="false">IF(A23="","",ROUND(Q23*Settings!$B$20,2))</f>
        <v/>
      </c>
      <c r="S23" s="13" t="str">
        <f aca="false">IF(A23="","",ROUND(R23*L23/100,2))</f>
        <v/>
      </c>
      <c r="T23" s="13" t="str">
        <f aca="false">IF(A23="","",ROUND(R23+S23,2))</f>
        <v/>
      </c>
      <c r="U23" s="18" t="str">
        <f aca="false">IF(A23="","",IFERROR(ROUND(T23/M23*100,2),0))</f>
        <v/>
      </c>
      <c r="V23" s="13" t="str">
        <f aca="false">IF(A23="","",ROUND(M23*P23/100,2))</f>
        <v/>
      </c>
      <c r="W23" s="13" t="str">
        <f aca="false">IF(A23="","",ROUND(V23-T23,2))</f>
        <v/>
      </c>
      <c r="X23" s="4" t="str">
        <f aca="false">IF(A23="","",IF(V23&gt;T23,"percentage fee",IF(V23&lt;T23,"hourly fee","same")))</f>
        <v/>
      </c>
      <c r="Y23" s="13" t="str">
        <f aca="false">IF(A23="","",IFERROR(ROUND(V23/Q23,2),0))</f>
        <v/>
      </c>
      <c r="Z23" s="4" t="str">
        <f aca="false">IF(A23="","",IF(T23&lt;Settings!$B$16,"minimum applies",""))</f>
        <v/>
      </c>
    </row>
    <row r="24" customFormat="false" ht="15" hidden="false" customHeight="false" outlineLevel="0" collapsed="false">
      <c r="A24" s="16"/>
      <c r="B24" s="16"/>
      <c r="C24" s="12"/>
      <c r="D24" s="12"/>
      <c r="E24" s="12"/>
      <c r="F24" s="17"/>
      <c r="G24" s="14" t="str">
        <f aca="false">IF(A24="","",Settings!$B$15)</f>
        <v/>
      </c>
      <c r="H24" s="12"/>
      <c r="I24" s="14" t="str">
        <f aca="false">IF(A24="","",IF(H24&lt;&gt;"",H24,G24))</f>
        <v/>
      </c>
      <c r="J24" s="18" t="str">
        <f aca="false">IF(A24="","",Settings!$B$11)</f>
        <v/>
      </c>
      <c r="K24" s="10"/>
      <c r="L24" s="18" t="str">
        <f aca="false">IF(A24="","",IF(K24&lt;&gt;"",K24,J24))</f>
        <v/>
      </c>
      <c r="M24" s="7"/>
      <c r="N24" s="18" t="str">
        <f aca="false">IF(A24="","",Settings!$B$12)</f>
        <v/>
      </c>
      <c r="O24" s="10"/>
      <c r="P24" s="18" t="str">
        <f aca="false">IF(A24="","",IF(O24&lt;&gt;"",O24,N24))</f>
        <v/>
      </c>
      <c r="Q24" s="14" t="str">
        <f aca="false">IF(A24="","",C24+D24+E24+F24*I24)</f>
        <v/>
      </c>
      <c r="R24" s="13" t="str">
        <f aca="false">IF(A24="","",ROUND(Q24*Settings!$B$20,2))</f>
        <v/>
      </c>
      <c r="S24" s="13" t="str">
        <f aca="false">IF(A24="","",ROUND(R24*L24/100,2))</f>
        <v/>
      </c>
      <c r="T24" s="13" t="str">
        <f aca="false">IF(A24="","",ROUND(R24+S24,2))</f>
        <v/>
      </c>
      <c r="U24" s="18" t="str">
        <f aca="false">IF(A24="","",IFERROR(ROUND(T24/M24*100,2),0))</f>
        <v/>
      </c>
      <c r="V24" s="13" t="str">
        <f aca="false">IF(A24="","",ROUND(M24*P24/100,2))</f>
        <v/>
      </c>
      <c r="W24" s="13" t="str">
        <f aca="false">IF(A24="","",ROUND(V24-T24,2))</f>
        <v/>
      </c>
      <c r="X24" s="4" t="str">
        <f aca="false">IF(A24="","",IF(V24&gt;T24,"percentage fee",IF(V24&lt;T24,"hourly fee","same")))</f>
        <v/>
      </c>
      <c r="Y24" s="13" t="str">
        <f aca="false">IF(A24="","",IFERROR(ROUND(V24/Q24,2),0))</f>
        <v/>
      </c>
      <c r="Z24" s="4" t="str">
        <f aca="false">IF(A24="","",IF(T24&lt;Settings!$B$16,"minimum applies",""))</f>
        <v/>
      </c>
    </row>
    <row r="25" customFormat="false" ht="15" hidden="false" customHeight="false" outlineLevel="0" collapsed="false">
      <c r="A25" s="5" t="s">
        <v>108</v>
      </c>
      <c r="B25" s="19" t="n">
        <f aca="false">COUNTA(A5:A24)</f>
        <v>6</v>
      </c>
      <c r="C25" s="20" t="n">
        <f aca="false">SUM(C5:C24)</f>
        <v>90</v>
      </c>
      <c r="D25" s="20" t="n">
        <f aca="false">SUM(D5:D24)</f>
        <v>130</v>
      </c>
      <c r="E25" s="20" t="n">
        <f aca="false">SUM(E5:E24)</f>
        <v>104</v>
      </c>
      <c r="F25" s="21" t="n">
        <f aca="false">SUM(F5:F24)</f>
        <v>27</v>
      </c>
      <c r="M25" s="8" t="n">
        <f aca="false">SUM(M5:M24)</f>
        <v>511000</v>
      </c>
      <c r="Q25" s="20" t="n">
        <f aca="false">SUM(Q5:Q24)</f>
        <v>382</v>
      </c>
      <c r="R25" s="8" t="n">
        <f aca="false">SUM(R5:R24)</f>
        <v>26044.76</v>
      </c>
      <c r="S25" s="8" t="n">
        <f aca="false">SUM(S5:S24)</f>
        <v>2761.29</v>
      </c>
      <c r="T25" s="8" t="n">
        <f aca="false">SUM(T5:T24)</f>
        <v>28806.05</v>
      </c>
      <c r="U25" s="22" t="n">
        <f aca="false">IFERROR(ROUND(T25/M25*100,2),0)</f>
        <v>5.64</v>
      </c>
      <c r="V25" s="8" t="n">
        <f aca="false">SUM(V5:V24)</f>
        <v>75300</v>
      </c>
      <c r="W25" s="8" t="n">
        <f aca="false">SUM(W5:W24)</f>
        <v>46493.95</v>
      </c>
      <c r="Y25" s="8" t="n">
        <f aca="false">IFERROR(ROUND(V25/Q25,2),0)</f>
        <v>197.12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3" min="3" style="1" width="14"/>
    <col collapsed="false" customWidth="true" hidden="false" outlineLevel="0" max="4" min="4" style="1" width="11"/>
    <col collapsed="false" customWidth="true" hidden="false" outlineLevel="0" max="6" min="5" style="1" width="10"/>
    <col collapsed="false" customWidth="true" hidden="false" outlineLevel="0" max="7" min="7" style="1" width="9"/>
    <col collapsed="false" customWidth="true" hidden="false" outlineLevel="0" max="9" min="8" style="1" width="10"/>
    <col collapsed="false" customWidth="true" hidden="false" outlineLevel="0" max="10" min="10" style="1" width="9"/>
    <col collapsed="false" customWidth="true" hidden="false" outlineLevel="0" max="11" min="11" style="1" width="12"/>
    <col collapsed="false" customWidth="true" hidden="false" outlineLevel="0" max="12" min="12" style="1" width="11"/>
    <col collapsed="false" customWidth="true" hidden="false" outlineLevel="0" max="13" min="13" style="1" width="8"/>
    <col collapsed="false" customWidth="true" hidden="false" outlineLevel="0" max="18" min="14" style="1" width="11"/>
    <col collapsed="false" customWidth="true" hidden="false" outlineLevel="0" max="19" min="19" style="1" width="9"/>
    <col collapsed="false" customWidth="true" hidden="false" outlineLevel="0" max="20" min="20" style="1" width="12"/>
  </cols>
  <sheetData>
    <row r="1" customFormat="false" ht="17.35" hidden="false" customHeight="false" outlineLevel="0" collapsed="false">
      <c r="A1" s="2" t="s">
        <v>109</v>
      </c>
    </row>
    <row r="2" customFormat="false" ht="15" hidden="false" customHeight="false" outlineLevel="0" collapsed="false">
      <c r="A2" s="3" t="s">
        <v>110</v>
      </c>
    </row>
    <row r="4" customFormat="false" ht="77.6" hidden="false" customHeight="false" outlineLevel="0" collapsed="false">
      <c r="A4" s="15" t="s">
        <v>70</v>
      </c>
      <c r="B4" s="15" t="s">
        <v>111</v>
      </c>
      <c r="C4" s="15" t="s">
        <v>112</v>
      </c>
      <c r="D4" s="15" t="s">
        <v>113</v>
      </c>
      <c r="E4" s="15" t="s">
        <v>114</v>
      </c>
      <c r="F4" s="15" t="s">
        <v>115</v>
      </c>
      <c r="G4" s="15" t="s">
        <v>116</v>
      </c>
      <c r="H4" s="15" t="s">
        <v>117</v>
      </c>
      <c r="I4" s="15" t="s">
        <v>118</v>
      </c>
      <c r="J4" s="15" t="s">
        <v>119</v>
      </c>
      <c r="K4" s="15" t="s">
        <v>120</v>
      </c>
      <c r="L4" s="15" t="s">
        <v>121</v>
      </c>
      <c r="M4" s="15" t="s">
        <v>122</v>
      </c>
      <c r="N4" s="15" t="s">
        <v>123</v>
      </c>
      <c r="O4" s="15" t="s">
        <v>124</v>
      </c>
      <c r="P4" s="15" t="s">
        <v>125</v>
      </c>
      <c r="Q4" s="15" t="s">
        <v>126</v>
      </c>
      <c r="R4" s="15" t="s">
        <v>127</v>
      </c>
      <c r="S4" s="15" t="s">
        <v>128</v>
      </c>
      <c r="T4" s="15" t="s">
        <v>129</v>
      </c>
    </row>
    <row r="5" customFormat="false" ht="15" hidden="false" customHeight="false" outlineLevel="0" collapsed="false">
      <c r="A5" s="16" t="s">
        <v>96</v>
      </c>
      <c r="B5" s="16" t="s">
        <v>130</v>
      </c>
      <c r="C5" s="16" t="s">
        <v>131</v>
      </c>
      <c r="D5" s="6" t="n">
        <v>3200</v>
      </c>
      <c r="E5" s="18" t="n">
        <f aca="false">IF(A5="","",Settings!$B$14)</f>
        <v>30</v>
      </c>
      <c r="F5" s="10"/>
      <c r="G5" s="18" t="n">
        <f aca="false">IF(A5="","",IF(F5&lt;&gt;"",F5,E5))</f>
        <v>30</v>
      </c>
      <c r="H5" s="18" t="n">
        <f aca="false">IF(A5="","",Settings!$B$13)</f>
        <v>25</v>
      </c>
      <c r="I5" s="10"/>
      <c r="J5" s="18" t="n">
        <f aca="false">IF(A5="","",IF(I5&lt;&gt;"",I5,H5))</f>
        <v>25</v>
      </c>
      <c r="K5" s="7"/>
      <c r="L5" s="7" t="n">
        <v>150</v>
      </c>
      <c r="M5" s="23" t="n">
        <v>1</v>
      </c>
      <c r="N5" s="13" t="n">
        <f aca="false">IF(A5="","",ROUND(D5*(1-G5/100),2))</f>
        <v>2240</v>
      </c>
      <c r="O5" s="13" t="n">
        <f aca="false">IF(A5="","",IF(K5&lt;&gt;"",K5,ROUND(N5*(1+J5/100),2)))</f>
        <v>2800</v>
      </c>
      <c r="P5" s="13" t="n">
        <f aca="false">IF(A5="","",ROUND(N5*M5+L5,2))</f>
        <v>2390</v>
      </c>
      <c r="Q5" s="13" t="n">
        <f aca="false">IF(A5="","",ROUND(O5*M5+L5,2))</f>
        <v>2950</v>
      </c>
      <c r="R5" s="13" t="n">
        <f aca="false">IF(A5="","",ROUND(Q5-P5,2))</f>
        <v>560</v>
      </c>
      <c r="S5" s="18" t="n">
        <f aca="false">IF(A5="","",IFERROR(ROUND(R5/Q5*100,2),0))</f>
        <v>18.98</v>
      </c>
      <c r="T5" s="13" t="n">
        <f aca="false">IF(A5="","",ROUND((D5-O5)*M5,2))</f>
        <v>400</v>
      </c>
    </row>
    <row r="6" customFormat="false" ht="15" hidden="false" customHeight="false" outlineLevel="0" collapsed="false">
      <c r="A6" s="16" t="s">
        <v>96</v>
      </c>
      <c r="B6" s="16" t="s">
        <v>132</v>
      </c>
      <c r="C6" s="16" t="s">
        <v>133</v>
      </c>
      <c r="D6" s="6" t="n">
        <v>420</v>
      </c>
      <c r="E6" s="18" t="n">
        <f aca="false">IF(A6="","",Settings!$B$14)</f>
        <v>30</v>
      </c>
      <c r="F6" s="10"/>
      <c r="G6" s="18" t="n">
        <f aca="false">IF(A6="","",IF(F6&lt;&gt;"",F6,E6))</f>
        <v>30</v>
      </c>
      <c r="H6" s="18" t="n">
        <f aca="false">IF(A6="","",Settings!$B$13)</f>
        <v>25</v>
      </c>
      <c r="I6" s="10"/>
      <c r="J6" s="18" t="n">
        <f aca="false">IF(A6="","",IF(I6&lt;&gt;"",I6,H6))</f>
        <v>25</v>
      </c>
      <c r="K6" s="7"/>
      <c r="L6" s="7" t="n">
        <v>80</v>
      </c>
      <c r="M6" s="23" t="n">
        <v>6</v>
      </c>
      <c r="N6" s="13" t="n">
        <f aca="false">IF(A6="","",ROUND(D6*(1-G6/100),2))</f>
        <v>294</v>
      </c>
      <c r="O6" s="13" t="n">
        <f aca="false">IF(A6="","",IF(K6&lt;&gt;"",K6,ROUND(N6*(1+J6/100),2)))</f>
        <v>367.5</v>
      </c>
      <c r="P6" s="13" t="n">
        <f aca="false">IF(A6="","",ROUND(N6*M6+L6,2))</f>
        <v>1844</v>
      </c>
      <c r="Q6" s="13" t="n">
        <f aca="false">IF(A6="","",ROUND(O6*M6+L6,2))</f>
        <v>2285</v>
      </c>
      <c r="R6" s="13" t="n">
        <f aca="false">IF(A6="","",ROUND(Q6-P6,2))</f>
        <v>441</v>
      </c>
      <c r="S6" s="18" t="n">
        <f aca="false">IF(A6="","",IFERROR(ROUND(R6/Q6*100,2),0))</f>
        <v>19.3</v>
      </c>
      <c r="T6" s="13" t="n">
        <f aca="false">IF(A6="","",ROUND((D6-O6)*M6,2))</f>
        <v>315</v>
      </c>
    </row>
    <row r="7" customFormat="false" ht="15" hidden="false" customHeight="false" outlineLevel="0" collapsed="false">
      <c r="A7" s="16" t="s">
        <v>96</v>
      </c>
      <c r="B7" s="16" t="s">
        <v>134</v>
      </c>
      <c r="C7" s="16" t="s">
        <v>135</v>
      </c>
      <c r="D7" s="6" t="n">
        <v>380</v>
      </c>
      <c r="E7" s="18" t="n">
        <f aca="false">IF(A7="","",Settings!$B$14)</f>
        <v>30</v>
      </c>
      <c r="F7" s="10"/>
      <c r="G7" s="18" t="n">
        <f aca="false">IF(A7="","",IF(F7&lt;&gt;"",F7,E7))</f>
        <v>30</v>
      </c>
      <c r="H7" s="18" t="n">
        <f aca="false">IF(A7="","",Settings!$B$13)</f>
        <v>25</v>
      </c>
      <c r="I7" s="10"/>
      <c r="J7" s="18" t="n">
        <f aca="false">IF(A7="","",IF(I7&lt;&gt;"",I7,H7))</f>
        <v>25</v>
      </c>
      <c r="K7" s="7"/>
      <c r="L7" s="7" t="n">
        <v>40</v>
      </c>
      <c r="M7" s="23" t="n">
        <v>3</v>
      </c>
      <c r="N7" s="13" t="n">
        <f aca="false">IF(A7="","",ROUND(D7*(1-G7/100),2))</f>
        <v>266</v>
      </c>
      <c r="O7" s="13" t="n">
        <f aca="false">IF(A7="","",IF(K7&lt;&gt;"",K7,ROUND(N7*(1+J7/100),2)))</f>
        <v>332.5</v>
      </c>
      <c r="P7" s="13" t="n">
        <f aca="false">IF(A7="","",ROUND(N7*M7+L7,2))</f>
        <v>838</v>
      </c>
      <c r="Q7" s="13" t="n">
        <f aca="false">IF(A7="","",ROUND(O7*M7+L7,2))</f>
        <v>1037.5</v>
      </c>
      <c r="R7" s="13" t="n">
        <f aca="false">IF(A7="","",ROUND(Q7-P7,2))</f>
        <v>199.5</v>
      </c>
      <c r="S7" s="18" t="n">
        <f aca="false">IF(A7="","",IFERROR(ROUND(R7/Q7*100,2),0))</f>
        <v>19.23</v>
      </c>
      <c r="T7" s="13" t="n">
        <f aca="false">IF(A7="","",ROUND((D7-O7)*M7,2))</f>
        <v>142.5</v>
      </c>
    </row>
    <row r="8" customFormat="false" ht="15" hidden="false" customHeight="false" outlineLevel="0" collapsed="false">
      <c r="A8" s="16" t="s">
        <v>96</v>
      </c>
      <c r="B8" s="16" t="s">
        <v>136</v>
      </c>
      <c r="C8" s="16" t="s">
        <v>131</v>
      </c>
      <c r="D8" s="6" t="n">
        <v>1800</v>
      </c>
      <c r="E8" s="18" t="n">
        <f aca="false">IF(A8="","",Settings!$B$14)</f>
        <v>30</v>
      </c>
      <c r="F8" s="10"/>
      <c r="G8" s="18" t="n">
        <f aca="false">IF(A8="","",IF(F8&lt;&gt;"",F8,E8))</f>
        <v>30</v>
      </c>
      <c r="H8" s="18" t="n">
        <f aca="false">IF(A8="","",Settings!$B$13)</f>
        <v>25</v>
      </c>
      <c r="I8" s="10" t="n">
        <v>20</v>
      </c>
      <c r="J8" s="18" t="n">
        <f aca="false">IF(A8="","",IF(I8&lt;&gt;"",I8,H8))</f>
        <v>20</v>
      </c>
      <c r="K8" s="7"/>
      <c r="L8" s="7" t="n">
        <v>60</v>
      </c>
      <c r="M8" s="23" t="n">
        <v>1</v>
      </c>
      <c r="N8" s="13" t="n">
        <f aca="false">IF(A8="","",ROUND(D8*(1-G8/100),2))</f>
        <v>1260</v>
      </c>
      <c r="O8" s="13" t="n">
        <f aca="false">IF(A8="","",IF(K8&lt;&gt;"",K8,ROUND(N8*(1+J8/100),2)))</f>
        <v>1512</v>
      </c>
      <c r="P8" s="13" t="n">
        <f aca="false">IF(A8="","",ROUND(N8*M8+L8,2))</f>
        <v>1320</v>
      </c>
      <c r="Q8" s="13" t="n">
        <f aca="false">IF(A8="","",ROUND(O8*M8+L8,2))</f>
        <v>1572</v>
      </c>
      <c r="R8" s="13" t="n">
        <f aca="false">IF(A8="","",ROUND(Q8-P8,2))</f>
        <v>252</v>
      </c>
      <c r="S8" s="18" t="n">
        <f aca="false">IF(A8="","",IFERROR(ROUND(R8/Q8*100,2),0))</f>
        <v>16.03</v>
      </c>
      <c r="T8" s="13" t="n">
        <f aca="false">IF(A8="","",ROUND((D8-O8)*M8,2))</f>
        <v>288</v>
      </c>
    </row>
    <row r="9" customFormat="false" ht="15" hidden="false" customHeight="false" outlineLevel="0" collapsed="false">
      <c r="A9" s="16" t="s">
        <v>98</v>
      </c>
      <c r="B9" s="16" t="s">
        <v>137</v>
      </c>
      <c r="C9" s="16" t="s">
        <v>138</v>
      </c>
      <c r="D9" s="6" t="n">
        <v>2100</v>
      </c>
      <c r="E9" s="18" t="n">
        <f aca="false">IF(A9="","",Settings!$B$14)</f>
        <v>30</v>
      </c>
      <c r="F9" s="10"/>
      <c r="G9" s="18" t="n">
        <f aca="false">IF(A9="","",IF(F9&lt;&gt;"",F9,E9))</f>
        <v>30</v>
      </c>
      <c r="H9" s="18" t="n">
        <f aca="false">IF(A9="","",Settings!$B$13)</f>
        <v>25</v>
      </c>
      <c r="I9" s="10"/>
      <c r="J9" s="18" t="n">
        <f aca="false">IF(A9="","",IF(I9&lt;&gt;"",I9,H9))</f>
        <v>25</v>
      </c>
      <c r="K9" s="7"/>
      <c r="L9" s="7" t="n">
        <v>120</v>
      </c>
      <c r="M9" s="23" t="n">
        <v>1</v>
      </c>
      <c r="N9" s="13" t="n">
        <f aca="false">IF(A9="","",ROUND(D9*(1-G9/100),2))</f>
        <v>1470</v>
      </c>
      <c r="O9" s="13" t="n">
        <f aca="false">IF(A9="","",IF(K9&lt;&gt;"",K9,ROUND(N9*(1+J9/100),2)))</f>
        <v>1837.5</v>
      </c>
      <c r="P9" s="13" t="n">
        <f aca="false">IF(A9="","",ROUND(N9*M9+L9,2))</f>
        <v>1590</v>
      </c>
      <c r="Q9" s="13" t="n">
        <f aca="false">IF(A9="","",ROUND(O9*M9+L9,2))</f>
        <v>1957.5</v>
      </c>
      <c r="R9" s="13" t="n">
        <f aca="false">IF(A9="","",ROUND(Q9-P9,2))</f>
        <v>367.5</v>
      </c>
      <c r="S9" s="18" t="n">
        <f aca="false">IF(A9="","",IFERROR(ROUND(R9/Q9*100,2),0))</f>
        <v>18.77</v>
      </c>
      <c r="T9" s="13" t="n">
        <f aca="false">IF(A9="","",ROUND((D9-O9)*M9,2))</f>
        <v>262.5</v>
      </c>
    </row>
    <row r="10" customFormat="false" ht="15" hidden="false" customHeight="false" outlineLevel="0" collapsed="false">
      <c r="A10" s="16" t="s">
        <v>98</v>
      </c>
      <c r="B10" s="16" t="s">
        <v>139</v>
      </c>
      <c r="C10" s="16" t="s">
        <v>138</v>
      </c>
      <c r="D10" s="6" t="n">
        <v>450</v>
      </c>
      <c r="E10" s="18" t="n">
        <f aca="false">IF(A10="","",Settings!$B$14)</f>
        <v>30</v>
      </c>
      <c r="F10" s="10"/>
      <c r="G10" s="18" t="n">
        <f aca="false">IF(A10="","",IF(F10&lt;&gt;"",F10,E10))</f>
        <v>30</v>
      </c>
      <c r="H10" s="18" t="n">
        <f aca="false">IF(A10="","",Settings!$B$13)</f>
        <v>25</v>
      </c>
      <c r="I10" s="10"/>
      <c r="J10" s="18" t="n">
        <f aca="false">IF(A10="","",IF(I10&lt;&gt;"",I10,H10))</f>
        <v>25</v>
      </c>
      <c r="K10" s="7"/>
      <c r="L10" s="7" t="n">
        <v>30</v>
      </c>
      <c r="M10" s="23" t="n">
        <v>2</v>
      </c>
      <c r="N10" s="13" t="n">
        <f aca="false">IF(A10="","",ROUND(D10*(1-G10/100),2))</f>
        <v>315</v>
      </c>
      <c r="O10" s="13" t="n">
        <f aca="false">IF(A10="","",IF(K10&lt;&gt;"",K10,ROUND(N10*(1+J10/100),2)))</f>
        <v>393.75</v>
      </c>
      <c r="P10" s="13" t="n">
        <f aca="false">IF(A10="","",ROUND(N10*M10+L10,2))</f>
        <v>660</v>
      </c>
      <c r="Q10" s="13" t="n">
        <f aca="false">IF(A10="","",ROUND(O10*M10+L10,2))</f>
        <v>817.5</v>
      </c>
      <c r="R10" s="13" t="n">
        <f aca="false">IF(A10="","",ROUND(Q10-P10,2))</f>
        <v>157.5</v>
      </c>
      <c r="S10" s="18" t="n">
        <f aca="false">IF(A10="","",IFERROR(ROUND(R10/Q10*100,2),0))</f>
        <v>19.27</v>
      </c>
      <c r="T10" s="13" t="n">
        <f aca="false">IF(A10="","",ROUND((D10-O10)*M10,2))</f>
        <v>112.5</v>
      </c>
    </row>
    <row r="11" customFormat="false" ht="15" hidden="false" customHeight="false" outlineLevel="0" collapsed="false">
      <c r="A11" s="16" t="s">
        <v>98</v>
      </c>
      <c r="B11" s="16" t="s">
        <v>140</v>
      </c>
      <c r="C11" s="16" t="s">
        <v>141</v>
      </c>
      <c r="D11" s="6" t="n">
        <v>1600</v>
      </c>
      <c r="E11" s="18" t="n">
        <f aca="false">IF(A11="","",Settings!$B$14)</f>
        <v>30</v>
      </c>
      <c r="F11" s="10" t="n">
        <v>10</v>
      </c>
      <c r="G11" s="18" t="n">
        <f aca="false">IF(A11="","",IF(F11&lt;&gt;"",F11,E11))</f>
        <v>10</v>
      </c>
      <c r="H11" s="18" t="n">
        <f aca="false">IF(A11="","",Settings!$B$13)</f>
        <v>25</v>
      </c>
      <c r="I11" s="10"/>
      <c r="J11" s="18" t="n">
        <f aca="false">IF(A11="","",IF(I11&lt;&gt;"",I11,H11))</f>
        <v>25</v>
      </c>
      <c r="K11" s="7"/>
      <c r="L11" s="7" t="n">
        <v>0</v>
      </c>
      <c r="M11" s="23" t="n">
        <v>1</v>
      </c>
      <c r="N11" s="13" t="n">
        <f aca="false">IF(A11="","",ROUND(D11*(1-G11/100),2))</f>
        <v>1440</v>
      </c>
      <c r="O11" s="13" t="n">
        <f aca="false">IF(A11="","",IF(K11&lt;&gt;"",K11,ROUND(N11*(1+J11/100),2)))</f>
        <v>1800</v>
      </c>
      <c r="P11" s="13" t="n">
        <f aca="false">IF(A11="","",ROUND(N11*M11+L11,2))</f>
        <v>1440</v>
      </c>
      <c r="Q11" s="13" t="n">
        <f aca="false">IF(A11="","",ROUND(O11*M11+L11,2))</f>
        <v>1800</v>
      </c>
      <c r="R11" s="13" t="n">
        <f aca="false">IF(A11="","",ROUND(Q11-P11,2))</f>
        <v>360</v>
      </c>
      <c r="S11" s="18" t="n">
        <f aca="false">IF(A11="","",IFERROR(ROUND(R11/Q11*100,2),0))</f>
        <v>20</v>
      </c>
      <c r="T11" s="13" t="n">
        <f aca="false">IF(A11="","",ROUND((D11-O11)*M11,2))</f>
        <v>-200</v>
      </c>
    </row>
    <row r="12" customFormat="false" ht="15" hidden="false" customHeight="false" outlineLevel="0" collapsed="false">
      <c r="A12" s="16" t="s">
        <v>100</v>
      </c>
      <c r="B12" s="16" t="s">
        <v>142</v>
      </c>
      <c r="C12" s="16" t="s">
        <v>143</v>
      </c>
      <c r="D12" s="6" t="n">
        <v>160</v>
      </c>
      <c r="E12" s="18" t="n">
        <f aca="false">IF(A12="","",Settings!$B$14)</f>
        <v>30</v>
      </c>
      <c r="F12" s="10"/>
      <c r="G12" s="18" t="n">
        <f aca="false">IF(A12="","",IF(F12&lt;&gt;"",F12,E12))</f>
        <v>30</v>
      </c>
      <c r="H12" s="18" t="n">
        <f aca="false">IF(A12="","",Settings!$B$13)</f>
        <v>25</v>
      </c>
      <c r="I12" s="10"/>
      <c r="J12" s="18" t="n">
        <f aca="false">IF(A12="","",IF(I12&lt;&gt;"",I12,H12))</f>
        <v>25</v>
      </c>
      <c r="K12" s="7"/>
      <c r="L12" s="7" t="n">
        <v>200</v>
      </c>
      <c r="M12" s="23" t="n">
        <v>24</v>
      </c>
      <c r="N12" s="13" t="n">
        <f aca="false">IF(A12="","",ROUND(D12*(1-G12/100),2))</f>
        <v>112</v>
      </c>
      <c r="O12" s="13" t="n">
        <f aca="false">IF(A12="","",IF(K12&lt;&gt;"",K12,ROUND(N12*(1+J12/100),2)))</f>
        <v>140</v>
      </c>
      <c r="P12" s="13" t="n">
        <f aca="false">IF(A12="","",ROUND(N12*M12+L12,2))</f>
        <v>2888</v>
      </c>
      <c r="Q12" s="13" t="n">
        <f aca="false">IF(A12="","",ROUND(O12*M12+L12,2))</f>
        <v>3560</v>
      </c>
      <c r="R12" s="13" t="n">
        <f aca="false">IF(A12="","",ROUND(Q12-P12,2))</f>
        <v>672</v>
      </c>
      <c r="S12" s="18" t="n">
        <f aca="false">IF(A12="","",IFERROR(ROUND(R12/Q12*100,2),0))</f>
        <v>18.88</v>
      </c>
      <c r="T12" s="13" t="n">
        <f aca="false">IF(A12="","",ROUND((D12-O12)*M12,2))</f>
        <v>480</v>
      </c>
    </row>
    <row r="13" customFormat="false" ht="15" hidden="false" customHeight="false" outlineLevel="0" collapsed="false">
      <c r="A13" s="16" t="s">
        <v>100</v>
      </c>
      <c r="B13" s="16" t="s">
        <v>144</v>
      </c>
      <c r="C13" s="16" t="s">
        <v>143</v>
      </c>
      <c r="D13" s="6" t="n">
        <v>240</v>
      </c>
      <c r="E13" s="18" t="n">
        <f aca="false">IF(A13="","",Settings!$B$14)</f>
        <v>30</v>
      </c>
      <c r="F13" s="10"/>
      <c r="G13" s="18" t="n">
        <f aca="false">IF(A13="","",IF(F13&lt;&gt;"",F13,E13))</f>
        <v>30</v>
      </c>
      <c r="H13" s="18" t="n">
        <f aca="false">IF(A13="","",Settings!$B$13)</f>
        <v>25</v>
      </c>
      <c r="I13" s="10"/>
      <c r="J13" s="18" t="n">
        <f aca="false">IF(A13="","",IF(I13&lt;&gt;"",I13,H13))</f>
        <v>25</v>
      </c>
      <c r="K13" s="7"/>
      <c r="L13" s="7" t="n">
        <v>90</v>
      </c>
      <c r="M13" s="23" t="n">
        <v>8</v>
      </c>
      <c r="N13" s="13" t="n">
        <f aca="false">IF(A13="","",ROUND(D13*(1-G13/100),2))</f>
        <v>168</v>
      </c>
      <c r="O13" s="13" t="n">
        <f aca="false">IF(A13="","",IF(K13&lt;&gt;"",K13,ROUND(N13*(1+J13/100),2)))</f>
        <v>210</v>
      </c>
      <c r="P13" s="13" t="n">
        <f aca="false">IF(A13="","",ROUND(N13*M13+L13,2))</f>
        <v>1434</v>
      </c>
      <c r="Q13" s="13" t="n">
        <f aca="false">IF(A13="","",ROUND(O13*M13+L13,2))</f>
        <v>1770</v>
      </c>
      <c r="R13" s="13" t="n">
        <f aca="false">IF(A13="","",ROUND(Q13-P13,2))</f>
        <v>336</v>
      </c>
      <c r="S13" s="18" t="n">
        <f aca="false">IF(A13="","",IFERROR(ROUND(R13/Q13*100,2),0))</f>
        <v>18.98</v>
      </c>
      <c r="T13" s="13" t="n">
        <f aca="false">IF(A13="","",ROUND((D13-O13)*M13,2))</f>
        <v>240</v>
      </c>
    </row>
    <row r="14" customFormat="false" ht="15" hidden="false" customHeight="false" outlineLevel="0" collapsed="false">
      <c r="A14" s="16" t="s">
        <v>100</v>
      </c>
      <c r="B14" s="16" t="s">
        <v>145</v>
      </c>
      <c r="C14" s="16" t="s">
        <v>135</v>
      </c>
      <c r="D14" s="6" t="n">
        <v>210</v>
      </c>
      <c r="E14" s="18" t="n">
        <f aca="false">IF(A14="","",Settings!$B$14)</f>
        <v>30</v>
      </c>
      <c r="F14" s="10"/>
      <c r="G14" s="18" t="n">
        <f aca="false">IF(A14="","",IF(F14&lt;&gt;"",F14,E14))</f>
        <v>30</v>
      </c>
      <c r="H14" s="18" t="n">
        <f aca="false">IF(A14="","",Settings!$B$13)</f>
        <v>25</v>
      </c>
      <c r="I14" s="10"/>
      <c r="J14" s="18" t="n">
        <f aca="false">IF(A14="","",IF(I14&lt;&gt;"",I14,H14))</f>
        <v>25</v>
      </c>
      <c r="K14" s="7" t="n">
        <v>175</v>
      </c>
      <c r="L14" s="7" t="n">
        <v>25</v>
      </c>
      <c r="M14" s="23" t="n">
        <v>6</v>
      </c>
      <c r="N14" s="13" t="n">
        <f aca="false">IF(A14="","",ROUND(D14*(1-G14/100),2))</f>
        <v>147</v>
      </c>
      <c r="O14" s="13" t="n">
        <f aca="false">IF(A14="","",IF(K14&lt;&gt;"",K14,ROUND(N14*(1+J14/100),2)))</f>
        <v>175</v>
      </c>
      <c r="P14" s="13" t="n">
        <f aca="false">IF(A14="","",ROUND(N14*M14+L14,2))</f>
        <v>907</v>
      </c>
      <c r="Q14" s="13" t="n">
        <f aca="false">IF(A14="","",ROUND(O14*M14+L14,2))</f>
        <v>1075</v>
      </c>
      <c r="R14" s="13" t="n">
        <f aca="false">IF(A14="","",ROUND(Q14-P14,2))</f>
        <v>168</v>
      </c>
      <c r="S14" s="18" t="n">
        <f aca="false">IF(A14="","",IFERROR(ROUND(R14/Q14*100,2),0))</f>
        <v>15.63</v>
      </c>
      <c r="T14" s="13" t="n">
        <f aca="false">IF(A14="","",ROUND((D14-O14)*M14,2))</f>
        <v>210</v>
      </c>
    </row>
    <row r="15" customFormat="false" ht="15" hidden="false" customHeight="false" outlineLevel="0" collapsed="false">
      <c r="A15" s="16"/>
      <c r="B15" s="16"/>
      <c r="C15" s="16"/>
      <c r="D15" s="7"/>
      <c r="E15" s="18" t="str">
        <f aca="false">IF(A15="","",Settings!$B$14)</f>
        <v/>
      </c>
      <c r="F15" s="10"/>
      <c r="G15" s="18" t="str">
        <f aca="false">IF(A15="","",IF(F15&lt;&gt;"",F15,E15))</f>
        <v/>
      </c>
      <c r="H15" s="18" t="str">
        <f aca="false">IF(A15="","",Settings!$B$13)</f>
        <v/>
      </c>
      <c r="I15" s="10"/>
      <c r="J15" s="18" t="str">
        <f aca="false">IF(A15="","",IF(I15&lt;&gt;"",I15,H15))</f>
        <v/>
      </c>
      <c r="K15" s="7"/>
      <c r="L15" s="7"/>
      <c r="M15" s="17"/>
      <c r="N15" s="13" t="str">
        <f aca="false">IF(A15="","",ROUND(D15*(1-G15/100),2))</f>
        <v/>
      </c>
      <c r="O15" s="13" t="str">
        <f aca="false">IF(A15="","",IF(K15&lt;&gt;"",K15,ROUND(N15*(1+J15/100),2)))</f>
        <v/>
      </c>
      <c r="P15" s="13" t="str">
        <f aca="false">IF(A15="","",ROUND(N15*M15+L15,2))</f>
        <v/>
      </c>
      <c r="Q15" s="13" t="str">
        <f aca="false">IF(A15="","",ROUND(O15*M15+L15,2))</f>
        <v/>
      </c>
      <c r="R15" s="13" t="str">
        <f aca="false">IF(A15="","",ROUND(Q15-P15,2))</f>
        <v/>
      </c>
      <c r="S15" s="18" t="str">
        <f aca="false">IF(A15="","",IFERROR(ROUND(R15/Q15*100,2),0))</f>
        <v/>
      </c>
      <c r="T15" s="13" t="str">
        <f aca="false">IF(A15="","",ROUND((D15-O15)*M15,2))</f>
        <v/>
      </c>
    </row>
    <row r="16" customFormat="false" ht="15" hidden="false" customHeight="false" outlineLevel="0" collapsed="false">
      <c r="A16" s="16"/>
      <c r="B16" s="16"/>
      <c r="C16" s="16"/>
      <c r="D16" s="7"/>
      <c r="E16" s="18" t="str">
        <f aca="false">IF(A16="","",Settings!$B$14)</f>
        <v/>
      </c>
      <c r="F16" s="10"/>
      <c r="G16" s="18" t="str">
        <f aca="false">IF(A16="","",IF(F16&lt;&gt;"",F16,E16))</f>
        <v/>
      </c>
      <c r="H16" s="18" t="str">
        <f aca="false">IF(A16="","",Settings!$B$13)</f>
        <v/>
      </c>
      <c r="I16" s="10"/>
      <c r="J16" s="18" t="str">
        <f aca="false">IF(A16="","",IF(I16&lt;&gt;"",I16,H16))</f>
        <v/>
      </c>
      <c r="K16" s="7"/>
      <c r="L16" s="7"/>
      <c r="M16" s="17"/>
      <c r="N16" s="13" t="str">
        <f aca="false">IF(A16="","",ROUND(D16*(1-G16/100),2))</f>
        <v/>
      </c>
      <c r="O16" s="13" t="str">
        <f aca="false">IF(A16="","",IF(K16&lt;&gt;"",K16,ROUND(N16*(1+J16/100),2)))</f>
        <v/>
      </c>
      <c r="P16" s="13" t="str">
        <f aca="false">IF(A16="","",ROUND(N16*M16+L16,2))</f>
        <v/>
      </c>
      <c r="Q16" s="13" t="str">
        <f aca="false">IF(A16="","",ROUND(O16*M16+L16,2))</f>
        <v/>
      </c>
      <c r="R16" s="13" t="str">
        <f aca="false">IF(A16="","",ROUND(Q16-P16,2))</f>
        <v/>
      </c>
      <c r="S16" s="18" t="str">
        <f aca="false">IF(A16="","",IFERROR(ROUND(R16/Q16*100,2),0))</f>
        <v/>
      </c>
      <c r="T16" s="13" t="str">
        <f aca="false">IF(A16="","",ROUND((D16-O16)*M16,2))</f>
        <v/>
      </c>
    </row>
    <row r="17" customFormat="false" ht="15" hidden="false" customHeight="false" outlineLevel="0" collapsed="false">
      <c r="A17" s="16"/>
      <c r="B17" s="16"/>
      <c r="C17" s="16"/>
      <c r="D17" s="7"/>
      <c r="E17" s="18" t="str">
        <f aca="false">IF(A17="","",Settings!$B$14)</f>
        <v/>
      </c>
      <c r="F17" s="10"/>
      <c r="G17" s="18" t="str">
        <f aca="false">IF(A17="","",IF(F17&lt;&gt;"",F17,E17))</f>
        <v/>
      </c>
      <c r="H17" s="18" t="str">
        <f aca="false">IF(A17="","",Settings!$B$13)</f>
        <v/>
      </c>
      <c r="I17" s="10"/>
      <c r="J17" s="18" t="str">
        <f aca="false">IF(A17="","",IF(I17&lt;&gt;"",I17,H17))</f>
        <v/>
      </c>
      <c r="K17" s="7"/>
      <c r="L17" s="7"/>
      <c r="M17" s="17"/>
      <c r="N17" s="13" t="str">
        <f aca="false">IF(A17="","",ROUND(D17*(1-G17/100),2))</f>
        <v/>
      </c>
      <c r="O17" s="13" t="str">
        <f aca="false">IF(A17="","",IF(K17&lt;&gt;"",K17,ROUND(N17*(1+J17/100),2)))</f>
        <v/>
      </c>
      <c r="P17" s="13" t="str">
        <f aca="false">IF(A17="","",ROUND(N17*M17+L17,2))</f>
        <v/>
      </c>
      <c r="Q17" s="13" t="str">
        <f aca="false">IF(A17="","",ROUND(O17*M17+L17,2))</f>
        <v/>
      </c>
      <c r="R17" s="13" t="str">
        <f aca="false">IF(A17="","",ROUND(Q17-P17,2))</f>
        <v/>
      </c>
      <c r="S17" s="18" t="str">
        <f aca="false">IF(A17="","",IFERROR(ROUND(R17/Q17*100,2),0))</f>
        <v/>
      </c>
      <c r="T17" s="13" t="str">
        <f aca="false">IF(A17="","",ROUND((D17-O17)*M17,2))</f>
        <v/>
      </c>
    </row>
    <row r="18" customFormat="false" ht="15" hidden="false" customHeight="false" outlineLevel="0" collapsed="false">
      <c r="A18" s="16"/>
      <c r="B18" s="16"/>
      <c r="C18" s="16"/>
      <c r="D18" s="7"/>
      <c r="E18" s="18" t="str">
        <f aca="false">IF(A18="","",Settings!$B$14)</f>
        <v/>
      </c>
      <c r="F18" s="10"/>
      <c r="G18" s="18" t="str">
        <f aca="false">IF(A18="","",IF(F18&lt;&gt;"",F18,E18))</f>
        <v/>
      </c>
      <c r="H18" s="18" t="str">
        <f aca="false">IF(A18="","",Settings!$B$13)</f>
        <v/>
      </c>
      <c r="I18" s="10"/>
      <c r="J18" s="18" t="str">
        <f aca="false">IF(A18="","",IF(I18&lt;&gt;"",I18,H18))</f>
        <v/>
      </c>
      <c r="K18" s="7"/>
      <c r="L18" s="7"/>
      <c r="M18" s="17"/>
      <c r="N18" s="13" t="str">
        <f aca="false">IF(A18="","",ROUND(D18*(1-G18/100),2))</f>
        <v/>
      </c>
      <c r="O18" s="13" t="str">
        <f aca="false">IF(A18="","",IF(K18&lt;&gt;"",K18,ROUND(N18*(1+J18/100),2)))</f>
        <v/>
      </c>
      <c r="P18" s="13" t="str">
        <f aca="false">IF(A18="","",ROUND(N18*M18+L18,2))</f>
        <v/>
      </c>
      <c r="Q18" s="13" t="str">
        <f aca="false">IF(A18="","",ROUND(O18*M18+L18,2))</f>
        <v/>
      </c>
      <c r="R18" s="13" t="str">
        <f aca="false">IF(A18="","",ROUND(Q18-P18,2))</f>
        <v/>
      </c>
      <c r="S18" s="18" t="str">
        <f aca="false">IF(A18="","",IFERROR(ROUND(R18/Q18*100,2),0))</f>
        <v/>
      </c>
      <c r="T18" s="13" t="str">
        <f aca="false">IF(A18="","",ROUND((D18-O18)*M18,2))</f>
        <v/>
      </c>
    </row>
    <row r="19" customFormat="false" ht="15" hidden="false" customHeight="false" outlineLevel="0" collapsed="false">
      <c r="A19" s="16"/>
      <c r="B19" s="16"/>
      <c r="C19" s="16"/>
      <c r="D19" s="7"/>
      <c r="E19" s="18" t="str">
        <f aca="false">IF(A19="","",Settings!$B$14)</f>
        <v/>
      </c>
      <c r="F19" s="10"/>
      <c r="G19" s="18" t="str">
        <f aca="false">IF(A19="","",IF(F19&lt;&gt;"",F19,E19))</f>
        <v/>
      </c>
      <c r="H19" s="18" t="str">
        <f aca="false">IF(A19="","",Settings!$B$13)</f>
        <v/>
      </c>
      <c r="I19" s="10"/>
      <c r="J19" s="18" t="str">
        <f aca="false">IF(A19="","",IF(I19&lt;&gt;"",I19,H19))</f>
        <v/>
      </c>
      <c r="K19" s="7"/>
      <c r="L19" s="7"/>
      <c r="M19" s="17"/>
      <c r="N19" s="13" t="str">
        <f aca="false">IF(A19="","",ROUND(D19*(1-G19/100),2))</f>
        <v/>
      </c>
      <c r="O19" s="13" t="str">
        <f aca="false">IF(A19="","",IF(K19&lt;&gt;"",K19,ROUND(N19*(1+J19/100),2)))</f>
        <v/>
      </c>
      <c r="P19" s="13" t="str">
        <f aca="false">IF(A19="","",ROUND(N19*M19+L19,2))</f>
        <v/>
      </c>
      <c r="Q19" s="13" t="str">
        <f aca="false">IF(A19="","",ROUND(O19*M19+L19,2))</f>
        <v/>
      </c>
      <c r="R19" s="13" t="str">
        <f aca="false">IF(A19="","",ROUND(Q19-P19,2))</f>
        <v/>
      </c>
      <c r="S19" s="18" t="str">
        <f aca="false">IF(A19="","",IFERROR(ROUND(R19/Q19*100,2),0))</f>
        <v/>
      </c>
      <c r="T19" s="13" t="str">
        <f aca="false">IF(A19="","",ROUND((D19-O19)*M19,2))</f>
        <v/>
      </c>
    </row>
    <row r="20" customFormat="false" ht="15" hidden="false" customHeight="false" outlineLevel="0" collapsed="false">
      <c r="A20" s="16"/>
      <c r="B20" s="16"/>
      <c r="C20" s="16"/>
      <c r="D20" s="7"/>
      <c r="E20" s="18" t="str">
        <f aca="false">IF(A20="","",Settings!$B$14)</f>
        <v/>
      </c>
      <c r="F20" s="10"/>
      <c r="G20" s="18" t="str">
        <f aca="false">IF(A20="","",IF(F20&lt;&gt;"",F20,E20))</f>
        <v/>
      </c>
      <c r="H20" s="18" t="str">
        <f aca="false">IF(A20="","",Settings!$B$13)</f>
        <v/>
      </c>
      <c r="I20" s="10"/>
      <c r="J20" s="18" t="str">
        <f aca="false">IF(A20="","",IF(I20&lt;&gt;"",I20,H20))</f>
        <v/>
      </c>
      <c r="K20" s="7"/>
      <c r="L20" s="7"/>
      <c r="M20" s="17"/>
      <c r="N20" s="13" t="str">
        <f aca="false">IF(A20="","",ROUND(D20*(1-G20/100),2))</f>
        <v/>
      </c>
      <c r="O20" s="13" t="str">
        <f aca="false">IF(A20="","",IF(K20&lt;&gt;"",K20,ROUND(N20*(1+J20/100),2)))</f>
        <v/>
      </c>
      <c r="P20" s="13" t="str">
        <f aca="false">IF(A20="","",ROUND(N20*M20+L20,2))</f>
        <v/>
      </c>
      <c r="Q20" s="13" t="str">
        <f aca="false">IF(A20="","",ROUND(O20*M20+L20,2))</f>
        <v/>
      </c>
      <c r="R20" s="13" t="str">
        <f aca="false">IF(A20="","",ROUND(Q20-P20,2))</f>
        <v/>
      </c>
      <c r="S20" s="18" t="str">
        <f aca="false">IF(A20="","",IFERROR(ROUND(R20/Q20*100,2),0))</f>
        <v/>
      </c>
      <c r="T20" s="13" t="str">
        <f aca="false">IF(A20="","",ROUND((D20-O20)*M20,2))</f>
        <v/>
      </c>
    </row>
    <row r="21" customFormat="false" ht="15" hidden="false" customHeight="false" outlineLevel="0" collapsed="false">
      <c r="A21" s="16"/>
      <c r="B21" s="16"/>
      <c r="C21" s="16"/>
      <c r="D21" s="7"/>
      <c r="E21" s="18" t="str">
        <f aca="false">IF(A21="","",Settings!$B$14)</f>
        <v/>
      </c>
      <c r="F21" s="10"/>
      <c r="G21" s="18" t="str">
        <f aca="false">IF(A21="","",IF(F21&lt;&gt;"",F21,E21))</f>
        <v/>
      </c>
      <c r="H21" s="18" t="str">
        <f aca="false">IF(A21="","",Settings!$B$13)</f>
        <v/>
      </c>
      <c r="I21" s="10"/>
      <c r="J21" s="18" t="str">
        <f aca="false">IF(A21="","",IF(I21&lt;&gt;"",I21,H21))</f>
        <v/>
      </c>
      <c r="K21" s="7"/>
      <c r="L21" s="7"/>
      <c r="M21" s="17"/>
      <c r="N21" s="13" t="str">
        <f aca="false">IF(A21="","",ROUND(D21*(1-G21/100),2))</f>
        <v/>
      </c>
      <c r="O21" s="13" t="str">
        <f aca="false">IF(A21="","",IF(K21&lt;&gt;"",K21,ROUND(N21*(1+J21/100),2)))</f>
        <v/>
      </c>
      <c r="P21" s="13" t="str">
        <f aca="false">IF(A21="","",ROUND(N21*M21+L21,2))</f>
        <v/>
      </c>
      <c r="Q21" s="13" t="str">
        <f aca="false">IF(A21="","",ROUND(O21*M21+L21,2))</f>
        <v/>
      </c>
      <c r="R21" s="13" t="str">
        <f aca="false">IF(A21="","",ROUND(Q21-P21,2))</f>
        <v/>
      </c>
      <c r="S21" s="18" t="str">
        <f aca="false">IF(A21="","",IFERROR(ROUND(R21/Q21*100,2),0))</f>
        <v/>
      </c>
      <c r="T21" s="13" t="str">
        <f aca="false">IF(A21="","",ROUND((D21-O21)*M21,2))</f>
        <v/>
      </c>
    </row>
    <row r="22" customFormat="false" ht="15" hidden="false" customHeight="false" outlineLevel="0" collapsed="false">
      <c r="A22" s="16"/>
      <c r="B22" s="16"/>
      <c r="C22" s="16"/>
      <c r="D22" s="7"/>
      <c r="E22" s="18" t="str">
        <f aca="false">IF(A22="","",Settings!$B$14)</f>
        <v/>
      </c>
      <c r="F22" s="10"/>
      <c r="G22" s="18" t="str">
        <f aca="false">IF(A22="","",IF(F22&lt;&gt;"",F22,E22))</f>
        <v/>
      </c>
      <c r="H22" s="18" t="str">
        <f aca="false">IF(A22="","",Settings!$B$13)</f>
        <v/>
      </c>
      <c r="I22" s="10"/>
      <c r="J22" s="18" t="str">
        <f aca="false">IF(A22="","",IF(I22&lt;&gt;"",I22,H22))</f>
        <v/>
      </c>
      <c r="K22" s="7"/>
      <c r="L22" s="7"/>
      <c r="M22" s="17"/>
      <c r="N22" s="13" t="str">
        <f aca="false">IF(A22="","",ROUND(D22*(1-G22/100),2))</f>
        <v/>
      </c>
      <c r="O22" s="13" t="str">
        <f aca="false">IF(A22="","",IF(K22&lt;&gt;"",K22,ROUND(N22*(1+J22/100),2)))</f>
        <v/>
      </c>
      <c r="P22" s="13" t="str">
        <f aca="false">IF(A22="","",ROUND(N22*M22+L22,2))</f>
        <v/>
      </c>
      <c r="Q22" s="13" t="str">
        <f aca="false">IF(A22="","",ROUND(O22*M22+L22,2))</f>
        <v/>
      </c>
      <c r="R22" s="13" t="str">
        <f aca="false">IF(A22="","",ROUND(Q22-P22,2))</f>
        <v/>
      </c>
      <c r="S22" s="18" t="str">
        <f aca="false">IF(A22="","",IFERROR(ROUND(R22/Q22*100,2),0))</f>
        <v/>
      </c>
      <c r="T22" s="13" t="str">
        <f aca="false">IF(A22="","",ROUND((D22-O22)*M22,2))</f>
        <v/>
      </c>
    </row>
    <row r="23" customFormat="false" ht="15" hidden="false" customHeight="false" outlineLevel="0" collapsed="false">
      <c r="A23" s="16"/>
      <c r="B23" s="16"/>
      <c r="C23" s="16"/>
      <c r="D23" s="7"/>
      <c r="E23" s="18" t="str">
        <f aca="false">IF(A23="","",Settings!$B$14)</f>
        <v/>
      </c>
      <c r="F23" s="10"/>
      <c r="G23" s="18" t="str">
        <f aca="false">IF(A23="","",IF(F23&lt;&gt;"",F23,E23))</f>
        <v/>
      </c>
      <c r="H23" s="18" t="str">
        <f aca="false">IF(A23="","",Settings!$B$13)</f>
        <v/>
      </c>
      <c r="I23" s="10"/>
      <c r="J23" s="18" t="str">
        <f aca="false">IF(A23="","",IF(I23&lt;&gt;"",I23,H23))</f>
        <v/>
      </c>
      <c r="K23" s="7"/>
      <c r="L23" s="7"/>
      <c r="M23" s="17"/>
      <c r="N23" s="13" t="str">
        <f aca="false">IF(A23="","",ROUND(D23*(1-G23/100),2))</f>
        <v/>
      </c>
      <c r="O23" s="13" t="str">
        <f aca="false">IF(A23="","",IF(K23&lt;&gt;"",K23,ROUND(N23*(1+J23/100),2)))</f>
        <v/>
      </c>
      <c r="P23" s="13" t="str">
        <f aca="false">IF(A23="","",ROUND(N23*M23+L23,2))</f>
        <v/>
      </c>
      <c r="Q23" s="13" t="str">
        <f aca="false">IF(A23="","",ROUND(O23*M23+L23,2))</f>
        <v/>
      </c>
      <c r="R23" s="13" t="str">
        <f aca="false">IF(A23="","",ROUND(Q23-P23,2))</f>
        <v/>
      </c>
      <c r="S23" s="18" t="str">
        <f aca="false">IF(A23="","",IFERROR(ROUND(R23/Q23*100,2),0))</f>
        <v/>
      </c>
      <c r="T23" s="13" t="str">
        <f aca="false">IF(A23="","",ROUND((D23-O23)*M23,2))</f>
        <v/>
      </c>
    </row>
    <row r="24" customFormat="false" ht="15" hidden="false" customHeight="false" outlineLevel="0" collapsed="false">
      <c r="A24" s="16"/>
      <c r="B24" s="16"/>
      <c r="C24" s="16"/>
      <c r="D24" s="7"/>
      <c r="E24" s="18" t="str">
        <f aca="false">IF(A24="","",Settings!$B$14)</f>
        <v/>
      </c>
      <c r="F24" s="10"/>
      <c r="G24" s="18" t="str">
        <f aca="false">IF(A24="","",IF(F24&lt;&gt;"",F24,E24))</f>
        <v/>
      </c>
      <c r="H24" s="18" t="str">
        <f aca="false">IF(A24="","",Settings!$B$13)</f>
        <v/>
      </c>
      <c r="I24" s="10"/>
      <c r="J24" s="18" t="str">
        <f aca="false">IF(A24="","",IF(I24&lt;&gt;"",I24,H24))</f>
        <v/>
      </c>
      <c r="K24" s="7"/>
      <c r="L24" s="7"/>
      <c r="M24" s="17"/>
      <c r="N24" s="13" t="str">
        <f aca="false">IF(A24="","",ROUND(D24*(1-G24/100),2))</f>
        <v/>
      </c>
      <c r="O24" s="13" t="str">
        <f aca="false">IF(A24="","",IF(K24&lt;&gt;"",K24,ROUND(N24*(1+J24/100),2)))</f>
        <v/>
      </c>
      <c r="P24" s="13" t="str">
        <f aca="false">IF(A24="","",ROUND(N24*M24+L24,2))</f>
        <v/>
      </c>
      <c r="Q24" s="13" t="str">
        <f aca="false">IF(A24="","",ROUND(O24*M24+L24,2))</f>
        <v/>
      </c>
      <c r="R24" s="13" t="str">
        <f aca="false">IF(A24="","",ROUND(Q24-P24,2))</f>
        <v/>
      </c>
      <c r="S24" s="18" t="str">
        <f aca="false">IF(A24="","",IFERROR(ROUND(R24/Q24*100,2),0))</f>
        <v/>
      </c>
      <c r="T24" s="13" t="str">
        <f aca="false">IF(A24="","",ROUND((D24-O24)*M24,2))</f>
        <v/>
      </c>
    </row>
    <row r="25" customFormat="false" ht="15" hidden="false" customHeight="false" outlineLevel="0" collapsed="false">
      <c r="A25" s="16"/>
      <c r="B25" s="16"/>
      <c r="C25" s="16"/>
      <c r="D25" s="7"/>
      <c r="E25" s="18" t="str">
        <f aca="false">IF(A25="","",Settings!$B$14)</f>
        <v/>
      </c>
      <c r="F25" s="10"/>
      <c r="G25" s="18" t="str">
        <f aca="false">IF(A25="","",IF(F25&lt;&gt;"",F25,E25))</f>
        <v/>
      </c>
      <c r="H25" s="18" t="str">
        <f aca="false">IF(A25="","",Settings!$B$13)</f>
        <v/>
      </c>
      <c r="I25" s="10"/>
      <c r="J25" s="18" t="str">
        <f aca="false">IF(A25="","",IF(I25&lt;&gt;"",I25,H25))</f>
        <v/>
      </c>
      <c r="K25" s="7"/>
      <c r="L25" s="7"/>
      <c r="M25" s="17"/>
      <c r="N25" s="13" t="str">
        <f aca="false">IF(A25="","",ROUND(D25*(1-G25/100),2))</f>
        <v/>
      </c>
      <c r="O25" s="13" t="str">
        <f aca="false">IF(A25="","",IF(K25&lt;&gt;"",K25,ROUND(N25*(1+J25/100),2)))</f>
        <v/>
      </c>
      <c r="P25" s="13" t="str">
        <f aca="false">IF(A25="","",ROUND(N25*M25+L25,2))</f>
        <v/>
      </c>
      <c r="Q25" s="13" t="str">
        <f aca="false">IF(A25="","",ROUND(O25*M25+L25,2))</f>
        <v/>
      </c>
      <c r="R25" s="13" t="str">
        <f aca="false">IF(A25="","",ROUND(Q25-P25,2))</f>
        <v/>
      </c>
      <c r="S25" s="18" t="str">
        <f aca="false">IF(A25="","",IFERROR(ROUND(R25/Q25*100,2),0))</f>
        <v/>
      </c>
      <c r="T25" s="13" t="str">
        <f aca="false">IF(A25="","",ROUND((D25-O25)*M25,2))</f>
        <v/>
      </c>
    </row>
    <row r="26" customFormat="false" ht="15" hidden="false" customHeight="false" outlineLevel="0" collapsed="false">
      <c r="A26" s="16"/>
      <c r="B26" s="16"/>
      <c r="C26" s="16"/>
      <c r="D26" s="7"/>
      <c r="E26" s="18" t="str">
        <f aca="false">IF(A26="","",Settings!$B$14)</f>
        <v/>
      </c>
      <c r="F26" s="10"/>
      <c r="G26" s="18" t="str">
        <f aca="false">IF(A26="","",IF(F26&lt;&gt;"",F26,E26))</f>
        <v/>
      </c>
      <c r="H26" s="18" t="str">
        <f aca="false">IF(A26="","",Settings!$B$13)</f>
        <v/>
      </c>
      <c r="I26" s="10"/>
      <c r="J26" s="18" t="str">
        <f aca="false">IF(A26="","",IF(I26&lt;&gt;"",I26,H26))</f>
        <v/>
      </c>
      <c r="K26" s="7"/>
      <c r="L26" s="7"/>
      <c r="M26" s="17"/>
      <c r="N26" s="13" t="str">
        <f aca="false">IF(A26="","",ROUND(D26*(1-G26/100),2))</f>
        <v/>
      </c>
      <c r="O26" s="13" t="str">
        <f aca="false">IF(A26="","",IF(K26&lt;&gt;"",K26,ROUND(N26*(1+J26/100),2)))</f>
        <v/>
      </c>
      <c r="P26" s="13" t="str">
        <f aca="false">IF(A26="","",ROUND(N26*M26+L26,2))</f>
        <v/>
      </c>
      <c r="Q26" s="13" t="str">
        <f aca="false">IF(A26="","",ROUND(O26*M26+L26,2))</f>
        <v/>
      </c>
      <c r="R26" s="13" t="str">
        <f aca="false">IF(A26="","",ROUND(Q26-P26,2))</f>
        <v/>
      </c>
      <c r="S26" s="18" t="str">
        <f aca="false">IF(A26="","",IFERROR(ROUND(R26/Q26*100,2),0))</f>
        <v/>
      </c>
      <c r="T26" s="13" t="str">
        <f aca="false">IF(A26="","",ROUND((D26-O26)*M26,2))</f>
        <v/>
      </c>
    </row>
    <row r="27" customFormat="false" ht="15" hidden="false" customHeight="false" outlineLevel="0" collapsed="false">
      <c r="A27" s="16"/>
      <c r="B27" s="16"/>
      <c r="C27" s="16"/>
      <c r="D27" s="7"/>
      <c r="E27" s="18" t="str">
        <f aca="false">IF(A27="","",Settings!$B$14)</f>
        <v/>
      </c>
      <c r="F27" s="10"/>
      <c r="G27" s="18" t="str">
        <f aca="false">IF(A27="","",IF(F27&lt;&gt;"",F27,E27))</f>
        <v/>
      </c>
      <c r="H27" s="18" t="str">
        <f aca="false">IF(A27="","",Settings!$B$13)</f>
        <v/>
      </c>
      <c r="I27" s="10"/>
      <c r="J27" s="18" t="str">
        <f aca="false">IF(A27="","",IF(I27&lt;&gt;"",I27,H27))</f>
        <v/>
      </c>
      <c r="K27" s="7"/>
      <c r="L27" s="7"/>
      <c r="M27" s="17"/>
      <c r="N27" s="13" t="str">
        <f aca="false">IF(A27="","",ROUND(D27*(1-G27/100),2))</f>
        <v/>
      </c>
      <c r="O27" s="13" t="str">
        <f aca="false">IF(A27="","",IF(K27&lt;&gt;"",K27,ROUND(N27*(1+J27/100),2)))</f>
        <v/>
      </c>
      <c r="P27" s="13" t="str">
        <f aca="false">IF(A27="","",ROUND(N27*M27+L27,2))</f>
        <v/>
      </c>
      <c r="Q27" s="13" t="str">
        <f aca="false">IF(A27="","",ROUND(O27*M27+L27,2))</f>
        <v/>
      </c>
      <c r="R27" s="13" t="str">
        <f aca="false">IF(A27="","",ROUND(Q27-P27,2))</f>
        <v/>
      </c>
      <c r="S27" s="18" t="str">
        <f aca="false">IF(A27="","",IFERROR(ROUND(R27/Q27*100,2),0))</f>
        <v/>
      </c>
      <c r="T27" s="13" t="str">
        <f aca="false">IF(A27="","",ROUND((D27-O27)*M27,2))</f>
        <v/>
      </c>
    </row>
    <row r="28" customFormat="false" ht="15" hidden="false" customHeight="false" outlineLevel="0" collapsed="false">
      <c r="A28" s="16"/>
      <c r="B28" s="16"/>
      <c r="C28" s="16"/>
      <c r="D28" s="7"/>
      <c r="E28" s="18" t="str">
        <f aca="false">IF(A28="","",Settings!$B$14)</f>
        <v/>
      </c>
      <c r="F28" s="10"/>
      <c r="G28" s="18" t="str">
        <f aca="false">IF(A28="","",IF(F28&lt;&gt;"",F28,E28))</f>
        <v/>
      </c>
      <c r="H28" s="18" t="str">
        <f aca="false">IF(A28="","",Settings!$B$13)</f>
        <v/>
      </c>
      <c r="I28" s="10"/>
      <c r="J28" s="18" t="str">
        <f aca="false">IF(A28="","",IF(I28&lt;&gt;"",I28,H28))</f>
        <v/>
      </c>
      <c r="K28" s="7"/>
      <c r="L28" s="7"/>
      <c r="M28" s="17"/>
      <c r="N28" s="13" t="str">
        <f aca="false">IF(A28="","",ROUND(D28*(1-G28/100),2))</f>
        <v/>
      </c>
      <c r="O28" s="13" t="str">
        <f aca="false">IF(A28="","",IF(K28&lt;&gt;"",K28,ROUND(N28*(1+J28/100),2)))</f>
        <v/>
      </c>
      <c r="P28" s="13" t="str">
        <f aca="false">IF(A28="","",ROUND(N28*M28+L28,2))</f>
        <v/>
      </c>
      <c r="Q28" s="13" t="str">
        <f aca="false">IF(A28="","",ROUND(O28*M28+L28,2))</f>
        <v/>
      </c>
      <c r="R28" s="13" t="str">
        <f aca="false">IF(A28="","",ROUND(Q28-P28,2))</f>
        <v/>
      </c>
      <c r="S28" s="18" t="str">
        <f aca="false">IF(A28="","",IFERROR(ROUND(R28/Q28*100,2),0))</f>
        <v/>
      </c>
      <c r="T28" s="13" t="str">
        <f aca="false">IF(A28="","",ROUND((D28-O28)*M28,2))</f>
        <v/>
      </c>
    </row>
    <row r="29" customFormat="false" ht="15" hidden="false" customHeight="false" outlineLevel="0" collapsed="false">
      <c r="A29" s="16"/>
      <c r="B29" s="16"/>
      <c r="C29" s="16"/>
      <c r="D29" s="7"/>
      <c r="E29" s="18" t="str">
        <f aca="false">IF(A29="","",Settings!$B$14)</f>
        <v/>
      </c>
      <c r="F29" s="10"/>
      <c r="G29" s="18" t="str">
        <f aca="false">IF(A29="","",IF(F29&lt;&gt;"",F29,E29))</f>
        <v/>
      </c>
      <c r="H29" s="18" t="str">
        <f aca="false">IF(A29="","",Settings!$B$13)</f>
        <v/>
      </c>
      <c r="I29" s="10"/>
      <c r="J29" s="18" t="str">
        <f aca="false">IF(A29="","",IF(I29&lt;&gt;"",I29,H29))</f>
        <v/>
      </c>
      <c r="K29" s="7"/>
      <c r="L29" s="7"/>
      <c r="M29" s="17"/>
      <c r="N29" s="13" t="str">
        <f aca="false">IF(A29="","",ROUND(D29*(1-G29/100),2))</f>
        <v/>
      </c>
      <c r="O29" s="13" t="str">
        <f aca="false">IF(A29="","",IF(K29&lt;&gt;"",K29,ROUND(N29*(1+J29/100),2)))</f>
        <v/>
      </c>
      <c r="P29" s="13" t="str">
        <f aca="false">IF(A29="","",ROUND(N29*M29+L29,2))</f>
        <v/>
      </c>
      <c r="Q29" s="13" t="str">
        <f aca="false">IF(A29="","",ROUND(O29*M29+L29,2))</f>
        <v/>
      </c>
      <c r="R29" s="13" t="str">
        <f aca="false">IF(A29="","",ROUND(Q29-P29,2))</f>
        <v/>
      </c>
      <c r="S29" s="18" t="str">
        <f aca="false">IF(A29="","",IFERROR(ROUND(R29/Q29*100,2),0))</f>
        <v/>
      </c>
      <c r="T29" s="13" t="str">
        <f aca="false">IF(A29="","",ROUND((D29-O29)*M29,2))</f>
        <v/>
      </c>
    </row>
    <row r="30" customFormat="false" ht="15" hidden="false" customHeight="false" outlineLevel="0" collapsed="false">
      <c r="A30" s="16"/>
      <c r="B30" s="16"/>
      <c r="C30" s="16"/>
      <c r="D30" s="7"/>
      <c r="E30" s="18" t="str">
        <f aca="false">IF(A30="","",Settings!$B$14)</f>
        <v/>
      </c>
      <c r="F30" s="10"/>
      <c r="G30" s="18" t="str">
        <f aca="false">IF(A30="","",IF(F30&lt;&gt;"",F30,E30))</f>
        <v/>
      </c>
      <c r="H30" s="18" t="str">
        <f aca="false">IF(A30="","",Settings!$B$13)</f>
        <v/>
      </c>
      <c r="I30" s="10"/>
      <c r="J30" s="18" t="str">
        <f aca="false">IF(A30="","",IF(I30&lt;&gt;"",I30,H30))</f>
        <v/>
      </c>
      <c r="K30" s="7"/>
      <c r="L30" s="7"/>
      <c r="M30" s="17"/>
      <c r="N30" s="13" t="str">
        <f aca="false">IF(A30="","",ROUND(D30*(1-G30/100),2))</f>
        <v/>
      </c>
      <c r="O30" s="13" t="str">
        <f aca="false">IF(A30="","",IF(K30&lt;&gt;"",K30,ROUND(N30*(1+J30/100),2)))</f>
        <v/>
      </c>
      <c r="P30" s="13" t="str">
        <f aca="false">IF(A30="","",ROUND(N30*M30+L30,2))</f>
        <v/>
      </c>
      <c r="Q30" s="13" t="str">
        <f aca="false">IF(A30="","",ROUND(O30*M30+L30,2))</f>
        <v/>
      </c>
      <c r="R30" s="13" t="str">
        <f aca="false">IF(A30="","",ROUND(Q30-P30,2))</f>
        <v/>
      </c>
      <c r="S30" s="18" t="str">
        <f aca="false">IF(A30="","",IFERROR(ROUND(R30/Q30*100,2),0))</f>
        <v/>
      </c>
      <c r="T30" s="13" t="str">
        <f aca="false">IF(A30="","",ROUND((D30-O30)*M30,2))</f>
        <v/>
      </c>
    </row>
    <row r="31" customFormat="false" ht="15" hidden="false" customHeight="false" outlineLevel="0" collapsed="false">
      <c r="A31" s="16"/>
      <c r="B31" s="16"/>
      <c r="C31" s="16"/>
      <c r="D31" s="7"/>
      <c r="E31" s="18" t="str">
        <f aca="false">IF(A31="","",Settings!$B$14)</f>
        <v/>
      </c>
      <c r="F31" s="10"/>
      <c r="G31" s="18" t="str">
        <f aca="false">IF(A31="","",IF(F31&lt;&gt;"",F31,E31))</f>
        <v/>
      </c>
      <c r="H31" s="18" t="str">
        <f aca="false">IF(A31="","",Settings!$B$13)</f>
        <v/>
      </c>
      <c r="I31" s="10"/>
      <c r="J31" s="18" t="str">
        <f aca="false">IF(A31="","",IF(I31&lt;&gt;"",I31,H31))</f>
        <v/>
      </c>
      <c r="K31" s="7"/>
      <c r="L31" s="7"/>
      <c r="M31" s="17"/>
      <c r="N31" s="13" t="str">
        <f aca="false">IF(A31="","",ROUND(D31*(1-G31/100),2))</f>
        <v/>
      </c>
      <c r="O31" s="13" t="str">
        <f aca="false">IF(A31="","",IF(K31&lt;&gt;"",K31,ROUND(N31*(1+J31/100),2)))</f>
        <v/>
      </c>
      <c r="P31" s="13" t="str">
        <f aca="false">IF(A31="","",ROUND(N31*M31+L31,2))</f>
        <v/>
      </c>
      <c r="Q31" s="13" t="str">
        <f aca="false">IF(A31="","",ROUND(O31*M31+L31,2))</f>
        <v/>
      </c>
      <c r="R31" s="13" t="str">
        <f aca="false">IF(A31="","",ROUND(Q31-P31,2))</f>
        <v/>
      </c>
      <c r="S31" s="18" t="str">
        <f aca="false">IF(A31="","",IFERROR(ROUND(R31/Q31*100,2),0))</f>
        <v/>
      </c>
      <c r="T31" s="13" t="str">
        <f aca="false">IF(A31="","",ROUND((D31-O31)*M31,2))</f>
        <v/>
      </c>
    </row>
    <row r="32" customFormat="false" ht="15" hidden="false" customHeight="false" outlineLevel="0" collapsed="false">
      <c r="A32" s="16"/>
      <c r="B32" s="16"/>
      <c r="C32" s="16"/>
      <c r="D32" s="7"/>
      <c r="E32" s="18" t="str">
        <f aca="false">IF(A32="","",Settings!$B$14)</f>
        <v/>
      </c>
      <c r="F32" s="10"/>
      <c r="G32" s="18" t="str">
        <f aca="false">IF(A32="","",IF(F32&lt;&gt;"",F32,E32))</f>
        <v/>
      </c>
      <c r="H32" s="18" t="str">
        <f aca="false">IF(A32="","",Settings!$B$13)</f>
        <v/>
      </c>
      <c r="I32" s="10"/>
      <c r="J32" s="18" t="str">
        <f aca="false">IF(A32="","",IF(I32&lt;&gt;"",I32,H32))</f>
        <v/>
      </c>
      <c r="K32" s="7"/>
      <c r="L32" s="7"/>
      <c r="M32" s="17"/>
      <c r="N32" s="13" t="str">
        <f aca="false">IF(A32="","",ROUND(D32*(1-G32/100),2))</f>
        <v/>
      </c>
      <c r="O32" s="13" t="str">
        <f aca="false">IF(A32="","",IF(K32&lt;&gt;"",K32,ROUND(N32*(1+J32/100),2)))</f>
        <v/>
      </c>
      <c r="P32" s="13" t="str">
        <f aca="false">IF(A32="","",ROUND(N32*M32+L32,2))</f>
        <v/>
      </c>
      <c r="Q32" s="13" t="str">
        <f aca="false">IF(A32="","",ROUND(O32*M32+L32,2))</f>
        <v/>
      </c>
      <c r="R32" s="13" t="str">
        <f aca="false">IF(A32="","",ROUND(Q32-P32,2))</f>
        <v/>
      </c>
      <c r="S32" s="18" t="str">
        <f aca="false">IF(A32="","",IFERROR(ROUND(R32/Q32*100,2),0))</f>
        <v/>
      </c>
      <c r="T32" s="13" t="str">
        <f aca="false">IF(A32="","",ROUND((D32-O32)*M32,2))</f>
        <v/>
      </c>
    </row>
    <row r="33" customFormat="false" ht="15" hidden="false" customHeight="false" outlineLevel="0" collapsed="false">
      <c r="A33" s="16"/>
      <c r="B33" s="16"/>
      <c r="C33" s="16"/>
      <c r="D33" s="7"/>
      <c r="E33" s="18" t="str">
        <f aca="false">IF(A33="","",Settings!$B$14)</f>
        <v/>
      </c>
      <c r="F33" s="10"/>
      <c r="G33" s="18" t="str">
        <f aca="false">IF(A33="","",IF(F33&lt;&gt;"",F33,E33))</f>
        <v/>
      </c>
      <c r="H33" s="18" t="str">
        <f aca="false">IF(A33="","",Settings!$B$13)</f>
        <v/>
      </c>
      <c r="I33" s="10"/>
      <c r="J33" s="18" t="str">
        <f aca="false">IF(A33="","",IF(I33&lt;&gt;"",I33,H33))</f>
        <v/>
      </c>
      <c r="K33" s="7"/>
      <c r="L33" s="7"/>
      <c r="M33" s="17"/>
      <c r="N33" s="13" t="str">
        <f aca="false">IF(A33="","",ROUND(D33*(1-G33/100),2))</f>
        <v/>
      </c>
      <c r="O33" s="13" t="str">
        <f aca="false">IF(A33="","",IF(K33&lt;&gt;"",K33,ROUND(N33*(1+J33/100),2)))</f>
        <v/>
      </c>
      <c r="P33" s="13" t="str">
        <f aca="false">IF(A33="","",ROUND(N33*M33+L33,2))</f>
        <v/>
      </c>
      <c r="Q33" s="13" t="str">
        <f aca="false">IF(A33="","",ROUND(O33*M33+L33,2))</f>
        <v/>
      </c>
      <c r="R33" s="13" t="str">
        <f aca="false">IF(A33="","",ROUND(Q33-P33,2))</f>
        <v/>
      </c>
      <c r="S33" s="18" t="str">
        <f aca="false">IF(A33="","",IFERROR(ROUND(R33/Q33*100,2),0))</f>
        <v/>
      </c>
      <c r="T33" s="13" t="str">
        <f aca="false">IF(A33="","",ROUND((D33-O33)*M33,2))</f>
        <v/>
      </c>
    </row>
    <row r="34" customFormat="false" ht="15" hidden="false" customHeight="false" outlineLevel="0" collapsed="false">
      <c r="A34" s="16"/>
      <c r="B34" s="16"/>
      <c r="C34" s="16"/>
      <c r="D34" s="7"/>
      <c r="E34" s="18" t="str">
        <f aca="false">IF(A34="","",Settings!$B$14)</f>
        <v/>
      </c>
      <c r="F34" s="10"/>
      <c r="G34" s="18" t="str">
        <f aca="false">IF(A34="","",IF(F34&lt;&gt;"",F34,E34))</f>
        <v/>
      </c>
      <c r="H34" s="18" t="str">
        <f aca="false">IF(A34="","",Settings!$B$13)</f>
        <v/>
      </c>
      <c r="I34" s="10"/>
      <c r="J34" s="18" t="str">
        <f aca="false">IF(A34="","",IF(I34&lt;&gt;"",I34,H34))</f>
        <v/>
      </c>
      <c r="K34" s="7"/>
      <c r="L34" s="7"/>
      <c r="M34" s="17"/>
      <c r="N34" s="13" t="str">
        <f aca="false">IF(A34="","",ROUND(D34*(1-G34/100),2))</f>
        <v/>
      </c>
      <c r="O34" s="13" t="str">
        <f aca="false">IF(A34="","",IF(K34&lt;&gt;"",K34,ROUND(N34*(1+J34/100),2)))</f>
        <v/>
      </c>
      <c r="P34" s="13" t="str">
        <f aca="false">IF(A34="","",ROUND(N34*M34+L34,2))</f>
        <v/>
      </c>
      <c r="Q34" s="13" t="str">
        <f aca="false">IF(A34="","",ROUND(O34*M34+L34,2))</f>
        <v/>
      </c>
      <c r="R34" s="13" t="str">
        <f aca="false">IF(A34="","",ROUND(Q34-P34,2))</f>
        <v/>
      </c>
      <c r="S34" s="18" t="str">
        <f aca="false">IF(A34="","",IFERROR(ROUND(R34/Q34*100,2),0))</f>
        <v/>
      </c>
      <c r="T34" s="13" t="str">
        <f aca="false">IF(A34="","",ROUND((D34-O34)*M34,2))</f>
        <v/>
      </c>
    </row>
    <row r="35" customFormat="false" ht="15" hidden="false" customHeight="false" outlineLevel="0" collapsed="false">
      <c r="A35" s="5" t="s">
        <v>108</v>
      </c>
      <c r="B35" s="24" t="n">
        <f aca="false">COUNTA(B5:B34)</f>
        <v>10</v>
      </c>
      <c r="L35" s="8" t="n">
        <f aca="false">SUM(L5:L34)</f>
        <v>795</v>
      </c>
      <c r="M35" s="21" t="n">
        <f aca="false">SUM(M5:M34)</f>
        <v>53</v>
      </c>
      <c r="P35" s="8" t="n">
        <f aca="false">SUM(P5:P34)</f>
        <v>15311</v>
      </c>
      <c r="Q35" s="8" t="n">
        <f aca="false">SUM(Q5:Q34)</f>
        <v>18824.5</v>
      </c>
      <c r="R35" s="8" t="n">
        <f aca="false">SUM(R5:R34)</f>
        <v>3513.5</v>
      </c>
      <c r="S35" s="22" t="n">
        <f aca="false">IFERROR(ROUND(R35/Q35*100,2),0)</f>
        <v>18.66</v>
      </c>
      <c r="T35" s="8" t="n">
        <f aca="false">SUM(T5:T34)</f>
        <v>2250.5</v>
      </c>
    </row>
  </sheetData>
  <dataValidations count="1">
    <dataValidation allowBlank="true" errorStyle="stop" operator="between" showDropDown="false" showErrorMessage="false" showInputMessage="false" sqref="A5:A34" type="list">
      <formula1>'Fee Builder'!$A$5:$A$24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20"/>
    <col collapsed="false" customWidth="true" hidden="false" outlineLevel="0" max="3" min="3" style="1" width="10"/>
    <col collapsed="false" customWidth="true" hidden="false" outlineLevel="0" max="4" min="4" style="1" width="11"/>
    <col collapsed="false" customWidth="true" hidden="false" outlineLevel="0" max="5" min="5" style="1" width="10"/>
    <col collapsed="false" customWidth="true" hidden="false" outlineLevel="0" max="6" min="6" style="1" width="9"/>
    <col collapsed="false" customWidth="true" hidden="false" outlineLevel="0" max="7" min="7" style="1" width="11"/>
    <col collapsed="false" customWidth="true" hidden="false" outlineLevel="0" max="10" min="8" style="1" width="10"/>
    <col collapsed="false" customWidth="true" hidden="false" outlineLevel="0" max="11" min="11" style="1" width="12"/>
  </cols>
  <sheetData>
    <row r="1" customFormat="false" ht="17.35" hidden="false" customHeight="false" outlineLevel="0" collapsed="false">
      <c r="A1" s="2" t="s">
        <v>146</v>
      </c>
    </row>
    <row r="2" customFormat="false" ht="15" hidden="false" customHeight="false" outlineLevel="0" collapsed="false">
      <c r="A2" s="3" t="s">
        <v>147</v>
      </c>
    </row>
    <row r="4" customFormat="false" ht="52.2" hidden="false" customHeight="false" outlineLevel="0" collapsed="false">
      <c r="A4" s="15" t="s">
        <v>70</v>
      </c>
      <c r="B4" s="15" t="s">
        <v>148</v>
      </c>
      <c r="C4" s="15" t="s">
        <v>149</v>
      </c>
      <c r="D4" s="15" t="s">
        <v>150</v>
      </c>
      <c r="E4" s="15" t="s">
        <v>151</v>
      </c>
      <c r="F4" s="15" t="s">
        <v>152</v>
      </c>
      <c r="G4" s="15" t="s">
        <v>153</v>
      </c>
      <c r="H4" s="15" t="s">
        <v>58</v>
      </c>
      <c r="I4" s="15" t="s">
        <v>154</v>
      </c>
      <c r="J4" s="15" t="s">
        <v>155</v>
      </c>
      <c r="K4" s="15" t="s">
        <v>156</v>
      </c>
    </row>
    <row r="5" customFormat="false" ht="15" hidden="false" customHeight="false" outlineLevel="0" collapsed="false">
      <c r="A5" s="16" t="s">
        <v>96</v>
      </c>
      <c r="B5" s="16" t="s">
        <v>157</v>
      </c>
      <c r="C5" s="9" t="n">
        <v>18</v>
      </c>
      <c r="D5" s="18" t="n">
        <f aca="false">IF(A5="","",Settings!$B$17)</f>
        <v>10</v>
      </c>
      <c r="E5" s="10"/>
      <c r="F5" s="18" t="n">
        <f aca="false">IF(A5="","",IF(E5&lt;&gt;"",E5,D5))</f>
        <v>10</v>
      </c>
      <c r="G5" s="13" t="n">
        <f aca="false">IF(A5="","",Settings!$B$20)</f>
        <v>68.18</v>
      </c>
      <c r="H5" s="7"/>
      <c r="I5" s="13" t="n">
        <f aca="false">IF(A5="","",IF(H5&lt;&gt;"",H5,G5))</f>
        <v>68.18</v>
      </c>
      <c r="J5" s="14" t="n">
        <f aca="false">IF(A5="","",ROUND(C5*(1+F5/100),2))</f>
        <v>19.8</v>
      </c>
      <c r="K5" s="13" t="n">
        <f aca="false">IF(A5="","",ROUND(J5*I5,2))</f>
        <v>1349.96</v>
      </c>
    </row>
    <row r="6" customFormat="false" ht="15" hidden="false" customHeight="false" outlineLevel="0" collapsed="false">
      <c r="A6" s="16" t="s">
        <v>96</v>
      </c>
      <c r="B6" s="16" t="s">
        <v>158</v>
      </c>
      <c r="C6" s="9" t="n">
        <v>24</v>
      </c>
      <c r="D6" s="18" t="n">
        <f aca="false">IF(A6="","",Settings!$B$17)</f>
        <v>10</v>
      </c>
      <c r="E6" s="10" t="n">
        <v>20</v>
      </c>
      <c r="F6" s="18" t="n">
        <f aca="false">IF(A6="","",IF(E6&lt;&gt;"",E6,D6))</f>
        <v>20</v>
      </c>
      <c r="G6" s="13" t="n">
        <f aca="false">IF(A6="","",Settings!$B$20)</f>
        <v>68.18</v>
      </c>
      <c r="H6" s="7"/>
      <c r="I6" s="13" t="n">
        <f aca="false">IF(A6="","",IF(H6&lt;&gt;"",H6,G6))</f>
        <v>68.18</v>
      </c>
      <c r="J6" s="14" t="n">
        <f aca="false">IF(A6="","",ROUND(C6*(1+F6/100),2))</f>
        <v>28.8</v>
      </c>
      <c r="K6" s="13" t="n">
        <f aca="false">IF(A6="","",ROUND(J6*I6,2))</f>
        <v>1963.58</v>
      </c>
    </row>
    <row r="7" customFormat="false" ht="15" hidden="false" customHeight="false" outlineLevel="0" collapsed="false">
      <c r="A7" s="16" t="s">
        <v>96</v>
      </c>
      <c r="B7" s="16" t="s">
        <v>159</v>
      </c>
      <c r="C7" s="9" t="n">
        <v>14</v>
      </c>
      <c r="D7" s="18" t="n">
        <f aca="false">IF(A7="","",Settings!$B$17)</f>
        <v>10</v>
      </c>
      <c r="E7" s="10"/>
      <c r="F7" s="18" t="n">
        <f aca="false">IF(A7="","",IF(E7&lt;&gt;"",E7,D7))</f>
        <v>10</v>
      </c>
      <c r="G7" s="13" t="n">
        <f aca="false">IF(A7="","",Settings!$B$20)</f>
        <v>68.18</v>
      </c>
      <c r="H7" s="7"/>
      <c r="I7" s="13" t="n">
        <f aca="false">IF(A7="","",IF(H7&lt;&gt;"",H7,G7))</f>
        <v>68.18</v>
      </c>
      <c r="J7" s="14" t="n">
        <f aca="false">IF(A7="","",ROUND(C7*(1+F7/100),2))</f>
        <v>15.4</v>
      </c>
      <c r="K7" s="13" t="n">
        <f aca="false">IF(A7="","",ROUND(J7*I7,2))</f>
        <v>1049.97</v>
      </c>
    </row>
    <row r="8" customFormat="false" ht="15" hidden="false" customHeight="false" outlineLevel="0" collapsed="false">
      <c r="A8" s="16" t="s">
        <v>98</v>
      </c>
      <c r="B8" s="16" t="s">
        <v>160</v>
      </c>
      <c r="C8" s="9" t="n">
        <v>20</v>
      </c>
      <c r="D8" s="18" t="n">
        <f aca="false">IF(A8="","",Settings!$B$17)</f>
        <v>10</v>
      </c>
      <c r="E8" s="10"/>
      <c r="F8" s="18" t="n">
        <f aca="false">IF(A8="","",IF(E8&lt;&gt;"",E8,D8))</f>
        <v>10</v>
      </c>
      <c r="G8" s="13" t="n">
        <f aca="false">IF(A8="","",Settings!$B$20)</f>
        <v>68.18</v>
      </c>
      <c r="H8" s="7"/>
      <c r="I8" s="13" t="n">
        <f aca="false">IF(A8="","",IF(H8&lt;&gt;"",H8,G8))</f>
        <v>68.18</v>
      </c>
      <c r="J8" s="14" t="n">
        <f aca="false">IF(A8="","",ROUND(C8*(1+F8/100),2))</f>
        <v>22</v>
      </c>
      <c r="K8" s="13" t="n">
        <f aca="false">IF(A8="","",ROUND(J8*I8,2))</f>
        <v>1499.96</v>
      </c>
    </row>
    <row r="9" customFormat="false" ht="15" hidden="false" customHeight="false" outlineLevel="0" collapsed="false">
      <c r="A9" s="16" t="s">
        <v>98</v>
      </c>
      <c r="B9" s="16" t="s">
        <v>161</v>
      </c>
      <c r="C9" s="9" t="n">
        <v>10</v>
      </c>
      <c r="D9" s="18" t="n">
        <f aca="false">IF(A9="","",Settings!$B$17)</f>
        <v>10</v>
      </c>
      <c r="E9" s="10"/>
      <c r="F9" s="18" t="n">
        <f aca="false">IF(A9="","",IF(E9&lt;&gt;"",E9,D9))</f>
        <v>10</v>
      </c>
      <c r="G9" s="13" t="n">
        <f aca="false">IF(A9="","",Settings!$B$20)</f>
        <v>68.18</v>
      </c>
      <c r="H9" s="7"/>
      <c r="I9" s="13" t="n">
        <f aca="false">IF(A9="","",IF(H9&lt;&gt;"",H9,G9))</f>
        <v>68.18</v>
      </c>
      <c r="J9" s="14" t="n">
        <f aca="false">IF(A9="","",ROUND(C9*(1+F9/100),2))</f>
        <v>11</v>
      </c>
      <c r="K9" s="13" t="n">
        <f aca="false">IF(A9="","",ROUND(J9*I9,2))</f>
        <v>749.98</v>
      </c>
    </row>
    <row r="10" customFormat="false" ht="15" hidden="false" customHeight="false" outlineLevel="0" collapsed="false">
      <c r="A10" s="16" t="s">
        <v>98</v>
      </c>
      <c r="B10" s="16" t="s">
        <v>162</v>
      </c>
      <c r="C10" s="9" t="n">
        <v>12</v>
      </c>
      <c r="D10" s="18" t="n">
        <f aca="false">IF(A10="","",Settings!$B$17)</f>
        <v>10</v>
      </c>
      <c r="E10" s="10"/>
      <c r="F10" s="18" t="n">
        <f aca="false">IF(A10="","",IF(E10&lt;&gt;"",E10,D10))</f>
        <v>10</v>
      </c>
      <c r="G10" s="13" t="n">
        <f aca="false">IF(A10="","",Settings!$B$20)</f>
        <v>68.18</v>
      </c>
      <c r="H10" s="7" t="n">
        <v>80</v>
      </c>
      <c r="I10" s="13" t="n">
        <f aca="false">IF(A10="","",IF(H10&lt;&gt;"",H10,G10))</f>
        <v>80</v>
      </c>
      <c r="J10" s="14" t="n">
        <f aca="false">IF(A10="","",ROUND(C10*(1+F10/100),2))</f>
        <v>13.2</v>
      </c>
      <c r="K10" s="13" t="n">
        <f aca="false">IF(A10="","",ROUND(J10*I10,2))</f>
        <v>1056</v>
      </c>
    </row>
    <row r="11" customFormat="false" ht="15" hidden="false" customHeight="false" outlineLevel="0" collapsed="false">
      <c r="A11" s="16" t="s">
        <v>100</v>
      </c>
      <c r="B11" s="16" t="s">
        <v>163</v>
      </c>
      <c r="C11" s="9" t="n">
        <v>22</v>
      </c>
      <c r="D11" s="18" t="n">
        <f aca="false">IF(A11="","",Settings!$B$17)</f>
        <v>10</v>
      </c>
      <c r="E11" s="10"/>
      <c r="F11" s="18" t="n">
        <f aca="false">IF(A11="","",IF(E11&lt;&gt;"",E11,D11))</f>
        <v>10</v>
      </c>
      <c r="G11" s="13" t="n">
        <f aca="false">IF(A11="","",Settings!$B$20)</f>
        <v>68.18</v>
      </c>
      <c r="H11" s="7"/>
      <c r="I11" s="13" t="n">
        <f aca="false">IF(A11="","",IF(H11&lt;&gt;"",H11,G11))</f>
        <v>68.18</v>
      </c>
      <c r="J11" s="14" t="n">
        <f aca="false">IF(A11="","",ROUND(C11*(1+F11/100),2))</f>
        <v>24.2</v>
      </c>
      <c r="K11" s="13" t="n">
        <f aca="false">IF(A11="","",ROUND(J11*I11,2))</f>
        <v>1649.96</v>
      </c>
    </row>
    <row r="12" customFormat="false" ht="15" hidden="false" customHeight="false" outlineLevel="0" collapsed="false">
      <c r="A12" s="16" t="s">
        <v>100</v>
      </c>
      <c r="B12" s="16" t="s">
        <v>164</v>
      </c>
      <c r="C12" s="9" t="n">
        <v>6</v>
      </c>
      <c r="D12" s="18" t="n">
        <f aca="false">IF(A12="","",Settings!$B$17)</f>
        <v>10</v>
      </c>
      <c r="E12" s="10"/>
      <c r="F12" s="18" t="n">
        <f aca="false">IF(A12="","",IF(E12&lt;&gt;"",E12,D12))</f>
        <v>10</v>
      </c>
      <c r="G12" s="13" t="n">
        <f aca="false">IF(A12="","",Settings!$B$20)</f>
        <v>68.18</v>
      </c>
      <c r="H12" s="7"/>
      <c r="I12" s="13" t="n">
        <f aca="false">IF(A12="","",IF(H12&lt;&gt;"",H12,G12))</f>
        <v>68.18</v>
      </c>
      <c r="J12" s="14" t="n">
        <f aca="false">IF(A12="","",ROUND(C12*(1+F12/100),2))</f>
        <v>6.6</v>
      </c>
      <c r="K12" s="13" t="n">
        <f aca="false">IF(A12="","",ROUND(J12*I12,2))</f>
        <v>449.99</v>
      </c>
    </row>
    <row r="13" customFormat="false" ht="15" hidden="false" customHeight="false" outlineLevel="0" collapsed="false">
      <c r="A13" s="16"/>
      <c r="B13" s="16"/>
      <c r="C13" s="12"/>
      <c r="D13" s="18" t="str">
        <f aca="false">IF(A13="","",Settings!$B$17)</f>
        <v/>
      </c>
      <c r="E13" s="10"/>
      <c r="F13" s="18" t="str">
        <f aca="false">IF(A13="","",IF(E13&lt;&gt;"",E13,D13))</f>
        <v/>
      </c>
      <c r="G13" s="13" t="str">
        <f aca="false">IF(A13="","",Settings!$B$20)</f>
        <v/>
      </c>
      <c r="H13" s="7"/>
      <c r="I13" s="13" t="str">
        <f aca="false">IF(A13="","",IF(H13&lt;&gt;"",H13,G13))</f>
        <v/>
      </c>
      <c r="J13" s="14" t="str">
        <f aca="false">IF(A13="","",ROUND(C13*(1+F13/100),2))</f>
        <v/>
      </c>
      <c r="K13" s="13" t="str">
        <f aca="false">IF(A13="","",ROUND(J13*I13,2))</f>
        <v/>
      </c>
    </row>
    <row r="14" customFormat="false" ht="15" hidden="false" customHeight="false" outlineLevel="0" collapsed="false">
      <c r="A14" s="16"/>
      <c r="B14" s="16"/>
      <c r="C14" s="12"/>
      <c r="D14" s="18" t="str">
        <f aca="false">IF(A14="","",Settings!$B$17)</f>
        <v/>
      </c>
      <c r="E14" s="10"/>
      <c r="F14" s="18" t="str">
        <f aca="false">IF(A14="","",IF(E14&lt;&gt;"",E14,D14))</f>
        <v/>
      </c>
      <c r="G14" s="13" t="str">
        <f aca="false">IF(A14="","",Settings!$B$20)</f>
        <v/>
      </c>
      <c r="H14" s="7"/>
      <c r="I14" s="13" t="str">
        <f aca="false">IF(A14="","",IF(H14&lt;&gt;"",H14,G14))</f>
        <v/>
      </c>
      <c r="J14" s="14" t="str">
        <f aca="false">IF(A14="","",ROUND(C14*(1+F14/100),2))</f>
        <v/>
      </c>
      <c r="K14" s="13" t="str">
        <f aca="false">IF(A14="","",ROUND(J14*I14,2))</f>
        <v/>
      </c>
    </row>
    <row r="15" customFormat="false" ht="15" hidden="false" customHeight="false" outlineLevel="0" collapsed="false">
      <c r="A15" s="16"/>
      <c r="B15" s="16"/>
      <c r="C15" s="12"/>
      <c r="D15" s="18" t="str">
        <f aca="false">IF(A15="","",Settings!$B$17)</f>
        <v/>
      </c>
      <c r="E15" s="10"/>
      <c r="F15" s="18" t="str">
        <f aca="false">IF(A15="","",IF(E15&lt;&gt;"",E15,D15))</f>
        <v/>
      </c>
      <c r="G15" s="13" t="str">
        <f aca="false">IF(A15="","",Settings!$B$20)</f>
        <v/>
      </c>
      <c r="H15" s="7"/>
      <c r="I15" s="13" t="str">
        <f aca="false">IF(A15="","",IF(H15&lt;&gt;"",H15,G15))</f>
        <v/>
      </c>
      <c r="J15" s="14" t="str">
        <f aca="false">IF(A15="","",ROUND(C15*(1+F15/100),2))</f>
        <v/>
      </c>
      <c r="K15" s="13" t="str">
        <f aca="false">IF(A15="","",ROUND(J15*I15,2))</f>
        <v/>
      </c>
    </row>
    <row r="16" customFormat="false" ht="15" hidden="false" customHeight="false" outlineLevel="0" collapsed="false">
      <c r="A16" s="16"/>
      <c r="B16" s="16"/>
      <c r="C16" s="12"/>
      <c r="D16" s="18" t="str">
        <f aca="false">IF(A16="","",Settings!$B$17)</f>
        <v/>
      </c>
      <c r="E16" s="10"/>
      <c r="F16" s="18" t="str">
        <f aca="false">IF(A16="","",IF(E16&lt;&gt;"",E16,D16))</f>
        <v/>
      </c>
      <c r="G16" s="13" t="str">
        <f aca="false">IF(A16="","",Settings!$B$20)</f>
        <v/>
      </c>
      <c r="H16" s="7"/>
      <c r="I16" s="13" t="str">
        <f aca="false">IF(A16="","",IF(H16&lt;&gt;"",H16,G16))</f>
        <v/>
      </c>
      <c r="J16" s="14" t="str">
        <f aca="false">IF(A16="","",ROUND(C16*(1+F16/100),2))</f>
        <v/>
      </c>
      <c r="K16" s="13" t="str">
        <f aca="false">IF(A16="","",ROUND(J16*I16,2))</f>
        <v/>
      </c>
    </row>
    <row r="17" customFormat="false" ht="15" hidden="false" customHeight="false" outlineLevel="0" collapsed="false">
      <c r="A17" s="5" t="s">
        <v>108</v>
      </c>
      <c r="B17" s="25" t="n">
        <f aca="false">COUNTA(B5:B16)</f>
        <v>8</v>
      </c>
      <c r="C17" s="20" t="n">
        <f aca="false">SUM(C5:C16)</f>
        <v>126</v>
      </c>
      <c r="J17" s="20" t="n">
        <f aca="false">SUM(J5:J16)</f>
        <v>141</v>
      </c>
      <c r="K17" s="8" t="n">
        <f aca="false">SUM(K5:K16)</f>
        <v>9769.4</v>
      </c>
    </row>
    <row r="18" customFormat="false" ht="15" hidden="false" customHeight="false" outlineLevel="0" collapsed="false">
      <c r="A18" s="5" t="s">
        <v>165</v>
      </c>
    </row>
    <row r="19" customFormat="false" ht="52.2" hidden="false" customHeight="false" outlineLevel="0" collapsed="false">
      <c r="A19" s="15" t="s">
        <v>70</v>
      </c>
      <c r="B19" s="15" t="s">
        <v>166</v>
      </c>
      <c r="C19" s="15" t="s">
        <v>167</v>
      </c>
      <c r="D19" s="15" t="s">
        <v>168</v>
      </c>
      <c r="E19" s="15" t="s">
        <v>169</v>
      </c>
      <c r="F19" s="15" t="s">
        <v>170</v>
      </c>
      <c r="G19" s="15" t="s">
        <v>171</v>
      </c>
      <c r="H19" s="15" t="s">
        <v>172</v>
      </c>
      <c r="I19" s="15" t="s">
        <v>173</v>
      </c>
    </row>
    <row r="20" customFormat="false" ht="15" hidden="false" customHeight="false" outlineLevel="0" collapsed="false">
      <c r="A20" s="16" t="s">
        <v>96</v>
      </c>
      <c r="B20" s="26" t="n">
        <f aca="false">IF(A20="","",COUNTIF($A$5:$A$16,A20))</f>
        <v>3</v>
      </c>
      <c r="C20" s="13" t="n">
        <f aca="false">IF(A20="","",SUMIF($A$5:$A$16,A20,$K$5:$K$16))</f>
        <v>4363.51</v>
      </c>
      <c r="D20" s="9" t="n">
        <v>8</v>
      </c>
      <c r="E20" s="13" t="n">
        <f aca="false">IF(A20="","",ROUND(D20*Settings!$B$20,2))</f>
        <v>545.44</v>
      </c>
      <c r="F20" s="13" t="n">
        <f aca="false">IF(A20="","",ROUND(C20+E20,2))</f>
        <v>4908.95</v>
      </c>
      <c r="G20" s="13" t="n">
        <f aca="false">IF(A20="","",MAX(F20,Settings!$B$16))</f>
        <v>4908.95</v>
      </c>
      <c r="H20" s="4" t="str">
        <f aca="false">IF(A20="","",IF(F20&lt;Settings!$B$16,"minimum applies",""))</f>
        <v/>
      </c>
      <c r="I20" s="13" t="n">
        <f aca="false">IF(A20="","",IFERROR(ROUND(G20/B20,2),0))</f>
        <v>1636.32</v>
      </c>
    </row>
    <row r="21" customFormat="false" ht="15" hidden="false" customHeight="false" outlineLevel="0" collapsed="false">
      <c r="A21" s="16" t="s">
        <v>98</v>
      </c>
      <c r="B21" s="26" t="n">
        <f aca="false">IF(A21="","",COUNTIF($A$5:$A$16,A21))</f>
        <v>3</v>
      </c>
      <c r="C21" s="13" t="n">
        <f aca="false">IF(A21="","",SUMIF($A$5:$A$16,A21,$K$5:$K$16))</f>
        <v>3305.94</v>
      </c>
      <c r="D21" s="9" t="n">
        <v>6</v>
      </c>
      <c r="E21" s="13" t="n">
        <f aca="false">IF(A21="","",ROUND(D21*Settings!$B$20,2))</f>
        <v>409.08</v>
      </c>
      <c r="F21" s="13" t="n">
        <f aca="false">IF(A21="","",ROUND(C21+E21,2))</f>
        <v>3715.02</v>
      </c>
      <c r="G21" s="13" t="n">
        <f aca="false">IF(A21="","",MAX(F21,Settings!$B$16))</f>
        <v>3715.02</v>
      </c>
      <c r="H21" s="4" t="str">
        <f aca="false">IF(A21="","",IF(F21&lt;Settings!$B$16,"minimum applies",""))</f>
        <v/>
      </c>
      <c r="I21" s="13" t="n">
        <f aca="false">IF(A21="","",IFERROR(ROUND(G21/B21,2),0))</f>
        <v>1238.34</v>
      </c>
    </row>
    <row r="22" customFormat="false" ht="15" hidden="false" customHeight="false" outlineLevel="0" collapsed="false">
      <c r="A22" s="16" t="s">
        <v>100</v>
      </c>
      <c r="B22" s="26" t="n">
        <f aca="false">IF(A22="","",COUNTIF($A$5:$A$16,A22))</f>
        <v>2</v>
      </c>
      <c r="C22" s="13" t="n">
        <f aca="false">IF(A22="","",SUMIF($A$5:$A$16,A22,$K$5:$K$16))</f>
        <v>2099.95</v>
      </c>
      <c r="D22" s="9" t="n">
        <v>4</v>
      </c>
      <c r="E22" s="13" t="n">
        <f aca="false">IF(A22="","",ROUND(D22*Settings!$B$20,2))</f>
        <v>272.72</v>
      </c>
      <c r="F22" s="13" t="n">
        <f aca="false">IF(A22="","",ROUND(C22+E22,2))</f>
        <v>2372.67</v>
      </c>
      <c r="G22" s="13" t="n">
        <f aca="false">IF(A22="","",MAX(F22,Settings!$B$16))</f>
        <v>2500</v>
      </c>
      <c r="H22" s="4" t="str">
        <f aca="false">IF(A22="","",IF(F22&lt;Settings!$B$16,"minimum applies",""))</f>
        <v>minimum applies</v>
      </c>
      <c r="I22" s="13" t="n">
        <f aca="false">IF(A22="","",IFERROR(ROUND(G22/B22,2),0))</f>
        <v>1250</v>
      </c>
    </row>
    <row r="23" customFormat="false" ht="15" hidden="false" customHeight="false" outlineLevel="0" collapsed="false">
      <c r="A23" s="16"/>
      <c r="B23" s="26" t="str">
        <f aca="false">IF(A23="","",COUNTIF($A$5:$A$16,A23))</f>
        <v/>
      </c>
      <c r="C23" s="13" t="str">
        <f aca="false">IF(A23="","",SUMIF($A$5:$A$16,A23,$K$5:$K$16))</f>
        <v/>
      </c>
      <c r="D23" s="12"/>
      <c r="E23" s="13" t="str">
        <f aca="false">IF(A23="","",ROUND(D23*Settings!$B$20,2))</f>
        <v/>
      </c>
      <c r="F23" s="13" t="str">
        <f aca="false">IF(A23="","",ROUND(C23+E23,2))</f>
        <v/>
      </c>
      <c r="G23" s="13" t="str">
        <f aca="false">IF(A23="","",MAX(F23,Settings!$B$16))</f>
        <v/>
      </c>
      <c r="H23" s="4" t="str">
        <f aca="false">IF(A23="","",IF(F23&lt;Settings!$B$16,"minimum applies",""))</f>
        <v/>
      </c>
      <c r="I23" s="13" t="str">
        <f aca="false">IF(A23="","",IFERROR(ROUND(G23/B23,2),0))</f>
        <v/>
      </c>
    </row>
    <row r="24" customFormat="false" ht="15" hidden="false" customHeight="false" outlineLevel="0" collapsed="false">
      <c r="A24" s="16"/>
      <c r="B24" s="26" t="str">
        <f aca="false">IF(A24="","",COUNTIF($A$5:$A$16,A24))</f>
        <v/>
      </c>
      <c r="C24" s="13" t="str">
        <f aca="false">IF(A24="","",SUMIF($A$5:$A$16,A24,$K$5:$K$16))</f>
        <v/>
      </c>
      <c r="D24" s="12"/>
      <c r="E24" s="13" t="str">
        <f aca="false">IF(A24="","",ROUND(D24*Settings!$B$20,2))</f>
        <v/>
      </c>
      <c r="F24" s="13" t="str">
        <f aca="false">IF(A24="","",ROUND(C24+E24,2))</f>
        <v/>
      </c>
      <c r="G24" s="13" t="str">
        <f aca="false">IF(A24="","",MAX(F24,Settings!$B$16))</f>
        <v/>
      </c>
      <c r="H24" s="4" t="str">
        <f aca="false">IF(A24="","",IF(F24&lt;Settings!$B$16,"minimum applies",""))</f>
        <v/>
      </c>
      <c r="I24" s="13" t="str">
        <f aca="false">IF(A24="","",IFERROR(ROUND(G24/B24,2),0))</f>
        <v/>
      </c>
    </row>
    <row r="25" customFormat="false" ht="15" hidden="false" customHeight="false" outlineLevel="0" collapsed="false">
      <c r="A25" s="16"/>
      <c r="B25" s="26" t="str">
        <f aca="false">IF(A25="","",COUNTIF($A$5:$A$16,A25))</f>
        <v/>
      </c>
      <c r="C25" s="13" t="str">
        <f aca="false">IF(A25="","",SUMIF($A$5:$A$16,A25,$K$5:$K$16))</f>
        <v/>
      </c>
      <c r="D25" s="12"/>
      <c r="E25" s="13" t="str">
        <f aca="false">IF(A25="","",ROUND(D25*Settings!$B$20,2))</f>
        <v/>
      </c>
      <c r="F25" s="13" t="str">
        <f aca="false">IF(A25="","",ROUND(C25+E25,2))</f>
        <v/>
      </c>
      <c r="G25" s="13" t="str">
        <f aca="false">IF(A25="","",MAX(F25,Settings!$B$16))</f>
        <v/>
      </c>
      <c r="H25" s="4" t="str">
        <f aca="false">IF(A25="","",IF(F25&lt;Settings!$B$16,"minimum applies",""))</f>
        <v/>
      </c>
      <c r="I25" s="13" t="str">
        <f aca="false">IF(A25="","",IFERROR(ROUND(G25/B25,2),0))</f>
        <v/>
      </c>
    </row>
  </sheetData>
  <dataValidations count="1">
    <dataValidation allowBlank="true" errorStyle="stop" operator="between" showDropDown="false" showErrorMessage="false" showInputMessage="false" sqref="A5:A16 A20:A25" type="list">
      <formula1>'Fee Builder'!$A$5:$A$24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3"/>
    <col collapsed="false" customWidth="true" hidden="false" outlineLevel="0" max="4" min="3" style="1" width="11"/>
    <col collapsed="false" customWidth="true" hidden="false" outlineLevel="0" max="6" min="5" style="1" width="10"/>
    <col collapsed="false" customWidth="true" hidden="false" outlineLevel="0" max="8" min="7" style="1" width="11"/>
    <col collapsed="false" customWidth="true" hidden="false" outlineLevel="0" max="12" min="9" style="1" width="12"/>
    <col collapsed="false" customWidth="true" hidden="false" outlineLevel="0" max="13" min="13" style="1" width="10"/>
    <col collapsed="false" customWidth="true" hidden="false" outlineLevel="0" max="15" min="14" style="1" width="12"/>
    <col collapsed="false" customWidth="true" hidden="false" outlineLevel="0" max="16" min="16" style="1" width="16"/>
  </cols>
  <sheetData>
    <row r="1" customFormat="false" ht="17.35" hidden="false" customHeight="false" outlineLevel="0" collapsed="false">
      <c r="A1" s="2" t="s">
        <v>174</v>
      </c>
    </row>
    <row r="2" customFormat="false" ht="15" hidden="false" customHeight="false" outlineLevel="0" collapsed="false">
      <c r="A2" s="3" t="s">
        <v>175</v>
      </c>
    </row>
    <row r="4" customFormat="false" ht="52.2" hidden="false" customHeight="false" outlineLevel="0" collapsed="false">
      <c r="A4" s="15" t="s">
        <v>70</v>
      </c>
      <c r="B4" s="15" t="s">
        <v>176</v>
      </c>
      <c r="C4" s="15" t="s">
        <v>177</v>
      </c>
      <c r="D4" s="15" t="s">
        <v>178</v>
      </c>
      <c r="E4" s="15" t="s">
        <v>179</v>
      </c>
      <c r="F4" s="15" t="s">
        <v>180</v>
      </c>
      <c r="G4" s="15" t="s">
        <v>181</v>
      </c>
      <c r="H4" s="15" t="s">
        <v>182</v>
      </c>
      <c r="I4" s="15" t="s">
        <v>183</v>
      </c>
      <c r="J4" s="15" t="s">
        <v>184</v>
      </c>
      <c r="K4" s="15" t="s">
        <v>185</v>
      </c>
      <c r="L4" s="15" t="s">
        <v>88</v>
      </c>
      <c r="M4" s="15" t="s">
        <v>186</v>
      </c>
      <c r="N4" s="15" t="s">
        <v>187</v>
      </c>
      <c r="O4" s="15" t="s">
        <v>188</v>
      </c>
      <c r="P4" s="15" t="s">
        <v>189</v>
      </c>
    </row>
    <row r="5" customFormat="false" ht="15" hidden="false" customHeight="false" outlineLevel="0" collapsed="false">
      <c r="A5" s="16" t="s">
        <v>96</v>
      </c>
      <c r="B5" s="6" t="n">
        <v>120000</v>
      </c>
      <c r="C5" s="18" t="n">
        <f aca="false">IF(A5="","",Settings!$B$12)</f>
        <v>15</v>
      </c>
      <c r="D5" s="10"/>
      <c r="E5" s="18" t="n">
        <f aca="false">IF(A5="","",IF(D5&lt;&gt;"",D5,C5))</f>
        <v>15</v>
      </c>
      <c r="F5" s="10" t="n">
        <v>40</v>
      </c>
      <c r="G5" s="10" t="n">
        <v>30</v>
      </c>
      <c r="H5" s="10" t="n">
        <v>10</v>
      </c>
      <c r="I5" s="13" t="n">
        <f aca="false">IF(A5="","",ROUND(B5*E5/100,2))</f>
        <v>18000</v>
      </c>
      <c r="J5" s="13" t="n">
        <f aca="false">IF(A5="","",ROUND(B5*F5/100,2))</f>
        <v>48000</v>
      </c>
      <c r="K5" s="13" t="n">
        <f aca="false">IF(A5="","",ROUND(B5*G5/100,2))</f>
        <v>36000</v>
      </c>
      <c r="L5" s="13" t="n">
        <f aca="false">IF(A5="","",ROUND(B5*H5/100,2))</f>
        <v>12000</v>
      </c>
      <c r="M5" s="18" t="n">
        <f aca="false">IF(A5="","",E5+F5+G5+H5)</f>
        <v>95</v>
      </c>
      <c r="N5" s="13" t="n">
        <f aca="false">IF(A5="","",ROUND(I5+J5+K5+L5,2))</f>
        <v>114000</v>
      </c>
      <c r="O5" s="13" t="n">
        <f aca="false">IF(A5="","",ROUND(B5-N5,2))</f>
        <v>6000</v>
      </c>
      <c r="P5" s="4" t="str">
        <f aca="false">IF(A5="","",IF(O5&lt;0,"over-allocated",IF(O5&gt;0,"unallocated","fully allocated")))</f>
        <v>unallocated</v>
      </c>
    </row>
    <row r="6" customFormat="false" ht="15" hidden="false" customHeight="false" outlineLevel="0" collapsed="false">
      <c r="A6" s="16" t="s">
        <v>98</v>
      </c>
      <c r="B6" s="6" t="n">
        <v>60000</v>
      </c>
      <c r="C6" s="18" t="n">
        <f aca="false">IF(A6="","",Settings!$B$12)</f>
        <v>15</v>
      </c>
      <c r="D6" s="10"/>
      <c r="E6" s="18" t="n">
        <f aca="false">IF(A6="","",IF(D6&lt;&gt;"",D6,C6))</f>
        <v>15</v>
      </c>
      <c r="F6" s="10" t="n">
        <v>45</v>
      </c>
      <c r="G6" s="10" t="n">
        <v>30</v>
      </c>
      <c r="H6" s="10" t="n">
        <v>10</v>
      </c>
      <c r="I6" s="13" t="n">
        <f aca="false">IF(A6="","",ROUND(B6*E6/100,2))</f>
        <v>9000</v>
      </c>
      <c r="J6" s="13" t="n">
        <f aca="false">IF(A6="","",ROUND(B6*F6/100,2))</f>
        <v>27000</v>
      </c>
      <c r="K6" s="13" t="n">
        <f aca="false">IF(A6="","",ROUND(B6*G6/100,2))</f>
        <v>18000</v>
      </c>
      <c r="L6" s="13" t="n">
        <f aca="false">IF(A6="","",ROUND(B6*H6/100,2))</f>
        <v>6000</v>
      </c>
      <c r="M6" s="18" t="n">
        <f aca="false">IF(A6="","",E6+F6+G6+H6)</f>
        <v>100</v>
      </c>
      <c r="N6" s="13" t="n">
        <f aca="false">IF(A6="","",ROUND(I6+J6+K6+L6,2))</f>
        <v>60000</v>
      </c>
      <c r="O6" s="13" t="n">
        <f aca="false">IF(A6="","",ROUND(B6-N6,2))</f>
        <v>0</v>
      </c>
      <c r="P6" s="4" t="str">
        <f aca="false">IF(A6="","",IF(O6&lt;0,"over-allocated",IF(O6&gt;0,"unallocated","fully allocated")))</f>
        <v>fully allocated</v>
      </c>
    </row>
    <row r="7" customFormat="false" ht="15" hidden="false" customHeight="false" outlineLevel="0" collapsed="false">
      <c r="A7" s="16" t="s">
        <v>100</v>
      </c>
      <c r="B7" s="6" t="n">
        <v>45000</v>
      </c>
      <c r="C7" s="18" t="n">
        <f aca="false">IF(A7="","",Settings!$B$12)</f>
        <v>15</v>
      </c>
      <c r="D7" s="10" t="n">
        <v>12</v>
      </c>
      <c r="E7" s="18" t="n">
        <f aca="false">IF(A7="","",IF(D7&lt;&gt;"",D7,C7))</f>
        <v>12</v>
      </c>
      <c r="F7" s="10" t="n">
        <v>35</v>
      </c>
      <c r="G7" s="10" t="n">
        <v>50</v>
      </c>
      <c r="H7" s="10" t="n">
        <v>10</v>
      </c>
      <c r="I7" s="13" t="n">
        <f aca="false">IF(A7="","",ROUND(B7*E7/100,2))</f>
        <v>5400</v>
      </c>
      <c r="J7" s="13" t="n">
        <f aca="false">IF(A7="","",ROUND(B7*F7/100,2))</f>
        <v>15750</v>
      </c>
      <c r="K7" s="13" t="n">
        <f aca="false">IF(A7="","",ROUND(B7*G7/100,2))</f>
        <v>22500</v>
      </c>
      <c r="L7" s="13" t="n">
        <f aca="false">IF(A7="","",ROUND(B7*H7/100,2))</f>
        <v>4500</v>
      </c>
      <c r="M7" s="18" t="n">
        <f aca="false">IF(A7="","",E7+F7+G7+H7)</f>
        <v>107</v>
      </c>
      <c r="N7" s="13" t="n">
        <f aca="false">IF(A7="","",ROUND(I7+J7+K7+L7,2))</f>
        <v>48150</v>
      </c>
      <c r="O7" s="13" t="n">
        <f aca="false">IF(A7="","",ROUND(B7-N7,2))</f>
        <v>-3150</v>
      </c>
      <c r="P7" s="4" t="str">
        <f aca="false">IF(A7="","",IF(O7&lt;0,"over-allocated",IF(O7&gt;0,"unallocated","fully allocated")))</f>
        <v>over-allocated</v>
      </c>
    </row>
    <row r="8" customFormat="false" ht="15" hidden="false" customHeight="false" outlineLevel="0" collapsed="false">
      <c r="A8" s="16" t="s">
        <v>104</v>
      </c>
      <c r="B8" s="6" t="n">
        <v>250000</v>
      </c>
      <c r="C8" s="18" t="n">
        <f aca="false">IF(A8="","",Settings!$B$12)</f>
        <v>15</v>
      </c>
      <c r="D8" s="10"/>
      <c r="E8" s="18" t="n">
        <f aca="false">IF(A8="","",IF(D8&lt;&gt;"",D8,C8))</f>
        <v>15</v>
      </c>
      <c r="F8" s="10" t="n">
        <v>30</v>
      </c>
      <c r="G8" s="10" t="n">
        <v>40</v>
      </c>
      <c r="H8" s="10" t="n">
        <v>10</v>
      </c>
      <c r="I8" s="13" t="n">
        <f aca="false">IF(A8="","",ROUND(B8*E8/100,2))</f>
        <v>37500</v>
      </c>
      <c r="J8" s="13" t="n">
        <f aca="false">IF(A8="","",ROUND(B8*F8/100,2))</f>
        <v>75000</v>
      </c>
      <c r="K8" s="13" t="n">
        <f aca="false">IF(A8="","",ROUND(B8*G8/100,2))</f>
        <v>100000</v>
      </c>
      <c r="L8" s="13" t="n">
        <f aca="false">IF(A8="","",ROUND(B8*H8/100,2))</f>
        <v>25000</v>
      </c>
      <c r="M8" s="18" t="n">
        <f aca="false">IF(A8="","",E8+F8+G8+H8)</f>
        <v>95</v>
      </c>
      <c r="N8" s="13" t="n">
        <f aca="false">IF(A8="","",ROUND(I8+J8+K8+L8,2))</f>
        <v>237500</v>
      </c>
      <c r="O8" s="13" t="n">
        <f aca="false">IF(A8="","",ROUND(B8-N8,2))</f>
        <v>12500</v>
      </c>
      <c r="P8" s="4" t="str">
        <f aca="false">IF(A8="","",IF(O8&lt;0,"over-allocated",IF(O8&gt;0,"unallocated","fully allocated")))</f>
        <v>unallocated</v>
      </c>
    </row>
    <row r="9" customFormat="false" ht="15" hidden="false" customHeight="false" outlineLevel="0" collapsed="false">
      <c r="A9" s="16"/>
      <c r="B9" s="7"/>
      <c r="C9" s="18" t="str">
        <f aca="false">IF(A9="","",Settings!$B$12)</f>
        <v/>
      </c>
      <c r="D9" s="10"/>
      <c r="E9" s="18" t="str">
        <f aca="false">IF(A9="","",IF(D9&lt;&gt;"",D9,C9))</f>
        <v/>
      </c>
      <c r="F9" s="10"/>
      <c r="G9" s="10"/>
      <c r="H9" s="10"/>
      <c r="I9" s="13" t="str">
        <f aca="false">IF(A9="","",ROUND(B9*E9/100,2))</f>
        <v/>
      </c>
      <c r="J9" s="13" t="str">
        <f aca="false">IF(A9="","",ROUND(B9*F9/100,2))</f>
        <v/>
      </c>
      <c r="K9" s="13" t="str">
        <f aca="false">IF(A9="","",ROUND(B9*G9/100,2))</f>
        <v/>
      </c>
      <c r="L9" s="13" t="str">
        <f aca="false">IF(A9="","",ROUND(B9*H9/100,2))</f>
        <v/>
      </c>
      <c r="M9" s="18" t="str">
        <f aca="false">IF(A9="","",E9+F9+G9+H9)</f>
        <v/>
      </c>
      <c r="N9" s="13" t="str">
        <f aca="false">IF(A9="","",ROUND(I9+J9+K9+L9,2))</f>
        <v/>
      </c>
      <c r="O9" s="13" t="str">
        <f aca="false">IF(A9="","",ROUND(B9-N9,2))</f>
        <v/>
      </c>
      <c r="P9" s="4" t="str">
        <f aca="false">IF(A9="","",IF(O9&lt;0,"over-allocated",IF(O9&gt;0,"unallocated","fully allocated")))</f>
        <v/>
      </c>
    </row>
    <row r="10" customFormat="false" ht="15" hidden="false" customHeight="false" outlineLevel="0" collapsed="false">
      <c r="A10" s="16"/>
      <c r="B10" s="7"/>
      <c r="C10" s="18" t="str">
        <f aca="false">IF(A10="","",Settings!$B$12)</f>
        <v/>
      </c>
      <c r="D10" s="10"/>
      <c r="E10" s="18" t="str">
        <f aca="false">IF(A10="","",IF(D10&lt;&gt;"",D10,C10))</f>
        <v/>
      </c>
      <c r="F10" s="10"/>
      <c r="G10" s="10"/>
      <c r="H10" s="10"/>
      <c r="I10" s="13" t="str">
        <f aca="false">IF(A10="","",ROUND(B10*E10/100,2))</f>
        <v/>
      </c>
      <c r="J10" s="13" t="str">
        <f aca="false">IF(A10="","",ROUND(B10*F10/100,2))</f>
        <v/>
      </c>
      <c r="K10" s="13" t="str">
        <f aca="false">IF(A10="","",ROUND(B10*G10/100,2))</f>
        <v/>
      </c>
      <c r="L10" s="13" t="str">
        <f aca="false">IF(A10="","",ROUND(B10*H10/100,2))</f>
        <v/>
      </c>
      <c r="M10" s="18" t="str">
        <f aca="false">IF(A10="","",E10+F10+G10+H10)</f>
        <v/>
      </c>
      <c r="N10" s="13" t="str">
        <f aca="false">IF(A10="","",ROUND(I10+J10+K10+L10,2))</f>
        <v/>
      </c>
      <c r="O10" s="13" t="str">
        <f aca="false">IF(A10="","",ROUND(B10-N10,2))</f>
        <v/>
      </c>
      <c r="P10" s="4" t="str">
        <f aca="false">IF(A10="","",IF(O10&lt;0,"over-allocated",IF(O10&gt;0,"unallocated","fully allocated")))</f>
        <v/>
      </c>
    </row>
    <row r="11" customFormat="false" ht="15" hidden="false" customHeight="false" outlineLevel="0" collapsed="false">
      <c r="A11" s="5" t="s">
        <v>108</v>
      </c>
      <c r="B11" s="8" t="n">
        <f aca="false">SUM(B5:B10)</f>
        <v>475000</v>
      </c>
      <c r="I11" s="8" t="n">
        <f aca="false">SUM(I5:I10)</f>
        <v>69900</v>
      </c>
      <c r="J11" s="8" t="n">
        <f aca="false">SUM(J5:J10)</f>
        <v>165750</v>
      </c>
      <c r="K11" s="8" t="n">
        <f aca="false">SUM(K5:K10)</f>
        <v>176500</v>
      </c>
      <c r="L11" s="8" t="n">
        <f aca="false">SUM(L5:L10)</f>
        <v>47500</v>
      </c>
      <c r="M11" s="22" t="n">
        <f aca="false">IFERROR(ROUND(N11/B11*100,2),0)</f>
        <v>96.77</v>
      </c>
      <c r="N11" s="8" t="n">
        <f aca="false">SUM(N5:N10)</f>
        <v>459650</v>
      </c>
      <c r="O11" s="8" t="n">
        <f aca="false">SUM(O5:O10)</f>
        <v>15350</v>
      </c>
    </row>
  </sheetData>
  <dataValidations count="1">
    <dataValidation allowBlank="true" errorStyle="stop" operator="between" showDropDown="false" showErrorMessage="false" showInputMessage="false" sqref="A5:A10" type="list">
      <formula1>'Fee Builder'!$A$5:$A$24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2" min="2" style="1" width="24"/>
    <col collapsed="false" customWidth="true" hidden="false" outlineLevel="0" max="3" min="3" style="1" width="80"/>
  </cols>
  <sheetData>
    <row r="1" customFormat="false" ht="17.35" hidden="false" customHeight="false" outlineLevel="0" collapsed="false">
      <c r="A1" s="2" t="s">
        <v>190</v>
      </c>
    </row>
    <row r="2" customFormat="false" ht="15" hidden="false" customHeight="false" outlineLevel="0" collapsed="false">
      <c r="A2" s="5" t="s">
        <v>56</v>
      </c>
      <c r="B2" s="8" t="n">
        <f aca="false">Settings!$B$18</f>
        <v>68.18</v>
      </c>
      <c r="C2" s="3" t="s">
        <v>191</v>
      </c>
    </row>
    <row r="3" customFormat="false" ht="15" hidden="false" customHeight="false" outlineLevel="0" collapsed="false">
      <c r="A3" s="5" t="s">
        <v>60</v>
      </c>
      <c r="B3" s="8" t="n">
        <f aca="false">Settings!$B$20</f>
        <v>68.18</v>
      </c>
      <c r="C3" s="3" t="s">
        <v>192</v>
      </c>
    </row>
    <row r="4" customFormat="false" ht="15" hidden="false" customHeight="false" outlineLevel="0" collapsed="false">
      <c r="A4" s="5" t="s">
        <v>193</v>
      </c>
      <c r="B4" s="21" t="n">
        <f aca="false">COUNTA('Fee Builder'!$A$5:$A$24)</f>
        <v>6</v>
      </c>
      <c r="C4" s="3" t="s">
        <v>194</v>
      </c>
    </row>
    <row r="5" customFormat="false" ht="15" hidden="false" customHeight="false" outlineLevel="0" collapsed="false">
      <c r="A5" s="5" t="s">
        <v>195</v>
      </c>
      <c r="B5" s="8" t="n">
        <f aca="false">'Fee Builder'!T25</f>
        <v>28806.05</v>
      </c>
      <c r="C5" s="3" t="s">
        <v>196</v>
      </c>
    </row>
    <row r="6" customFormat="false" ht="15" hidden="false" customHeight="false" outlineLevel="0" collapsed="false">
      <c r="A6" s="5" t="s">
        <v>197</v>
      </c>
      <c r="B6" s="21" t="n">
        <f aca="false">COUNTIF('Fee Builder'!$X$5:$X$24,"percentage fee")</f>
        <v>5</v>
      </c>
      <c r="C6" s="3" t="s">
        <v>198</v>
      </c>
    </row>
    <row r="7" customFormat="false" ht="15" hidden="false" customHeight="false" outlineLevel="0" collapsed="false">
      <c r="A7" s="5" t="s">
        <v>199</v>
      </c>
      <c r="B7" s="21" t="n">
        <f aca="false">COUNTIF('Fee Builder'!$Z$5:$Z$24,"minimum applies")</f>
        <v>1</v>
      </c>
      <c r="C7" s="3" t="s">
        <v>200</v>
      </c>
    </row>
    <row r="8" customFormat="false" ht="15" hidden="false" customHeight="false" outlineLevel="0" collapsed="false">
      <c r="A8" s="5" t="s">
        <v>201</v>
      </c>
      <c r="B8" s="8" t="n">
        <f aca="false">Procurement!Q35</f>
        <v>18824.5</v>
      </c>
      <c r="C8" s="3" t="s">
        <v>202</v>
      </c>
    </row>
    <row r="9" customFormat="false" ht="15" hidden="false" customHeight="false" outlineLevel="0" collapsed="false">
      <c r="A9" s="5" t="s">
        <v>203</v>
      </c>
      <c r="B9" s="8" t="n">
        <f aca="false">Procurement!R35</f>
        <v>3513.5</v>
      </c>
      <c r="C9" s="3" t="s">
        <v>204</v>
      </c>
    </row>
    <row r="10" customFormat="false" ht="15" hidden="false" customHeight="false" outlineLevel="0" collapsed="false">
      <c r="A10" s="5" t="s">
        <v>205</v>
      </c>
      <c r="B10" s="22" t="n">
        <f aca="false">Procurement!S35</f>
        <v>18.66</v>
      </c>
      <c r="C10" s="3" t="s">
        <v>206</v>
      </c>
    </row>
    <row r="11" customFormat="false" ht="15" hidden="false" customHeight="false" outlineLevel="0" collapsed="false">
      <c r="A11" s="5" t="s">
        <v>207</v>
      </c>
      <c r="B11" s="21" t="n">
        <f aca="false">COUNTIF(Procurement!$T$5:$T$34,"&lt;0")</f>
        <v>1</v>
      </c>
      <c r="C11" s="3" t="s">
        <v>208</v>
      </c>
    </row>
    <row r="12" customFormat="false" ht="15" hidden="false" customHeight="false" outlineLevel="0" collapsed="false">
      <c r="A12" s="5" t="s">
        <v>209</v>
      </c>
      <c r="B12" s="5" t="str">
        <f aca="false">IFERROR(INDEX('Fee Builder'!$A$5:$A$24,MATCH(MAX('Fee Builder'!$T$5:$T$24),'Fee Builder'!$T$5:$T$24,0)),"")</f>
        <v>Mill house</v>
      </c>
      <c r="C12" s="3" t="s">
        <v>210</v>
      </c>
    </row>
    <row r="13" customFormat="false" ht="15" hidden="false" customHeight="false" outlineLevel="0" collapsed="false">
      <c r="A13" s="5" t="s">
        <v>211</v>
      </c>
      <c r="B13" s="8" t="n">
        <f aca="false">IFERROR(MAX('Fee Builder'!$T$5:$T$24),0)</f>
        <v>10124.73</v>
      </c>
      <c r="C13" s="3" t="s">
        <v>212</v>
      </c>
    </row>
    <row r="14" customFormat="false" ht="15" hidden="false" customHeight="false" outlineLevel="0" collapsed="false">
      <c r="A14" s="5" t="s">
        <v>213</v>
      </c>
      <c r="B14" s="21" t="n">
        <f aca="false">COUNTIF('Budget Plan'!$P$5:$P$10,"over-allocated")</f>
        <v>1</v>
      </c>
      <c r="C14" s="3" t="s">
        <v>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2026-10-07T07:12:35Z</dcterms:created>
  <dc:creator>openpyxl</dc:creator>
  <dc:description/>
  <dc:language>en-US</dc:language>
  <cp:lastModifiedBy/>
  <dcterms:modified xsi:type="dcterms:W3CDTF">2026-10-07T07:12:35Z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