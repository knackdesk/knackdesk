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Quote" sheetId="3" state="visible" r:id="rId5"/>
    <sheet name="Bar" sheetId="4" state="visible" r:id="rId6"/>
    <sheet name="Event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<sst xmlns="http://schemas.openxmlformats.org/spreadsheetml/2006/main" count="144" uniqueCount="130">
  <si>
    <t xml:space="preserve">Event &amp; Catering Quote Workbook</t>
  </si>
  <si>
    <t xml:space="preserve">by Knackdesk · knackdesk.com</t>
  </si>
  <si>
    <t xml:space="preserve">HOW TO USE</t>
  </si>
  <si>
    <t xml:space="preserve">1. Settings: your labour rates, staffing ratios, setup and minimum hours, drinks-per-guest estimates, target margin and deposit. Every other sheet reads them.</t>
  </si>
  <si>
    <t xml:space="preserve">2. Quote: client, event, guests and hours, then the menu (cost per guest), rentals and other costs. Staffing, bar, total cost, price at your target margin, price per guest, deposit and balance are calculated.</t>
  </si>
  <si>
    <t xml:space="preserve">3. Bar: the drinks estimate for the quote, split by beer, wine and spirits with your cost per serving. Shares must total 100.</t>
  </si>
  <si>
    <t xml:space="preserve">4. Events: one row per event you quoted or ran, with the quoted price and the actual costs. Profit, margin and outstanding balance are calculated, with totals in row 41.</t>
  </si>
  <si>
    <t xml:space="preserve">5. Summary: events tracked, quoted total, cost, profit, margin, average price per guest, events below target margin and money outstanding, read from the Events sheet.</t>
  </si>
  <si>
    <t xml:space="preserve">LEGEND</t>
  </si>
  <si>
    <t xml:space="preserve">Blue text = a cell you type into.   Black text = a formula, leave it alone.   Yellow fill = key inputs.</t>
  </si>
  <si>
    <t xml:space="preserve">DEFINITIONS</t>
  </si>
  <si>
    <t xml:space="preserve">Price at target margin = total cost ÷ (1 − target margin %). A 30% margin means 30% of the price you charge is profit, which is not the same as a 30% markup on cost.</t>
  </si>
  <si>
    <t xml:space="preserve">Staff hours = the larger of (event hours + setup and teardown hours) and the minimum hours per staff member. Staff needed = guests ÷ guests per staff, rounded up.</t>
  </si>
  <si>
    <t xml:space="preserve">Staffing ratios (one server per 25 guests, one bartender per 50) are common starting points, not rules; plated service, buffets and venues differ.</t>
  </si>
  <si>
    <t xml:space="preserve">Drinks per guest defaults (2 in the first hour, 1 each hour after) are estimates; adjust them for your crowd and event type.</t>
  </si>
  <si>
    <t xml:space="preserve">Events: profit = quoted price − actual costs; margin = profit ÷ quoted price. Leave lost events' actual costs blank and remove the quoted price if you do not want them in the totals.</t>
  </si>
  <si>
    <t xml:space="preserve">Support: hello@knackdesk.com</t>
  </si>
  <si>
    <t xml:space="preserve">Arithmetic only; not financial advice.</t>
  </si>
  <si>
    <t xml:space="preserve">Settings</t>
  </si>
  <si>
    <t xml:space="preserve">Server labour rate per hour</t>
  </si>
  <si>
    <t xml:space="preserve">What a server costs you per hour, including any employer costs.</t>
  </si>
  <si>
    <t xml:space="preserve">Bartender rate per hour</t>
  </si>
  <si>
    <t xml:space="preserve">What a bartender costs you per hour.</t>
  </si>
  <si>
    <t xml:space="preserve">Guests per server</t>
  </si>
  <si>
    <t xml:space="preserve">Common starting point; plated service often needs fewer guests per server.</t>
  </si>
  <si>
    <t xml:space="preserve">Guests per bartender</t>
  </si>
  <si>
    <t xml:space="preserve">Common starting point; a full bar or cocktails may need more bartenders.</t>
  </si>
  <si>
    <t xml:space="preserve">Setup and teardown hours</t>
  </si>
  <si>
    <t xml:space="preserve">Added to the event hours for every staff member.</t>
  </si>
  <si>
    <t xml:space="preserve">Minimum hours per staff</t>
  </si>
  <si>
    <t xml:space="preserve">Minimum paid shift length.</t>
  </si>
  <si>
    <t xml:space="preserve">Drinks per guest, first hour</t>
  </si>
  <si>
    <t xml:space="preserve">Estimate; adjust for your crowd.</t>
  </si>
  <si>
    <t xml:space="preserve">Drinks per guest, each later hour</t>
  </si>
  <si>
    <t xml:space="preserve">Target margin (% of price)</t>
  </si>
  <si>
    <t xml:space="preserve">Profit as a share of the price you charge, not a markup on cost.</t>
  </si>
  <si>
    <t xml:space="preserve">Deposit (% of price)</t>
  </si>
  <si>
    <t xml:space="preserve">Share of the price collected up front.</t>
  </si>
  <si>
    <t xml:space="preserve">Quote</t>
  </si>
  <si>
    <t xml:space="preserve">Client</t>
  </si>
  <si>
    <t xml:space="preserve">Sample client</t>
  </si>
  <si>
    <t xml:space="preserve">Event name</t>
  </si>
  <si>
    <t xml:space="preserve">Company dinner</t>
  </si>
  <si>
    <t xml:space="preserve">Event date</t>
  </si>
  <si>
    <t xml:space="preserve">Guests</t>
  </si>
  <si>
    <t xml:space="preserve">Event hours</t>
  </si>
  <si>
    <t xml:space="preserve">Menu: cost per guest for each course or item. Rentals: fixed costs for this event.</t>
  </si>
  <si>
    <t xml:space="preserve">Menu item</t>
  </si>
  <si>
    <t xml:space="preserve">Cost per guest</t>
  </si>
  <si>
    <t xml:space="preserve">Per-guest total</t>
  </si>
  <si>
    <t xml:space="preserve">Event total</t>
  </si>
  <si>
    <t xml:space="preserve">Starter</t>
  </si>
  <si>
    <t xml:space="preserve">Main</t>
  </si>
  <si>
    <t xml:space="preserve">Dessert</t>
  </si>
  <si>
    <t xml:space="preserve">Food total</t>
  </si>
  <si>
    <t xml:space="preserve">Rentals and other costs</t>
  </si>
  <si>
    <t xml:space="preserve">Cost</t>
  </si>
  <si>
    <t xml:space="preserve">Tables and linen</t>
  </si>
  <si>
    <t xml:space="preserve">Sound</t>
  </si>
  <si>
    <t xml:space="preserve">Rentals total</t>
  </si>
  <si>
    <t xml:space="preserve">Staffing</t>
  </si>
  <si>
    <t xml:space="preserve">Hours per staff member</t>
  </si>
  <si>
    <t xml:space="preserve">event hours + setup and teardown, at least the minimum shift</t>
  </si>
  <si>
    <t xml:space="preserve">Servers needed</t>
  </si>
  <si>
    <t xml:space="preserve">guests ÷ guests per server, rounded up</t>
  </si>
  <si>
    <t xml:space="preserve">Server cost</t>
  </si>
  <si>
    <t xml:space="preserve">servers × hours × server rate</t>
  </si>
  <si>
    <t xml:space="preserve">Bartenders needed</t>
  </si>
  <si>
    <t xml:space="preserve">guests ÷ guests per bartender, rounded up</t>
  </si>
  <si>
    <t xml:space="preserve">Bartender cost</t>
  </si>
  <si>
    <t xml:space="preserve">bartenders × hours × bartender rate</t>
  </si>
  <si>
    <t xml:space="preserve">Staffing total</t>
  </si>
  <si>
    <t xml:space="preserve">Quote summary</t>
  </si>
  <si>
    <t xml:space="preserve">Bar total</t>
  </si>
  <si>
    <t xml:space="preserve">from the Bar sheet</t>
  </si>
  <si>
    <t xml:space="preserve">Rentals and other</t>
  </si>
  <si>
    <t xml:space="preserve">Total cost</t>
  </si>
  <si>
    <t xml:space="preserve">Price at target margin</t>
  </si>
  <si>
    <t xml:space="preserve">total cost ÷ (1 − target margin %)</t>
  </si>
  <si>
    <t xml:space="preserve">Profit</t>
  </si>
  <si>
    <t xml:space="preserve">Price per guest</t>
  </si>
  <si>
    <t xml:space="preserve">Deposit</t>
  </si>
  <si>
    <t xml:space="preserve">price × deposit %</t>
  </si>
  <si>
    <t xml:space="preserve">Balance due</t>
  </si>
  <si>
    <t xml:space="preserve">Bar</t>
  </si>
  <si>
    <t xml:space="preserve">Guests (from Quote)</t>
  </si>
  <si>
    <t xml:space="preserve">Event hours (from Quote)</t>
  </si>
  <si>
    <t xml:space="preserve">Drinks total</t>
  </si>
  <si>
    <t xml:space="preserve">guests × (first-hour drinks + later-hour drinks × (hours − 1))</t>
  </si>
  <si>
    <t xml:space="preserve">Drink type</t>
  </si>
  <si>
    <t xml:space="preserve">Share %</t>
  </si>
  <si>
    <t xml:space="preserve">Drinks</t>
  </si>
  <si>
    <t xml:space="preserve">Cost per serving</t>
  </si>
  <si>
    <t xml:space="preserve">Beer</t>
  </si>
  <si>
    <t xml:space="preserve">Wine</t>
  </si>
  <si>
    <t xml:space="preserve">Spirits</t>
  </si>
  <si>
    <t xml:space="preserve">Total</t>
  </si>
  <si>
    <t xml:space="preserve">Bar cost per guest</t>
  </si>
  <si>
    <t xml:space="preserve">Events</t>
  </si>
  <si>
    <t xml:space="preserve">One row per event. Enter the quoted price and the actual costs once known; profit, margin and outstanding are calculated.</t>
  </si>
  <si>
    <t xml:space="preserve">Event</t>
  </si>
  <si>
    <t xml:space="preserve">Date</t>
  </si>
  <si>
    <t xml:space="preserve">Status</t>
  </si>
  <si>
    <t xml:space="preserve">Quoted price</t>
  </si>
  <si>
    <t xml:space="preserve">Actual food</t>
  </si>
  <si>
    <t xml:space="preserve">Actual staffing</t>
  </si>
  <si>
    <t xml:space="preserve">Actual bar</t>
  </si>
  <si>
    <t xml:space="preserve">Actual rentals</t>
  </si>
  <si>
    <t xml:space="preserve">Margin %</t>
  </si>
  <si>
    <t xml:space="preserve">Invoiced</t>
  </si>
  <si>
    <t xml:space="preserve">Paid</t>
  </si>
  <si>
    <t xml:space="preserve">Outstanding</t>
  </si>
  <si>
    <t xml:space="preserve">Harbour wedding</t>
  </si>
  <si>
    <t xml:space="preserve">Smith family</t>
  </si>
  <si>
    <t xml:space="preserve">done</t>
  </si>
  <si>
    <t xml:space="preserve">Summer staff party</t>
  </si>
  <si>
    <t xml:space="preserve">Acme Ltd</t>
  </si>
  <si>
    <t xml:space="preserve">50th birthday</t>
  </si>
  <si>
    <t xml:space="preserve">J. Lee</t>
  </si>
  <si>
    <t xml:space="preserve">confirmed</t>
  </si>
  <si>
    <t xml:space="preserve">Summary</t>
  </si>
  <si>
    <t xml:space="preserve">Events tracked</t>
  </si>
  <si>
    <t xml:space="preserve">Quoted total</t>
  </si>
  <si>
    <t xml:space="preserve">profit ÷ quoted total</t>
  </si>
  <si>
    <t xml:space="preserve">Total guests</t>
  </si>
  <si>
    <t xml:space="preserve">Average price per guest</t>
  </si>
  <si>
    <t xml:space="preserve">quoted total ÷ total guests</t>
  </si>
  <si>
    <t xml:space="preserve">Events below target margin</t>
  </si>
  <si>
    <t xml:space="preserve">margin % under Settings target</t>
  </si>
  <si>
    <t xml:space="preserve">invoiced − paid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</si>
</sst>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"/>
    <numFmt numFmtId="167" formatCode="0.0"/>
    <numFmt numFmtId="168" formatCode="yyyy\-mm\-dd"/>
    <numFmt numFmtId="169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5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7.35" hidden="false" customHeight="false" outlineLevel="0" collapsed="false">
      <c r="A1" s="2" t="s">
        <v>18</v>
      </c>
    </row>
    <row r="2" customFormat="false" ht="15" hidden="false" customHeight="false" outlineLevel="0" collapsed="false">
      <c r="A2" s="4" t="s">
        <v>19</v>
      </c>
      <c r="B2" s="6" t="n">
        <v>22</v>
      </c>
      <c r="C2" s="3" t="s">
        <v>20</v>
      </c>
    </row>
    <row r="3" customFormat="false" ht="15" hidden="false" customHeight="false" outlineLevel="0" collapsed="false">
      <c r="A3" s="4" t="s">
        <v>21</v>
      </c>
      <c r="B3" s="6" t="n">
        <v>25</v>
      </c>
      <c r="C3" s="3" t="s">
        <v>22</v>
      </c>
    </row>
    <row r="4" customFormat="false" ht="15" hidden="false" customHeight="false" outlineLevel="0" collapsed="false">
      <c r="A4" s="4" t="s">
        <v>23</v>
      </c>
      <c r="B4" s="7" t="n">
        <v>25</v>
      </c>
      <c r="C4" s="3" t="s">
        <v>24</v>
      </c>
    </row>
    <row r="5" customFormat="false" ht="15" hidden="false" customHeight="false" outlineLevel="0" collapsed="false">
      <c r="A5" s="4" t="s">
        <v>25</v>
      </c>
      <c r="B5" s="7" t="n">
        <v>50</v>
      </c>
      <c r="C5" s="3" t="s">
        <v>26</v>
      </c>
    </row>
    <row r="6" customFormat="false" ht="15" hidden="false" customHeight="false" outlineLevel="0" collapsed="false">
      <c r="A6" s="4" t="s">
        <v>27</v>
      </c>
      <c r="B6" s="8" t="n">
        <v>2</v>
      </c>
      <c r="C6" s="3" t="s">
        <v>28</v>
      </c>
    </row>
    <row r="7" customFormat="false" ht="15" hidden="false" customHeight="false" outlineLevel="0" collapsed="false">
      <c r="A7" s="4" t="s">
        <v>29</v>
      </c>
      <c r="B7" s="8" t="n">
        <v>4</v>
      </c>
      <c r="C7" s="3" t="s">
        <v>30</v>
      </c>
    </row>
    <row r="8" customFormat="false" ht="15" hidden="false" customHeight="false" outlineLevel="0" collapsed="false">
      <c r="A8" s="4" t="s">
        <v>31</v>
      </c>
      <c r="B8" s="8" t="n">
        <v>2</v>
      </c>
      <c r="C8" s="3" t="s">
        <v>32</v>
      </c>
    </row>
    <row r="9" customFormat="false" ht="15" hidden="false" customHeight="false" outlineLevel="0" collapsed="false">
      <c r="A9" s="4" t="s">
        <v>33</v>
      </c>
      <c r="B9" s="8" t="n">
        <v>1</v>
      </c>
      <c r="C9" s="3" t="s">
        <v>32</v>
      </c>
    </row>
    <row r="10" customFormat="false" ht="15" hidden="false" customHeight="false" outlineLevel="0" collapsed="false">
      <c r="A10" s="4" t="s">
        <v>34</v>
      </c>
      <c r="B10" s="8" t="n">
        <v>30</v>
      </c>
      <c r="C10" s="3" t="s">
        <v>35</v>
      </c>
    </row>
    <row r="11" customFormat="false" ht="15" hidden="false" customHeight="false" outlineLevel="0" collapsed="false">
      <c r="A11" s="4" t="s">
        <v>36</v>
      </c>
      <c r="B11" s="8" t="n">
        <v>40</v>
      </c>
      <c r="C11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</cols>
  <sheetData>
    <row r="1" customFormat="false" ht="17.35" hidden="false" customHeight="false" outlineLevel="0" collapsed="false">
      <c r="A1" s="2" t="s">
        <v>38</v>
      </c>
    </row>
    <row r="2" customFormat="false" ht="15" hidden="false" customHeight="false" outlineLevel="0" collapsed="false">
      <c r="A2" s="4" t="s">
        <v>39</v>
      </c>
      <c r="B2" s="9" t="s">
        <v>40</v>
      </c>
    </row>
    <row r="3" customFormat="false" ht="15" hidden="false" customHeight="false" outlineLevel="0" collapsed="false">
      <c r="A3" s="4" t="s">
        <v>41</v>
      </c>
      <c r="B3" s="9" t="s">
        <v>42</v>
      </c>
    </row>
    <row r="4" customFormat="false" ht="15" hidden="false" customHeight="false" outlineLevel="0" collapsed="false">
      <c r="A4" s="4" t="s">
        <v>43</v>
      </c>
      <c r="B4" s="10" t="n">
        <v>46558</v>
      </c>
    </row>
    <row r="5" customFormat="false" ht="15" hidden="false" customHeight="false" outlineLevel="0" collapsed="false">
      <c r="A5" s="4" t="s">
        <v>44</v>
      </c>
      <c r="B5" s="7" t="n">
        <v>100</v>
      </c>
    </row>
    <row r="6" customFormat="false" ht="15" hidden="false" customHeight="false" outlineLevel="0" collapsed="false">
      <c r="A6" s="4" t="s">
        <v>45</v>
      </c>
      <c r="B6" s="8" t="n">
        <v>5</v>
      </c>
    </row>
    <row r="7" customFormat="false" ht="15" hidden="false" customHeight="false" outlineLevel="0" collapsed="false">
      <c r="A7" s="3" t="s">
        <v>46</v>
      </c>
    </row>
    <row r="8" customFormat="false" ht="15" hidden="false" customHeight="false" outlineLevel="0" collapsed="false">
      <c r="A8" s="11" t="s">
        <v>47</v>
      </c>
      <c r="B8" s="11" t="s">
        <v>48</v>
      </c>
      <c r="C8" s="11" t="s">
        <v>49</v>
      </c>
      <c r="D8" s="11" t="s">
        <v>50</v>
      </c>
    </row>
    <row r="9" customFormat="false" ht="15" hidden="false" customHeight="false" outlineLevel="0" collapsed="false">
      <c r="A9" s="12" t="s">
        <v>51</v>
      </c>
      <c r="B9" s="13" t="n">
        <v>6</v>
      </c>
      <c r="C9" s="14" t="n">
        <f aca="false">IF(A9="","",B9)</f>
        <v>6</v>
      </c>
      <c r="D9" s="14" t="n">
        <f aca="false">IF(A9="","",ROUND(B9*$B$5,2))</f>
        <v>600</v>
      </c>
    </row>
    <row r="10" customFormat="false" ht="15" hidden="false" customHeight="false" outlineLevel="0" collapsed="false">
      <c r="A10" s="12" t="s">
        <v>52</v>
      </c>
      <c r="B10" s="6" t="n">
        <v>14</v>
      </c>
      <c r="C10" s="14" t="n">
        <f aca="false">IF(A10="","",B10)</f>
        <v>14</v>
      </c>
      <c r="D10" s="14" t="n">
        <f aca="false">IF(A10="","",ROUND(B10*$B$5,2))</f>
        <v>1400</v>
      </c>
    </row>
    <row r="11" customFormat="false" ht="15" hidden="false" customHeight="false" outlineLevel="0" collapsed="false">
      <c r="A11" s="12" t="s">
        <v>53</v>
      </c>
      <c r="B11" s="13" t="n">
        <v>5</v>
      </c>
      <c r="C11" s="14" t="n">
        <f aca="false">IF(A11="","",B11)</f>
        <v>5</v>
      </c>
      <c r="D11" s="14" t="n">
        <f aca="false">IF(A11="","",ROUND(B11*$B$5,2))</f>
        <v>500</v>
      </c>
    </row>
    <row r="12" customFormat="false" ht="15" hidden="false" customHeight="false" outlineLevel="0" collapsed="false">
      <c r="A12" s="12"/>
      <c r="B12" s="13"/>
      <c r="C12" s="14" t="str">
        <f aca="false">IF(A12="","",B12)</f>
        <v/>
      </c>
      <c r="D12" s="14" t="str">
        <f aca="false">IF(A12="","",ROUND(B12*$B$5,2))</f>
        <v/>
      </c>
    </row>
    <row r="13" customFormat="false" ht="15" hidden="false" customHeight="false" outlineLevel="0" collapsed="false">
      <c r="A13" s="12"/>
      <c r="B13" s="13"/>
      <c r="C13" s="14" t="str">
        <f aca="false">IF(A13="","",B13)</f>
        <v/>
      </c>
      <c r="D13" s="14" t="str">
        <f aca="false">IF(A13="","",ROUND(B13*$B$5,2))</f>
        <v/>
      </c>
    </row>
    <row r="14" customFormat="false" ht="15" hidden="false" customHeight="false" outlineLevel="0" collapsed="false">
      <c r="A14" s="12"/>
      <c r="B14" s="13"/>
      <c r="C14" s="14" t="str">
        <f aca="false">IF(A14="","",B14)</f>
        <v/>
      </c>
      <c r="D14" s="14" t="str">
        <f aca="false">IF(A14="","",ROUND(B14*$B$5,2))</f>
        <v/>
      </c>
    </row>
    <row r="15" customFormat="false" ht="15" hidden="false" customHeight="false" outlineLevel="0" collapsed="false">
      <c r="A15" s="12"/>
      <c r="B15" s="13"/>
      <c r="C15" s="14" t="str">
        <f aca="false">IF(A15="","",B15)</f>
        <v/>
      </c>
      <c r="D15" s="14" t="str">
        <f aca="false">IF(A15="","",ROUND(B15*$B$5,2))</f>
        <v/>
      </c>
    </row>
    <row r="16" customFormat="false" ht="15" hidden="false" customHeight="false" outlineLevel="0" collapsed="false">
      <c r="A16" s="12"/>
      <c r="B16" s="13"/>
      <c r="C16" s="14" t="str">
        <f aca="false">IF(A16="","",B16)</f>
        <v/>
      </c>
      <c r="D16" s="14" t="str">
        <f aca="false">IF(A16="","",ROUND(B16*$B$5,2))</f>
        <v/>
      </c>
    </row>
    <row r="17" customFormat="false" ht="15" hidden="false" customHeight="false" outlineLevel="0" collapsed="false">
      <c r="A17" s="12"/>
      <c r="B17" s="13"/>
      <c r="C17" s="14" t="str">
        <f aca="false">IF(A17="","",B17)</f>
        <v/>
      </c>
      <c r="D17" s="14" t="str">
        <f aca="false">IF(A17="","",ROUND(B17*$B$5,2))</f>
        <v/>
      </c>
    </row>
    <row r="18" customFormat="false" ht="15" hidden="false" customHeight="false" outlineLevel="0" collapsed="false">
      <c r="A18" s="12"/>
      <c r="B18" s="13"/>
      <c r="C18" s="14" t="str">
        <f aca="false">IF(A18="","",B18)</f>
        <v/>
      </c>
      <c r="D18" s="14" t="str">
        <f aca="false">IF(A18="","",ROUND(B18*$B$5,2))</f>
        <v/>
      </c>
    </row>
    <row r="19" customFormat="false" ht="15" hidden="false" customHeight="false" outlineLevel="0" collapsed="false">
      <c r="A19" s="12"/>
      <c r="B19" s="13"/>
      <c r="C19" s="14" t="str">
        <f aca="false">IF(A19="","",B19)</f>
        <v/>
      </c>
      <c r="D19" s="14" t="str">
        <f aca="false">IF(A19="","",ROUND(B19*$B$5,2))</f>
        <v/>
      </c>
    </row>
    <row r="20" customFormat="false" ht="15" hidden="false" customHeight="false" outlineLevel="0" collapsed="false">
      <c r="A20" s="12"/>
      <c r="B20" s="13"/>
      <c r="C20" s="14" t="str">
        <f aca="false">IF(A20="","",B20)</f>
        <v/>
      </c>
      <c r="D20" s="14" t="str">
        <f aca="false">IF(A20="","",ROUND(B20*$B$5,2))</f>
        <v/>
      </c>
    </row>
    <row r="21" customFormat="false" ht="15" hidden="false" customHeight="false" outlineLevel="0" collapsed="false">
      <c r="A21" s="5" t="s">
        <v>54</v>
      </c>
      <c r="C21" s="15" t="n">
        <f aca="false">SUM(C9:C20)</f>
        <v>25</v>
      </c>
      <c r="D21" s="15" t="n">
        <f aca="false">SUM(D9:D20)</f>
        <v>2500</v>
      </c>
    </row>
    <row r="23" customFormat="false" ht="15" hidden="false" customHeight="false" outlineLevel="0" collapsed="false">
      <c r="A23" s="11" t="s">
        <v>55</v>
      </c>
      <c r="B23" s="11" t="s">
        <v>56</v>
      </c>
    </row>
    <row r="24" customFormat="false" ht="15" hidden="false" customHeight="false" outlineLevel="0" collapsed="false">
      <c r="A24" s="12" t="s">
        <v>57</v>
      </c>
      <c r="B24" s="13" t="n">
        <v>450</v>
      </c>
    </row>
    <row r="25" customFormat="false" ht="15" hidden="false" customHeight="false" outlineLevel="0" collapsed="false">
      <c r="A25" s="12" t="s">
        <v>58</v>
      </c>
      <c r="B25" s="13" t="n">
        <v>300</v>
      </c>
    </row>
    <row r="26" customFormat="false" ht="15" hidden="false" customHeight="false" outlineLevel="0" collapsed="false">
      <c r="A26" s="12"/>
      <c r="B26" s="13"/>
    </row>
    <row r="27" customFormat="false" ht="15" hidden="false" customHeight="false" outlineLevel="0" collapsed="false">
      <c r="A27" s="12"/>
      <c r="B27" s="13"/>
    </row>
    <row r="28" customFormat="false" ht="15" hidden="false" customHeight="false" outlineLevel="0" collapsed="false">
      <c r="A28" s="12"/>
      <c r="B28" s="13"/>
    </row>
    <row r="29" customFormat="false" ht="15" hidden="false" customHeight="false" outlineLevel="0" collapsed="false">
      <c r="A29" s="12"/>
      <c r="B29" s="13"/>
    </row>
    <row r="30" customFormat="false" ht="15" hidden="false" customHeight="false" outlineLevel="0" collapsed="false">
      <c r="A30" s="12"/>
      <c r="B30" s="13"/>
    </row>
    <row r="31" customFormat="false" ht="15" hidden="false" customHeight="false" outlineLevel="0" collapsed="false">
      <c r="A31" s="12"/>
      <c r="B31" s="13"/>
    </row>
    <row r="32" customFormat="false" ht="15" hidden="false" customHeight="false" outlineLevel="0" collapsed="false">
      <c r="A32" s="12"/>
      <c r="B32" s="13"/>
    </row>
    <row r="33" customFormat="false" ht="15" hidden="false" customHeight="false" outlineLevel="0" collapsed="false">
      <c r="A33" s="12"/>
      <c r="B33" s="13"/>
    </row>
    <row r="34" customFormat="false" ht="15" hidden="false" customHeight="false" outlineLevel="0" collapsed="false">
      <c r="A34" s="5" t="s">
        <v>59</v>
      </c>
      <c r="B34" s="15" t="n">
        <f aca="false">SUM(B24:B33)</f>
        <v>750</v>
      </c>
    </row>
    <row r="36" customFormat="false" ht="17.35" hidden="false" customHeight="false" outlineLevel="0" collapsed="false">
      <c r="A36" s="2" t="s">
        <v>60</v>
      </c>
    </row>
    <row r="37" customFormat="false" ht="15" hidden="false" customHeight="false" outlineLevel="0" collapsed="false">
      <c r="A37" s="4" t="s">
        <v>61</v>
      </c>
      <c r="B37" s="16" t="n">
        <f aca="false">MAX($B$6+Settings!$B$6,Settings!$B$7)</f>
        <v>7</v>
      </c>
      <c r="C37" s="3" t="s">
        <v>62</v>
      </c>
    </row>
    <row r="38" customFormat="false" ht="15" hidden="false" customHeight="false" outlineLevel="0" collapsed="false">
      <c r="A38" s="4" t="s">
        <v>63</v>
      </c>
      <c r="B38" s="17" t="n">
        <f aca="false">IFERROR(ROUNDUP($B$5/Settings!$B$4,0),0)</f>
        <v>4</v>
      </c>
      <c r="C38" s="3" t="s">
        <v>64</v>
      </c>
    </row>
    <row r="39" customFormat="false" ht="15" hidden="false" customHeight="false" outlineLevel="0" collapsed="false">
      <c r="A39" s="4" t="s">
        <v>65</v>
      </c>
      <c r="B39" s="14" t="n">
        <f aca="false">ROUND(B38*B37*Settings!$B$2,2)</f>
        <v>616</v>
      </c>
      <c r="C39" s="3" t="s">
        <v>66</v>
      </c>
    </row>
    <row r="40" customFormat="false" ht="15" hidden="false" customHeight="false" outlineLevel="0" collapsed="false">
      <c r="A40" s="4" t="s">
        <v>67</v>
      </c>
      <c r="B40" s="17" t="n">
        <f aca="false">IFERROR(ROUNDUP($B$5/Settings!$B$5,0),0)</f>
        <v>2</v>
      </c>
      <c r="C40" s="3" t="s">
        <v>68</v>
      </c>
    </row>
    <row r="41" customFormat="false" ht="15" hidden="false" customHeight="false" outlineLevel="0" collapsed="false">
      <c r="A41" s="4" t="s">
        <v>69</v>
      </c>
      <c r="B41" s="14" t="n">
        <f aca="false">ROUND(B40*B37*Settings!$B$3,2)</f>
        <v>350</v>
      </c>
      <c r="C41" s="3" t="s">
        <v>70</v>
      </c>
    </row>
    <row r="42" customFormat="false" ht="15" hidden="false" customHeight="false" outlineLevel="0" collapsed="false">
      <c r="A42" s="5" t="s">
        <v>71</v>
      </c>
      <c r="B42" s="15" t="n">
        <f aca="false">B39+B41</f>
        <v>966</v>
      </c>
    </row>
    <row r="44" customFormat="false" ht="17.35" hidden="false" customHeight="false" outlineLevel="0" collapsed="false">
      <c r="A44" s="2" t="s">
        <v>72</v>
      </c>
    </row>
    <row r="45" customFormat="false" ht="15" hidden="false" customHeight="false" outlineLevel="0" collapsed="false">
      <c r="A45" s="4" t="s">
        <v>54</v>
      </c>
      <c r="B45" s="14" t="n">
        <f aca="false">D21</f>
        <v>2500</v>
      </c>
    </row>
    <row r="46" customFormat="false" ht="15" hidden="false" customHeight="false" outlineLevel="0" collapsed="false">
      <c r="A46" s="4" t="s">
        <v>71</v>
      </c>
      <c r="B46" s="14" t="n">
        <f aca="false">B42</f>
        <v>966</v>
      </c>
    </row>
    <row r="47" customFormat="false" ht="15" hidden="false" customHeight="false" outlineLevel="0" collapsed="false">
      <c r="A47" s="4" t="s">
        <v>73</v>
      </c>
      <c r="B47" s="14" t="n">
        <f aca="false">Bar!E9</f>
        <v>1800</v>
      </c>
      <c r="C47" s="3" t="s">
        <v>74</v>
      </c>
    </row>
    <row r="48" customFormat="false" ht="15" hidden="false" customHeight="false" outlineLevel="0" collapsed="false">
      <c r="A48" s="4" t="s">
        <v>75</v>
      </c>
      <c r="B48" s="14" t="n">
        <f aca="false">B34</f>
        <v>750</v>
      </c>
    </row>
    <row r="49" customFormat="false" ht="15" hidden="false" customHeight="false" outlineLevel="0" collapsed="false">
      <c r="A49" s="5" t="s">
        <v>76</v>
      </c>
      <c r="B49" s="15" t="n">
        <f aca="false">B45+B46+B47+B48</f>
        <v>6016</v>
      </c>
    </row>
    <row r="50" customFormat="false" ht="15" hidden="false" customHeight="false" outlineLevel="0" collapsed="false">
      <c r="A50" s="5" t="s">
        <v>77</v>
      </c>
      <c r="B50" s="15" t="n">
        <f aca="false">IFERROR(ROUND(B49/(1-Settings!$B$10/100),2),0)</f>
        <v>8594.29</v>
      </c>
      <c r="C50" s="3" t="s">
        <v>78</v>
      </c>
    </row>
    <row r="51" customFormat="false" ht="15" hidden="false" customHeight="false" outlineLevel="0" collapsed="false">
      <c r="A51" s="4" t="s">
        <v>79</v>
      </c>
      <c r="B51" s="14" t="n">
        <f aca="false">B50-B49</f>
        <v>2578.29</v>
      </c>
    </row>
    <row r="52" customFormat="false" ht="15" hidden="false" customHeight="false" outlineLevel="0" collapsed="false">
      <c r="A52" s="5" t="s">
        <v>80</v>
      </c>
      <c r="B52" s="15" t="n">
        <f aca="false">IFERROR(ROUND(B50/$B$5,2),0)</f>
        <v>85.94</v>
      </c>
    </row>
    <row r="53" customFormat="false" ht="15" hidden="false" customHeight="false" outlineLevel="0" collapsed="false">
      <c r="A53" s="4" t="s">
        <v>81</v>
      </c>
      <c r="B53" s="14" t="n">
        <f aca="false">ROUND(B50*Settings!$B$11/100,2)</f>
        <v>3437.72</v>
      </c>
      <c r="C53" s="3" t="s">
        <v>82</v>
      </c>
    </row>
    <row r="54" customFormat="false" ht="15" hidden="false" customHeight="false" outlineLevel="0" collapsed="false">
      <c r="A54" s="4" t="s">
        <v>83</v>
      </c>
      <c r="B54" s="14" t="n">
        <f aca="false">B50-B53</f>
        <v>5156.57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8"/>
  </cols>
  <sheetData>
    <row r="1" customFormat="false" ht="17.35" hidden="false" customHeight="false" outlineLevel="0" collapsed="false">
      <c r="A1" s="2" t="s">
        <v>84</v>
      </c>
    </row>
    <row r="2" customFormat="false" ht="15" hidden="false" customHeight="false" outlineLevel="0" collapsed="false">
      <c r="A2" s="4" t="s">
        <v>85</v>
      </c>
      <c r="B2" s="17" t="n">
        <f aca="false">Quote!$B$5</f>
        <v>100</v>
      </c>
    </row>
    <row r="3" customFormat="false" ht="15" hidden="false" customHeight="false" outlineLevel="0" collapsed="false">
      <c r="A3" s="4" t="s">
        <v>86</v>
      </c>
      <c r="B3" s="16" t="n">
        <f aca="false">Quote!$B$6</f>
        <v>5</v>
      </c>
    </row>
    <row r="4" customFormat="false" ht="15" hidden="false" customHeight="false" outlineLevel="0" collapsed="false">
      <c r="A4" s="5" t="s">
        <v>87</v>
      </c>
      <c r="B4" s="18" t="n">
        <f aca="false">ROUND(Quote!$B$5*(Settings!$B$8+Settings!$B$9*MAX(Quote!$B$6-1,0)),0)</f>
        <v>600</v>
      </c>
      <c r="C4" s="3" t="s">
        <v>88</v>
      </c>
    </row>
    <row r="5" customFormat="false" ht="26.85" hidden="false" customHeight="false" outlineLevel="0" collapsed="false">
      <c r="A5" s="11" t="s">
        <v>89</v>
      </c>
      <c r="B5" s="11" t="s">
        <v>90</v>
      </c>
      <c r="C5" s="11" t="s">
        <v>91</v>
      </c>
      <c r="D5" s="11" t="s">
        <v>92</v>
      </c>
      <c r="E5" s="11" t="s">
        <v>56</v>
      </c>
    </row>
    <row r="6" customFormat="false" ht="15" hidden="false" customHeight="false" outlineLevel="0" collapsed="false">
      <c r="A6" s="12" t="s">
        <v>93</v>
      </c>
      <c r="B6" s="8" t="n">
        <v>40</v>
      </c>
      <c r="C6" s="17" t="n">
        <f aca="false">IF(A6="","",ROUND($B$4*B6/100,0))</f>
        <v>240</v>
      </c>
      <c r="D6" s="6" t="n">
        <v>2.5</v>
      </c>
      <c r="E6" s="14" t="n">
        <f aca="false">IF(A6="","",ROUND(C6*D6,2))</f>
        <v>600</v>
      </c>
    </row>
    <row r="7" customFormat="false" ht="15" hidden="false" customHeight="false" outlineLevel="0" collapsed="false">
      <c r="A7" s="12" t="s">
        <v>94</v>
      </c>
      <c r="B7" s="8" t="n">
        <v>40</v>
      </c>
      <c r="C7" s="17" t="n">
        <f aca="false">IF(A7="","",ROUND($B$4*B7/100,0))</f>
        <v>240</v>
      </c>
      <c r="D7" s="6" t="n">
        <v>3</v>
      </c>
      <c r="E7" s="14" t="n">
        <f aca="false">IF(A7="","",ROUND(C7*D7,2))</f>
        <v>720</v>
      </c>
    </row>
    <row r="8" customFormat="false" ht="15" hidden="false" customHeight="false" outlineLevel="0" collapsed="false">
      <c r="A8" s="12" t="s">
        <v>95</v>
      </c>
      <c r="B8" s="8" t="n">
        <v>20</v>
      </c>
      <c r="C8" s="17" t="n">
        <f aca="false">IF(A8="","",ROUND($B$4*B8/100,0))</f>
        <v>120</v>
      </c>
      <c r="D8" s="6" t="n">
        <v>4</v>
      </c>
      <c r="E8" s="14" t="n">
        <f aca="false">IF(A8="","",ROUND(C8*D8,2))</f>
        <v>480</v>
      </c>
    </row>
    <row r="9" customFormat="false" ht="15" hidden="false" customHeight="false" outlineLevel="0" collapsed="false">
      <c r="A9" s="5" t="s">
        <v>96</v>
      </c>
      <c r="B9" s="19" t="n">
        <f aca="false">SUM(B6:B8)</f>
        <v>100</v>
      </c>
      <c r="C9" s="18" t="n">
        <f aca="false">SUM(C6:C8)</f>
        <v>600</v>
      </c>
      <c r="E9" s="15" t="n">
        <f aca="false">SUM(E6:E8)</f>
        <v>1800</v>
      </c>
      <c r="F9" s="20" t="str">
        <f aca="false">IF(ROUND(B9,2)=100,"","Shares must total 100")</f>
        <v/>
      </c>
    </row>
    <row r="10" customFormat="false" ht="15" hidden="false" customHeight="false" outlineLevel="0" collapsed="false">
      <c r="A10" s="5" t="s">
        <v>97</v>
      </c>
      <c r="B10" s="15" t="n">
        <f aca="false">IFERROR(ROUND(E9/B2,2),0)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10" min="7" style="1" width="12"/>
    <col collapsed="false" customWidth="true" hidden="false" outlineLevel="0" max="12" min="11" style="1" width="13"/>
    <col collapsed="false" customWidth="true" hidden="false" outlineLevel="0" max="13" min="13" style="1" width="10"/>
    <col collapsed="false" customWidth="true" hidden="false" outlineLevel="0" max="16" min="14" style="1" width="13"/>
  </cols>
  <sheetData>
    <row r="1" customFormat="false" ht="17.35" hidden="false" customHeight="false" outlineLevel="0" collapsed="false">
      <c r="A1" s="2" t="s">
        <v>98</v>
      </c>
    </row>
    <row r="2" customFormat="false" ht="15" hidden="false" customHeight="false" outlineLevel="0" collapsed="false">
      <c r="A2" s="3" t="s">
        <v>99</v>
      </c>
    </row>
    <row r="4" customFormat="false" ht="26.85" hidden="false" customHeight="false" outlineLevel="0" collapsed="false">
      <c r="A4" s="11" t="s">
        <v>100</v>
      </c>
      <c r="B4" s="11" t="s">
        <v>101</v>
      </c>
      <c r="C4" s="11" t="s">
        <v>39</v>
      </c>
      <c r="D4" s="11" t="s">
        <v>44</v>
      </c>
      <c r="E4" s="11" t="s">
        <v>102</v>
      </c>
      <c r="F4" s="11" t="s">
        <v>103</v>
      </c>
      <c r="G4" s="11" t="s">
        <v>104</v>
      </c>
      <c r="H4" s="11" t="s">
        <v>105</v>
      </c>
      <c r="I4" s="11" t="s">
        <v>106</v>
      </c>
      <c r="J4" s="11" t="s">
        <v>107</v>
      </c>
      <c r="K4" s="11" t="s">
        <v>76</v>
      </c>
      <c r="L4" s="11" t="s">
        <v>79</v>
      </c>
      <c r="M4" s="11" t="s">
        <v>108</v>
      </c>
      <c r="N4" s="11" t="s">
        <v>109</v>
      </c>
      <c r="O4" s="11" t="s">
        <v>110</v>
      </c>
      <c r="P4" s="11" t="s">
        <v>111</v>
      </c>
    </row>
    <row r="5" customFormat="false" ht="15" hidden="false" customHeight="false" outlineLevel="0" collapsed="false">
      <c r="A5" s="9" t="s">
        <v>112</v>
      </c>
      <c r="B5" s="21" t="n">
        <v>46158</v>
      </c>
      <c r="C5" s="12" t="s">
        <v>113</v>
      </c>
      <c r="D5" s="22" t="n">
        <v>120</v>
      </c>
      <c r="E5" s="12" t="s">
        <v>114</v>
      </c>
      <c r="F5" s="6" t="n">
        <v>10600</v>
      </c>
      <c r="G5" s="13" t="n">
        <v>3600</v>
      </c>
      <c r="H5" s="13" t="n">
        <v>1450</v>
      </c>
      <c r="I5" s="13" t="n">
        <v>1300</v>
      </c>
      <c r="J5" s="13" t="n">
        <v>900</v>
      </c>
      <c r="K5" s="14" t="n">
        <f aca="false">IF(A5="","",G5+H5+I5+J5)</f>
        <v>7250</v>
      </c>
      <c r="L5" s="14" t="n">
        <f aca="false">IF(A5="","",F5-K5)</f>
        <v>3350</v>
      </c>
      <c r="M5" s="23" t="n">
        <f aca="false">IF(A5="","",IFERROR(ROUND(L5/F5*100,2),""))</f>
        <v>31.6</v>
      </c>
      <c r="N5" s="13" t="n">
        <v>10600</v>
      </c>
      <c r="O5" s="13" t="n">
        <v>10600</v>
      </c>
      <c r="P5" s="14" t="n">
        <f aca="false">IF(A5="","",N5-O5)</f>
        <v>0</v>
      </c>
    </row>
    <row r="6" customFormat="false" ht="15" hidden="false" customHeight="false" outlineLevel="0" collapsed="false">
      <c r="A6" s="12" t="s">
        <v>115</v>
      </c>
      <c r="B6" s="21" t="n">
        <v>46214</v>
      </c>
      <c r="C6" s="12" t="s">
        <v>116</v>
      </c>
      <c r="D6" s="22" t="n">
        <v>80</v>
      </c>
      <c r="E6" s="12" t="s">
        <v>114</v>
      </c>
      <c r="F6" s="13" t="n">
        <v>6300</v>
      </c>
      <c r="G6" s="13" t="n">
        <v>2100</v>
      </c>
      <c r="H6" s="13" t="n">
        <v>980</v>
      </c>
      <c r="I6" s="13" t="n">
        <v>820</v>
      </c>
      <c r="J6" s="13" t="n">
        <v>450</v>
      </c>
      <c r="K6" s="14" t="n">
        <f aca="false">IF(A6="","",G6+H6+I6+J6)</f>
        <v>4350</v>
      </c>
      <c r="L6" s="14" t="n">
        <f aca="false">IF(A6="","",F6-K6)</f>
        <v>1950</v>
      </c>
      <c r="M6" s="23" t="n">
        <f aca="false">IF(A6="","",IFERROR(ROUND(L6/F6*100,2),""))</f>
        <v>30.95</v>
      </c>
      <c r="N6" s="13" t="n">
        <v>6300</v>
      </c>
      <c r="O6" s="13" t="n">
        <v>3000</v>
      </c>
      <c r="P6" s="14" t="n">
        <f aca="false">IF(A6="","",N6-O6)</f>
        <v>3300</v>
      </c>
    </row>
    <row r="7" customFormat="false" ht="15" hidden="false" customHeight="false" outlineLevel="0" collapsed="false">
      <c r="A7" s="12" t="s">
        <v>117</v>
      </c>
      <c r="B7" s="21" t="n">
        <v>46291</v>
      </c>
      <c r="C7" s="12" t="s">
        <v>118</v>
      </c>
      <c r="D7" s="22" t="n">
        <v>45</v>
      </c>
      <c r="E7" s="12" t="s">
        <v>119</v>
      </c>
      <c r="F7" s="13" t="n">
        <v>2900</v>
      </c>
      <c r="G7" s="13" t="n">
        <v>950</v>
      </c>
      <c r="H7" s="13" t="n">
        <v>600</v>
      </c>
      <c r="I7" s="13" t="n">
        <v>520</v>
      </c>
      <c r="J7" s="13" t="n">
        <v>300</v>
      </c>
      <c r="K7" s="14" t="n">
        <f aca="false">IF(A7="","",G7+H7+I7+J7)</f>
        <v>2370</v>
      </c>
      <c r="L7" s="14" t="n">
        <f aca="false">IF(A7="","",F7-K7)</f>
        <v>530</v>
      </c>
      <c r="M7" s="23" t="n">
        <f aca="false">IF(A7="","",IFERROR(ROUND(L7/F7*100,2),""))</f>
        <v>18.28</v>
      </c>
      <c r="N7" s="13" t="n">
        <v>1160</v>
      </c>
      <c r="O7" s="13" t="n">
        <v>1160</v>
      </c>
      <c r="P7" s="14" t="n">
        <f aca="false">IF(A7="","",N7-O7)</f>
        <v>0</v>
      </c>
    </row>
    <row r="8" customFormat="false" ht="15" hidden="false" customHeight="false" outlineLevel="0" collapsed="false">
      <c r="A8" s="12"/>
      <c r="B8" s="21"/>
      <c r="C8" s="12"/>
      <c r="D8" s="22"/>
      <c r="E8" s="12"/>
      <c r="F8" s="13"/>
      <c r="G8" s="13"/>
      <c r="H8" s="13"/>
      <c r="I8" s="13"/>
      <c r="J8" s="13"/>
      <c r="K8" s="14" t="str">
        <f aca="false">IF(A8="","",G8+H8+I8+J8)</f>
        <v/>
      </c>
      <c r="L8" s="14" t="str">
        <f aca="false">IF(A8="","",F8-K8)</f>
        <v/>
      </c>
      <c r="M8" s="23" t="str">
        <f aca="false">IF(A8="","",IFERROR(ROUND(L8/F8*100,2),""))</f>
        <v/>
      </c>
      <c r="N8" s="13"/>
      <c r="O8" s="13"/>
      <c r="P8" s="14" t="str">
        <f aca="false">IF(A8="","",N8-O8)</f>
        <v/>
      </c>
    </row>
    <row r="9" customFormat="false" ht="15" hidden="false" customHeight="false" outlineLevel="0" collapsed="false">
      <c r="A9" s="12"/>
      <c r="B9" s="21"/>
      <c r="C9" s="12"/>
      <c r="D9" s="22"/>
      <c r="E9" s="12"/>
      <c r="F9" s="13"/>
      <c r="G9" s="13"/>
      <c r="H9" s="13"/>
      <c r="I9" s="13"/>
      <c r="J9" s="13"/>
      <c r="K9" s="14" t="str">
        <f aca="false">IF(A9="","",G9+H9+I9+J9)</f>
        <v/>
      </c>
      <c r="L9" s="14" t="str">
        <f aca="false">IF(A9="","",F9-K9)</f>
        <v/>
      </c>
      <c r="M9" s="23" t="str">
        <f aca="false">IF(A9="","",IFERROR(ROUND(L9/F9*100,2),""))</f>
        <v/>
      </c>
      <c r="N9" s="13"/>
      <c r="O9" s="13"/>
      <c r="P9" s="14" t="str">
        <f aca="false">IF(A9="","",N9-O9)</f>
        <v/>
      </c>
    </row>
    <row r="10" customFormat="false" ht="15" hidden="false" customHeight="false" outlineLevel="0" collapsed="false">
      <c r="A10" s="12"/>
      <c r="B10" s="21"/>
      <c r="C10" s="12"/>
      <c r="D10" s="22"/>
      <c r="E10" s="12"/>
      <c r="F10" s="13"/>
      <c r="G10" s="13"/>
      <c r="H10" s="13"/>
      <c r="I10" s="13"/>
      <c r="J10" s="13"/>
      <c r="K10" s="14" t="str">
        <f aca="false">IF(A10="","",G10+H10+I10+J10)</f>
        <v/>
      </c>
      <c r="L10" s="14" t="str">
        <f aca="false">IF(A10="","",F10-K10)</f>
        <v/>
      </c>
      <c r="M10" s="23" t="str">
        <f aca="false">IF(A10="","",IFERROR(ROUND(L10/F10*100,2),""))</f>
        <v/>
      </c>
      <c r="N10" s="13"/>
      <c r="O10" s="13"/>
      <c r="P10" s="14" t="str">
        <f aca="false">IF(A10="","",N10-O10)</f>
        <v/>
      </c>
    </row>
    <row r="11" customFormat="false" ht="15" hidden="false" customHeight="false" outlineLevel="0" collapsed="false">
      <c r="A11" s="12"/>
      <c r="B11" s="21"/>
      <c r="C11" s="12"/>
      <c r="D11" s="22"/>
      <c r="E11" s="12"/>
      <c r="F11" s="13"/>
      <c r="G11" s="13"/>
      <c r="H11" s="13"/>
      <c r="I11" s="13"/>
      <c r="J11" s="13"/>
      <c r="K11" s="14" t="str">
        <f aca="false">IF(A11="","",G11+H11+I11+J11)</f>
        <v/>
      </c>
      <c r="L11" s="14" t="str">
        <f aca="false">IF(A11="","",F11-K11)</f>
        <v/>
      </c>
      <c r="M11" s="23" t="str">
        <f aca="false">IF(A11="","",IFERROR(ROUND(L11/F11*100,2),""))</f>
        <v/>
      </c>
      <c r="N11" s="13"/>
      <c r="O11" s="13"/>
      <c r="P11" s="14" t="str">
        <f aca="false">IF(A11="","",N11-O11)</f>
        <v/>
      </c>
    </row>
    <row r="12" customFormat="false" ht="15" hidden="false" customHeight="false" outlineLevel="0" collapsed="false">
      <c r="A12" s="12"/>
      <c r="B12" s="21"/>
      <c r="C12" s="12"/>
      <c r="D12" s="22"/>
      <c r="E12" s="12"/>
      <c r="F12" s="13"/>
      <c r="G12" s="13"/>
      <c r="H12" s="13"/>
      <c r="I12" s="13"/>
      <c r="J12" s="13"/>
      <c r="K12" s="14" t="str">
        <f aca="false">IF(A12="","",G12+H12+I12+J12)</f>
        <v/>
      </c>
      <c r="L12" s="14" t="str">
        <f aca="false">IF(A12="","",F12-K12)</f>
        <v/>
      </c>
      <c r="M12" s="23" t="str">
        <f aca="false">IF(A12="","",IFERROR(ROUND(L12/F12*100,2),""))</f>
        <v/>
      </c>
      <c r="N12" s="13"/>
      <c r="O12" s="13"/>
      <c r="P12" s="14" t="str">
        <f aca="false">IF(A12="","",N12-O12)</f>
        <v/>
      </c>
    </row>
    <row r="13" customFormat="false" ht="15" hidden="false" customHeight="false" outlineLevel="0" collapsed="false">
      <c r="A13" s="12"/>
      <c r="B13" s="21"/>
      <c r="C13" s="12"/>
      <c r="D13" s="22"/>
      <c r="E13" s="12"/>
      <c r="F13" s="13"/>
      <c r="G13" s="13"/>
      <c r="H13" s="13"/>
      <c r="I13" s="13"/>
      <c r="J13" s="13"/>
      <c r="K13" s="14" t="str">
        <f aca="false">IF(A13="","",G13+H13+I13+J13)</f>
        <v/>
      </c>
      <c r="L13" s="14" t="str">
        <f aca="false">IF(A13="","",F13-K13)</f>
        <v/>
      </c>
      <c r="M13" s="23" t="str">
        <f aca="false">IF(A13="","",IFERROR(ROUND(L13/F13*100,2),""))</f>
        <v/>
      </c>
      <c r="N13" s="13"/>
      <c r="O13" s="13"/>
      <c r="P13" s="14" t="str">
        <f aca="false">IF(A13="","",N13-O13)</f>
        <v/>
      </c>
    </row>
    <row r="14" customFormat="false" ht="15" hidden="false" customHeight="false" outlineLevel="0" collapsed="false">
      <c r="A14" s="12"/>
      <c r="B14" s="21"/>
      <c r="C14" s="12"/>
      <c r="D14" s="22"/>
      <c r="E14" s="12"/>
      <c r="F14" s="13"/>
      <c r="G14" s="13"/>
      <c r="H14" s="13"/>
      <c r="I14" s="13"/>
      <c r="J14" s="13"/>
      <c r="K14" s="14" t="str">
        <f aca="false">IF(A14="","",G14+H14+I14+J14)</f>
        <v/>
      </c>
      <c r="L14" s="14" t="str">
        <f aca="false">IF(A14="","",F14-K14)</f>
        <v/>
      </c>
      <c r="M14" s="23" t="str">
        <f aca="false">IF(A14="","",IFERROR(ROUND(L14/F14*100,2),""))</f>
        <v/>
      </c>
      <c r="N14" s="13"/>
      <c r="O14" s="13"/>
      <c r="P14" s="14" t="str">
        <f aca="false">IF(A14="","",N14-O14)</f>
        <v/>
      </c>
    </row>
    <row r="15" customFormat="false" ht="15" hidden="false" customHeight="false" outlineLevel="0" collapsed="false">
      <c r="A15" s="12"/>
      <c r="B15" s="21"/>
      <c r="C15" s="12"/>
      <c r="D15" s="22"/>
      <c r="E15" s="12"/>
      <c r="F15" s="13"/>
      <c r="G15" s="13"/>
      <c r="H15" s="13"/>
      <c r="I15" s="13"/>
      <c r="J15" s="13"/>
      <c r="K15" s="14" t="str">
        <f aca="false">IF(A15="","",G15+H15+I15+J15)</f>
        <v/>
      </c>
      <c r="L15" s="14" t="str">
        <f aca="false">IF(A15="","",F15-K15)</f>
        <v/>
      </c>
      <c r="M15" s="23" t="str">
        <f aca="false">IF(A15="","",IFERROR(ROUND(L15/F15*100,2),""))</f>
        <v/>
      </c>
      <c r="N15" s="13"/>
      <c r="O15" s="13"/>
      <c r="P15" s="14" t="str">
        <f aca="false">IF(A15="","",N15-O15)</f>
        <v/>
      </c>
    </row>
    <row r="16" customFormat="false" ht="15" hidden="false" customHeight="false" outlineLevel="0" collapsed="false">
      <c r="A16" s="12"/>
      <c r="B16" s="21"/>
      <c r="C16" s="12"/>
      <c r="D16" s="22"/>
      <c r="E16" s="12"/>
      <c r="F16" s="13"/>
      <c r="G16" s="13"/>
      <c r="H16" s="13"/>
      <c r="I16" s="13"/>
      <c r="J16" s="13"/>
      <c r="K16" s="14" t="str">
        <f aca="false">IF(A16="","",G16+H16+I16+J16)</f>
        <v/>
      </c>
      <c r="L16" s="14" t="str">
        <f aca="false">IF(A16="","",F16-K16)</f>
        <v/>
      </c>
      <c r="M16" s="23" t="str">
        <f aca="false">IF(A16="","",IFERROR(ROUND(L16/F16*100,2),""))</f>
        <v/>
      </c>
      <c r="N16" s="13"/>
      <c r="O16" s="13"/>
      <c r="P16" s="14" t="str">
        <f aca="false">IF(A16="","",N16-O16)</f>
        <v/>
      </c>
    </row>
    <row r="17" customFormat="false" ht="15" hidden="false" customHeight="false" outlineLevel="0" collapsed="false">
      <c r="A17" s="12"/>
      <c r="B17" s="21"/>
      <c r="C17" s="12"/>
      <c r="D17" s="22"/>
      <c r="E17" s="12"/>
      <c r="F17" s="13"/>
      <c r="G17" s="13"/>
      <c r="H17" s="13"/>
      <c r="I17" s="13"/>
      <c r="J17" s="13"/>
      <c r="K17" s="14" t="str">
        <f aca="false">IF(A17="","",G17+H17+I17+J17)</f>
        <v/>
      </c>
      <c r="L17" s="14" t="str">
        <f aca="false">IF(A17="","",F17-K17)</f>
        <v/>
      </c>
      <c r="M17" s="23" t="str">
        <f aca="false">IF(A17="","",IFERROR(ROUND(L17/F17*100,2),""))</f>
        <v/>
      </c>
      <c r="N17" s="13"/>
      <c r="O17" s="13"/>
      <c r="P17" s="14" t="str">
        <f aca="false">IF(A17="","",N17-O17)</f>
        <v/>
      </c>
    </row>
    <row r="18" customFormat="false" ht="15" hidden="false" customHeight="false" outlineLevel="0" collapsed="false">
      <c r="A18" s="12"/>
      <c r="B18" s="21"/>
      <c r="C18" s="12"/>
      <c r="D18" s="22"/>
      <c r="E18" s="12"/>
      <c r="F18" s="13"/>
      <c r="G18" s="13"/>
      <c r="H18" s="13"/>
      <c r="I18" s="13"/>
      <c r="J18" s="13"/>
      <c r="K18" s="14" t="str">
        <f aca="false">IF(A18="","",G18+H18+I18+J18)</f>
        <v/>
      </c>
      <c r="L18" s="14" t="str">
        <f aca="false">IF(A18="","",F18-K18)</f>
        <v/>
      </c>
      <c r="M18" s="23" t="str">
        <f aca="false">IF(A18="","",IFERROR(ROUND(L18/F18*100,2),""))</f>
        <v/>
      </c>
      <c r="N18" s="13"/>
      <c r="O18" s="13"/>
      <c r="P18" s="14" t="str">
        <f aca="false">IF(A18="","",N18-O18)</f>
        <v/>
      </c>
    </row>
    <row r="19" customFormat="false" ht="15" hidden="false" customHeight="false" outlineLevel="0" collapsed="false">
      <c r="A19" s="12"/>
      <c r="B19" s="21"/>
      <c r="C19" s="12"/>
      <c r="D19" s="22"/>
      <c r="E19" s="12"/>
      <c r="F19" s="13"/>
      <c r="G19" s="13"/>
      <c r="H19" s="13"/>
      <c r="I19" s="13"/>
      <c r="J19" s="13"/>
      <c r="K19" s="14" t="str">
        <f aca="false">IF(A19="","",G19+H19+I19+J19)</f>
        <v/>
      </c>
      <c r="L19" s="14" t="str">
        <f aca="false">IF(A19="","",F19-K19)</f>
        <v/>
      </c>
      <c r="M19" s="23" t="str">
        <f aca="false">IF(A19="","",IFERROR(ROUND(L19/F19*100,2),""))</f>
        <v/>
      </c>
      <c r="N19" s="13"/>
      <c r="O19" s="13"/>
      <c r="P19" s="14" t="str">
        <f aca="false">IF(A19="","",N19-O19)</f>
        <v/>
      </c>
    </row>
    <row r="20" customFormat="false" ht="15" hidden="false" customHeight="false" outlineLevel="0" collapsed="false">
      <c r="A20" s="12"/>
      <c r="B20" s="21"/>
      <c r="C20" s="12"/>
      <c r="D20" s="22"/>
      <c r="E20" s="12"/>
      <c r="F20" s="13"/>
      <c r="G20" s="13"/>
      <c r="H20" s="13"/>
      <c r="I20" s="13"/>
      <c r="J20" s="13"/>
      <c r="K20" s="14" t="str">
        <f aca="false">IF(A20="","",G20+H20+I20+J20)</f>
        <v/>
      </c>
      <c r="L20" s="14" t="str">
        <f aca="false">IF(A20="","",F20-K20)</f>
        <v/>
      </c>
      <c r="M20" s="23" t="str">
        <f aca="false">IF(A20="","",IFERROR(ROUND(L20/F20*100,2),""))</f>
        <v/>
      </c>
      <c r="N20" s="13"/>
      <c r="O20" s="13"/>
      <c r="P20" s="14" t="str">
        <f aca="false">IF(A20="","",N20-O20)</f>
        <v/>
      </c>
    </row>
    <row r="21" customFormat="false" ht="15" hidden="false" customHeight="false" outlineLevel="0" collapsed="false">
      <c r="A21" s="12"/>
      <c r="B21" s="21"/>
      <c r="C21" s="12"/>
      <c r="D21" s="22"/>
      <c r="E21" s="12"/>
      <c r="F21" s="13"/>
      <c r="G21" s="13"/>
      <c r="H21" s="13"/>
      <c r="I21" s="13"/>
      <c r="J21" s="13"/>
      <c r="K21" s="14" t="str">
        <f aca="false">IF(A21="","",G21+H21+I21+J21)</f>
        <v/>
      </c>
      <c r="L21" s="14" t="str">
        <f aca="false">IF(A21="","",F21-K21)</f>
        <v/>
      </c>
      <c r="M21" s="23" t="str">
        <f aca="false">IF(A21="","",IFERROR(ROUND(L21/F21*100,2),""))</f>
        <v/>
      </c>
      <c r="N21" s="13"/>
      <c r="O21" s="13"/>
      <c r="P21" s="14" t="str">
        <f aca="false">IF(A21="","",N21-O21)</f>
        <v/>
      </c>
    </row>
    <row r="22" customFormat="false" ht="15" hidden="false" customHeight="false" outlineLevel="0" collapsed="false">
      <c r="A22" s="12"/>
      <c r="B22" s="21"/>
      <c r="C22" s="12"/>
      <c r="D22" s="22"/>
      <c r="E22" s="12"/>
      <c r="F22" s="13"/>
      <c r="G22" s="13"/>
      <c r="H22" s="13"/>
      <c r="I22" s="13"/>
      <c r="J22" s="13"/>
      <c r="K22" s="14" t="str">
        <f aca="false">IF(A22="","",G22+H22+I22+J22)</f>
        <v/>
      </c>
      <c r="L22" s="14" t="str">
        <f aca="false">IF(A22="","",F22-K22)</f>
        <v/>
      </c>
      <c r="M22" s="23" t="str">
        <f aca="false">IF(A22="","",IFERROR(ROUND(L22/F22*100,2),""))</f>
        <v/>
      </c>
      <c r="N22" s="13"/>
      <c r="O22" s="13"/>
      <c r="P22" s="14" t="str">
        <f aca="false">IF(A22="","",N22-O22)</f>
        <v/>
      </c>
    </row>
    <row r="23" customFormat="false" ht="15" hidden="false" customHeight="false" outlineLevel="0" collapsed="false">
      <c r="A23" s="12"/>
      <c r="B23" s="21"/>
      <c r="C23" s="12"/>
      <c r="D23" s="22"/>
      <c r="E23" s="12"/>
      <c r="F23" s="13"/>
      <c r="G23" s="13"/>
      <c r="H23" s="13"/>
      <c r="I23" s="13"/>
      <c r="J23" s="13"/>
      <c r="K23" s="14" t="str">
        <f aca="false">IF(A23="","",G23+H23+I23+J23)</f>
        <v/>
      </c>
      <c r="L23" s="14" t="str">
        <f aca="false">IF(A23="","",F23-K23)</f>
        <v/>
      </c>
      <c r="M23" s="23" t="str">
        <f aca="false">IF(A23="","",IFERROR(ROUND(L23/F23*100,2),""))</f>
        <v/>
      </c>
      <c r="N23" s="13"/>
      <c r="O23" s="13"/>
      <c r="P23" s="14" t="str">
        <f aca="false">IF(A23="","",N23-O23)</f>
        <v/>
      </c>
    </row>
    <row r="24" customFormat="false" ht="15" hidden="false" customHeight="false" outlineLevel="0" collapsed="false">
      <c r="A24" s="12"/>
      <c r="B24" s="21"/>
      <c r="C24" s="12"/>
      <c r="D24" s="22"/>
      <c r="E24" s="12"/>
      <c r="F24" s="13"/>
      <c r="G24" s="13"/>
      <c r="H24" s="13"/>
      <c r="I24" s="13"/>
      <c r="J24" s="13"/>
      <c r="K24" s="14" t="str">
        <f aca="false">IF(A24="","",G24+H24+I24+J24)</f>
        <v/>
      </c>
      <c r="L24" s="14" t="str">
        <f aca="false">IF(A24="","",F24-K24)</f>
        <v/>
      </c>
      <c r="M24" s="23" t="str">
        <f aca="false">IF(A24="","",IFERROR(ROUND(L24/F24*100,2),""))</f>
        <v/>
      </c>
      <c r="N24" s="13"/>
      <c r="O24" s="13"/>
      <c r="P24" s="14" t="str">
        <f aca="false">IF(A24="","",N24-O24)</f>
        <v/>
      </c>
    </row>
    <row r="25" customFormat="false" ht="15" hidden="false" customHeight="false" outlineLevel="0" collapsed="false">
      <c r="A25" s="12"/>
      <c r="B25" s="21"/>
      <c r="C25" s="12"/>
      <c r="D25" s="22"/>
      <c r="E25" s="12"/>
      <c r="F25" s="13"/>
      <c r="G25" s="13"/>
      <c r="H25" s="13"/>
      <c r="I25" s="13"/>
      <c r="J25" s="13"/>
      <c r="K25" s="14" t="str">
        <f aca="false">IF(A25="","",G25+H25+I25+J25)</f>
        <v/>
      </c>
      <c r="L25" s="14" t="str">
        <f aca="false">IF(A25="","",F25-K25)</f>
        <v/>
      </c>
      <c r="M25" s="23" t="str">
        <f aca="false">IF(A25="","",IFERROR(ROUND(L25/F25*100,2),""))</f>
        <v/>
      </c>
      <c r="N25" s="13"/>
      <c r="O25" s="13"/>
      <c r="P25" s="14" t="str">
        <f aca="false">IF(A25="","",N25-O25)</f>
        <v/>
      </c>
    </row>
    <row r="26" customFormat="false" ht="15" hidden="false" customHeight="false" outlineLevel="0" collapsed="false">
      <c r="A26" s="12"/>
      <c r="B26" s="21"/>
      <c r="C26" s="12"/>
      <c r="D26" s="22"/>
      <c r="E26" s="12"/>
      <c r="F26" s="13"/>
      <c r="G26" s="13"/>
      <c r="H26" s="13"/>
      <c r="I26" s="13"/>
      <c r="J26" s="13"/>
      <c r="K26" s="14" t="str">
        <f aca="false">IF(A26="","",G26+H26+I26+J26)</f>
        <v/>
      </c>
      <c r="L26" s="14" t="str">
        <f aca="false">IF(A26="","",F26-K26)</f>
        <v/>
      </c>
      <c r="M26" s="23" t="str">
        <f aca="false">IF(A26="","",IFERROR(ROUND(L26/F26*100,2),""))</f>
        <v/>
      </c>
      <c r="N26" s="13"/>
      <c r="O26" s="13"/>
      <c r="P26" s="14" t="str">
        <f aca="false">IF(A26="","",N26-O26)</f>
        <v/>
      </c>
    </row>
    <row r="27" customFormat="false" ht="15" hidden="false" customHeight="false" outlineLevel="0" collapsed="false">
      <c r="A27" s="12"/>
      <c r="B27" s="21"/>
      <c r="C27" s="12"/>
      <c r="D27" s="22"/>
      <c r="E27" s="12"/>
      <c r="F27" s="13"/>
      <c r="G27" s="13"/>
      <c r="H27" s="13"/>
      <c r="I27" s="13"/>
      <c r="J27" s="13"/>
      <c r="K27" s="14" t="str">
        <f aca="false">IF(A27="","",G27+H27+I27+J27)</f>
        <v/>
      </c>
      <c r="L27" s="14" t="str">
        <f aca="false">IF(A27="","",F27-K27)</f>
        <v/>
      </c>
      <c r="M27" s="23" t="str">
        <f aca="false">IF(A27="","",IFERROR(ROUND(L27/F27*100,2),""))</f>
        <v/>
      </c>
      <c r="N27" s="13"/>
      <c r="O27" s="13"/>
      <c r="P27" s="14" t="str">
        <f aca="false">IF(A27="","",N27-O27)</f>
        <v/>
      </c>
    </row>
    <row r="28" customFormat="false" ht="15" hidden="false" customHeight="false" outlineLevel="0" collapsed="false">
      <c r="A28" s="12"/>
      <c r="B28" s="21"/>
      <c r="C28" s="12"/>
      <c r="D28" s="22"/>
      <c r="E28" s="12"/>
      <c r="F28" s="13"/>
      <c r="G28" s="13"/>
      <c r="H28" s="13"/>
      <c r="I28" s="13"/>
      <c r="J28" s="13"/>
      <c r="K28" s="14" t="str">
        <f aca="false">IF(A28="","",G28+H28+I28+J28)</f>
        <v/>
      </c>
      <c r="L28" s="14" t="str">
        <f aca="false">IF(A28="","",F28-K28)</f>
        <v/>
      </c>
      <c r="M28" s="23" t="str">
        <f aca="false">IF(A28="","",IFERROR(ROUND(L28/F28*100,2),""))</f>
        <v/>
      </c>
      <c r="N28" s="13"/>
      <c r="O28" s="13"/>
      <c r="P28" s="14" t="str">
        <f aca="false">IF(A28="","",N28-O28)</f>
        <v/>
      </c>
    </row>
    <row r="29" customFormat="false" ht="15" hidden="false" customHeight="false" outlineLevel="0" collapsed="false">
      <c r="A29" s="12"/>
      <c r="B29" s="21"/>
      <c r="C29" s="12"/>
      <c r="D29" s="22"/>
      <c r="E29" s="12"/>
      <c r="F29" s="13"/>
      <c r="G29" s="13"/>
      <c r="H29" s="13"/>
      <c r="I29" s="13"/>
      <c r="J29" s="13"/>
      <c r="K29" s="14" t="str">
        <f aca="false">IF(A29="","",G29+H29+I29+J29)</f>
        <v/>
      </c>
      <c r="L29" s="14" t="str">
        <f aca="false">IF(A29="","",F29-K29)</f>
        <v/>
      </c>
      <c r="M29" s="23" t="str">
        <f aca="false">IF(A29="","",IFERROR(ROUND(L29/F29*100,2),""))</f>
        <v/>
      </c>
      <c r="N29" s="13"/>
      <c r="O29" s="13"/>
      <c r="P29" s="14" t="str">
        <f aca="false">IF(A29="","",N29-O29)</f>
        <v/>
      </c>
    </row>
    <row r="30" customFormat="false" ht="15" hidden="false" customHeight="false" outlineLevel="0" collapsed="false">
      <c r="A30" s="12"/>
      <c r="B30" s="21"/>
      <c r="C30" s="12"/>
      <c r="D30" s="22"/>
      <c r="E30" s="12"/>
      <c r="F30" s="13"/>
      <c r="G30" s="13"/>
      <c r="H30" s="13"/>
      <c r="I30" s="13"/>
      <c r="J30" s="13"/>
      <c r="K30" s="14" t="str">
        <f aca="false">IF(A30="","",G30+H30+I30+J30)</f>
        <v/>
      </c>
      <c r="L30" s="14" t="str">
        <f aca="false">IF(A30="","",F30-K30)</f>
        <v/>
      </c>
      <c r="M30" s="23" t="str">
        <f aca="false">IF(A30="","",IFERROR(ROUND(L30/F30*100,2),""))</f>
        <v/>
      </c>
      <c r="N30" s="13"/>
      <c r="O30" s="13"/>
      <c r="P30" s="14" t="str">
        <f aca="false">IF(A30="","",N30-O30)</f>
        <v/>
      </c>
    </row>
    <row r="31" customFormat="false" ht="15" hidden="false" customHeight="false" outlineLevel="0" collapsed="false">
      <c r="A31" s="12"/>
      <c r="B31" s="21"/>
      <c r="C31" s="12"/>
      <c r="D31" s="22"/>
      <c r="E31" s="12"/>
      <c r="F31" s="13"/>
      <c r="G31" s="13"/>
      <c r="H31" s="13"/>
      <c r="I31" s="13"/>
      <c r="J31" s="13"/>
      <c r="K31" s="14" t="str">
        <f aca="false">IF(A31="","",G31+H31+I31+J31)</f>
        <v/>
      </c>
      <c r="L31" s="14" t="str">
        <f aca="false">IF(A31="","",F31-K31)</f>
        <v/>
      </c>
      <c r="M31" s="23" t="str">
        <f aca="false">IF(A31="","",IFERROR(ROUND(L31/F31*100,2),""))</f>
        <v/>
      </c>
      <c r="N31" s="13"/>
      <c r="O31" s="13"/>
      <c r="P31" s="14" t="str">
        <f aca="false">IF(A31="","",N31-O31)</f>
        <v/>
      </c>
    </row>
    <row r="32" customFormat="false" ht="15" hidden="false" customHeight="false" outlineLevel="0" collapsed="false">
      <c r="A32" s="12"/>
      <c r="B32" s="21"/>
      <c r="C32" s="12"/>
      <c r="D32" s="22"/>
      <c r="E32" s="12"/>
      <c r="F32" s="13"/>
      <c r="G32" s="13"/>
      <c r="H32" s="13"/>
      <c r="I32" s="13"/>
      <c r="J32" s="13"/>
      <c r="K32" s="14" t="str">
        <f aca="false">IF(A32="","",G32+H32+I32+J32)</f>
        <v/>
      </c>
      <c r="L32" s="14" t="str">
        <f aca="false">IF(A32="","",F32-K32)</f>
        <v/>
      </c>
      <c r="M32" s="23" t="str">
        <f aca="false">IF(A32="","",IFERROR(ROUND(L32/F32*100,2),""))</f>
        <v/>
      </c>
      <c r="N32" s="13"/>
      <c r="O32" s="13"/>
      <c r="P32" s="14" t="str">
        <f aca="false">IF(A32="","",N32-O32)</f>
        <v/>
      </c>
    </row>
    <row r="33" customFormat="false" ht="15" hidden="false" customHeight="false" outlineLevel="0" collapsed="false">
      <c r="A33" s="12"/>
      <c r="B33" s="21"/>
      <c r="C33" s="12"/>
      <c r="D33" s="22"/>
      <c r="E33" s="12"/>
      <c r="F33" s="13"/>
      <c r="G33" s="13"/>
      <c r="H33" s="13"/>
      <c r="I33" s="13"/>
      <c r="J33" s="13"/>
      <c r="K33" s="14" t="str">
        <f aca="false">IF(A33="","",G33+H33+I33+J33)</f>
        <v/>
      </c>
      <c r="L33" s="14" t="str">
        <f aca="false">IF(A33="","",F33-K33)</f>
        <v/>
      </c>
      <c r="M33" s="23" t="str">
        <f aca="false">IF(A33="","",IFERROR(ROUND(L33/F33*100,2),""))</f>
        <v/>
      </c>
      <c r="N33" s="13"/>
      <c r="O33" s="13"/>
      <c r="P33" s="14" t="str">
        <f aca="false">IF(A33="","",N33-O33)</f>
        <v/>
      </c>
    </row>
    <row r="34" customFormat="false" ht="15" hidden="false" customHeight="false" outlineLevel="0" collapsed="false">
      <c r="A34" s="12"/>
      <c r="B34" s="21"/>
      <c r="C34" s="12"/>
      <c r="D34" s="22"/>
      <c r="E34" s="12"/>
      <c r="F34" s="13"/>
      <c r="G34" s="13"/>
      <c r="H34" s="13"/>
      <c r="I34" s="13"/>
      <c r="J34" s="13"/>
      <c r="K34" s="14" t="str">
        <f aca="false">IF(A34="","",G34+H34+I34+J34)</f>
        <v/>
      </c>
      <c r="L34" s="14" t="str">
        <f aca="false">IF(A34="","",F34-K34)</f>
        <v/>
      </c>
      <c r="M34" s="23" t="str">
        <f aca="false">IF(A34="","",IFERROR(ROUND(L34/F34*100,2),""))</f>
        <v/>
      </c>
      <c r="N34" s="13"/>
      <c r="O34" s="13"/>
      <c r="P34" s="14" t="str">
        <f aca="false">IF(A34="","",N34-O34)</f>
        <v/>
      </c>
    </row>
    <row r="35" customFormat="false" ht="15" hidden="false" customHeight="false" outlineLevel="0" collapsed="false">
      <c r="A35" s="12"/>
      <c r="B35" s="21"/>
      <c r="C35" s="12"/>
      <c r="D35" s="22"/>
      <c r="E35" s="12"/>
      <c r="F35" s="13"/>
      <c r="G35" s="13"/>
      <c r="H35" s="13"/>
      <c r="I35" s="13"/>
      <c r="J35" s="13"/>
      <c r="K35" s="14" t="str">
        <f aca="false">IF(A35="","",G35+H35+I35+J35)</f>
        <v/>
      </c>
      <c r="L35" s="14" t="str">
        <f aca="false">IF(A35="","",F35-K35)</f>
        <v/>
      </c>
      <c r="M35" s="23" t="str">
        <f aca="false">IF(A35="","",IFERROR(ROUND(L35/F35*100,2),""))</f>
        <v/>
      </c>
      <c r="N35" s="13"/>
      <c r="O35" s="13"/>
      <c r="P35" s="14" t="str">
        <f aca="false">IF(A35="","",N35-O35)</f>
        <v/>
      </c>
    </row>
    <row r="36" customFormat="false" ht="15" hidden="false" customHeight="false" outlineLevel="0" collapsed="false">
      <c r="A36" s="12"/>
      <c r="B36" s="21"/>
      <c r="C36" s="12"/>
      <c r="D36" s="22"/>
      <c r="E36" s="12"/>
      <c r="F36" s="13"/>
      <c r="G36" s="13"/>
      <c r="H36" s="13"/>
      <c r="I36" s="13"/>
      <c r="J36" s="13"/>
      <c r="K36" s="14" t="str">
        <f aca="false">IF(A36="","",G36+H36+I36+J36)</f>
        <v/>
      </c>
      <c r="L36" s="14" t="str">
        <f aca="false">IF(A36="","",F36-K36)</f>
        <v/>
      </c>
      <c r="M36" s="23" t="str">
        <f aca="false">IF(A36="","",IFERROR(ROUND(L36/F36*100,2),""))</f>
        <v/>
      </c>
      <c r="N36" s="13"/>
      <c r="O36" s="13"/>
      <c r="P36" s="14" t="str">
        <f aca="false">IF(A36="","",N36-O36)</f>
        <v/>
      </c>
    </row>
    <row r="37" customFormat="false" ht="15" hidden="false" customHeight="false" outlineLevel="0" collapsed="false">
      <c r="A37" s="12"/>
      <c r="B37" s="21"/>
      <c r="C37" s="12"/>
      <c r="D37" s="22"/>
      <c r="E37" s="12"/>
      <c r="F37" s="13"/>
      <c r="G37" s="13"/>
      <c r="H37" s="13"/>
      <c r="I37" s="13"/>
      <c r="J37" s="13"/>
      <c r="K37" s="14" t="str">
        <f aca="false">IF(A37="","",G37+H37+I37+J37)</f>
        <v/>
      </c>
      <c r="L37" s="14" t="str">
        <f aca="false">IF(A37="","",F37-K37)</f>
        <v/>
      </c>
      <c r="M37" s="23" t="str">
        <f aca="false">IF(A37="","",IFERROR(ROUND(L37/F37*100,2),""))</f>
        <v/>
      </c>
      <c r="N37" s="13"/>
      <c r="O37" s="13"/>
      <c r="P37" s="14" t="str">
        <f aca="false">IF(A37="","",N37-O37)</f>
        <v/>
      </c>
    </row>
    <row r="38" customFormat="false" ht="15" hidden="false" customHeight="false" outlineLevel="0" collapsed="false">
      <c r="A38" s="12"/>
      <c r="B38" s="21"/>
      <c r="C38" s="12"/>
      <c r="D38" s="22"/>
      <c r="E38" s="12"/>
      <c r="F38" s="13"/>
      <c r="G38" s="13"/>
      <c r="H38" s="13"/>
      <c r="I38" s="13"/>
      <c r="J38" s="13"/>
      <c r="K38" s="14" t="str">
        <f aca="false">IF(A38="","",G38+H38+I38+J38)</f>
        <v/>
      </c>
      <c r="L38" s="14" t="str">
        <f aca="false">IF(A38="","",F38-K38)</f>
        <v/>
      </c>
      <c r="M38" s="23" t="str">
        <f aca="false">IF(A38="","",IFERROR(ROUND(L38/F38*100,2),""))</f>
        <v/>
      </c>
      <c r="N38" s="13"/>
      <c r="O38" s="13"/>
      <c r="P38" s="14" t="str">
        <f aca="false">IF(A38="","",N38-O38)</f>
        <v/>
      </c>
    </row>
    <row r="39" customFormat="false" ht="15" hidden="false" customHeight="false" outlineLevel="0" collapsed="false">
      <c r="A39" s="12"/>
      <c r="B39" s="21"/>
      <c r="C39" s="12"/>
      <c r="D39" s="22"/>
      <c r="E39" s="12"/>
      <c r="F39" s="13"/>
      <c r="G39" s="13"/>
      <c r="H39" s="13"/>
      <c r="I39" s="13"/>
      <c r="J39" s="13"/>
      <c r="K39" s="14" t="str">
        <f aca="false">IF(A39="","",G39+H39+I39+J39)</f>
        <v/>
      </c>
      <c r="L39" s="14" t="str">
        <f aca="false">IF(A39="","",F39-K39)</f>
        <v/>
      </c>
      <c r="M39" s="23" t="str">
        <f aca="false">IF(A39="","",IFERROR(ROUND(L39/F39*100,2),""))</f>
        <v/>
      </c>
      <c r="N39" s="13"/>
      <c r="O39" s="13"/>
      <c r="P39" s="14" t="str">
        <f aca="false">IF(A39="","",N39-O39)</f>
        <v/>
      </c>
    </row>
    <row r="40" customFormat="false" ht="15" hidden="false" customHeight="false" outlineLevel="0" collapsed="false">
      <c r="A40" s="12"/>
      <c r="B40" s="21"/>
      <c r="C40" s="12"/>
      <c r="D40" s="22"/>
      <c r="E40" s="12"/>
      <c r="F40" s="13"/>
      <c r="G40" s="13"/>
      <c r="H40" s="13"/>
      <c r="I40" s="13"/>
      <c r="J40" s="13"/>
      <c r="K40" s="14" t="str">
        <f aca="false">IF(A40="","",G40+H40+I40+J40)</f>
        <v/>
      </c>
      <c r="L40" s="14" t="str">
        <f aca="false">IF(A40="","",F40-K40)</f>
        <v/>
      </c>
      <c r="M40" s="23" t="str">
        <f aca="false">IF(A40="","",IFERROR(ROUND(L40/F40*100,2),""))</f>
        <v/>
      </c>
      <c r="N40" s="13"/>
      <c r="O40" s="13"/>
      <c r="P40" s="14" t="str">
        <f aca="false">IF(A40="","",N40-O40)</f>
        <v/>
      </c>
    </row>
    <row r="41" customFormat="false" ht="15" hidden="false" customHeight="false" outlineLevel="0" collapsed="false">
      <c r="A41" s="5" t="s">
        <v>96</v>
      </c>
      <c r="D41" s="18" t="n">
        <f aca="false">SUM(D5:D40)</f>
        <v>245</v>
      </c>
      <c r="F41" s="15" t="n">
        <f aca="false">SUM(F5:F40)</f>
        <v>19800</v>
      </c>
      <c r="G41" s="15" t="n">
        <f aca="false">SUM(G5:G40)</f>
        <v>6650</v>
      </c>
      <c r="H41" s="15" t="n">
        <f aca="false">SUM(H5:H40)</f>
        <v>3030</v>
      </c>
      <c r="I41" s="15" t="n">
        <f aca="false">SUM(I5:I40)</f>
        <v>2640</v>
      </c>
      <c r="J41" s="15" t="n">
        <f aca="false">SUM(J5:J40)</f>
        <v>1650</v>
      </c>
      <c r="K41" s="15" t="n">
        <f aca="false">SUM(K5:K40)</f>
        <v>13970</v>
      </c>
      <c r="L41" s="15" t="n">
        <f aca="false">SUM(L5:L40)</f>
        <v>5830</v>
      </c>
      <c r="M41" s="24" t="n">
        <f aca="false">IFERROR(ROUND(L41/F41*100,2),0)</f>
        <v>29.44</v>
      </c>
      <c r="N41" s="15" t="n">
        <f aca="false">SUM(N5:N40)</f>
        <v>18060</v>
      </c>
      <c r="O41" s="15" t="n">
        <f aca="false">SUM(O5:O40)</f>
        <v>14760</v>
      </c>
      <c r="P41" s="15" t="n">
        <f aca="false">SUM(P5:P40)</f>
        <v>3300</v>
      </c>
    </row>
  </sheetData>
  <dataValidations count="1">
    <dataValidation allowBlank="true" errorStyle="stop" operator="between" showDropDown="false" showErrorMessage="false" showInputMessage="false" sqref="E5:E40" type="list">
      <formula1>"quoted,confirmed,done,lost"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50"/>
  </cols>
  <sheetData>
    <row r="1" customFormat="false" ht="17.35" hidden="false" customHeight="false" outlineLevel="0" collapsed="false">
      <c r="A1" s="2" t="s">
        <v>120</v>
      </c>
    </row>
    <row r="2" customFormat="false" ht="15" hidden="false" customHeight="false" outlineLevel="0" collapsed="false">
      <c r="A2" s="5" t="s">
        <v>121</v>
      </c>
      <c r="B2" s="18" t="n">
        <f aca="false">COUNTA(Events!A5:A40)</f>
        <v>3</v>
      </c>
    </row>
    <row r="3" customFormat="false" ht="15" hidden="false" customHeight="false" outlineLevel="0" collapsed="false">
      <c r="A3" s="5" t="s">
        <v>122</v>
      </c>
      <c r="B3" s="15" t="n">
        <f aca="false">Events!F41</f>
        <v>19800</v>
      </c>
    </row>
    <row r="4" customFormat="false" ht="15" hidden="false" customHeight="false" outlineLevel="0" collapsed="false">
      <c r="A4" s="5" t="s">
        <v>76</v>
      </c>
      <c r="B4" s="15" t="n">
        <f aca="false">Events!K41</f>
        <v>13970</v>
      </c>
    </row>
    <row r="5" customFormat="false" ht="15" hidden="false" customHeight="false" outlineLevel="0" collapsed="false">
      <c r="A5" s="5" t="s">
        <v>79</v>
      </c>
      <c r="B5" s="15" t="n">
        <f aca="false">Events!L41</f>
        <v>5830</v>
      </c>
    </row>
    <row r="6" customFormat="false" ht="15" hidden="false" customHeight="false" outlineLevel="0" collapsed="false">
      <c r="A6" s="5" t="s">
        <v>108</v>
      </c>
      <c r="B6" s="24" t="n">
        <f aca="false">Events!M41</f>
        <v>29.44</v>
      </c>
      <c r="C6" s="3" t="s">
        <v>123</v>
      </c>
    </row>
    <row r="7" customFormat="false" ht="15" hidden="false" customHeight="false" outlineLevel="0" collapsed="false">
      <c r="A7" s="5" t="s">
        <v>124</v>
      </c>
      <c r="B7" s="18" t="n">
        <f aca="false">Events!D41</f>
        <v>245</v>
      </c>
    </row>
    <row r="8" customFormat="false" ht="15" hidden="false" customHeight="false" outlineLevel="0" collapsed="false">
      <c r="A8" s="5" t="s">
        <v>125</v>
      </c>
      <c r="B8" s="15" t="n">
        <f aca="false">IFERROR(ROUND(B3/B7,2),0)</f>
        <v>80.82</v>
      </c>
      <c r="C8" s="3" t="s">
        <v>126</v>
      </c>
    </row>
    <row r="9" customFormat="false" ht="15" hidden="false" customHeight="false" outlineLevel="0" collapsed="false">
      <c r="A9" s="5" t="s">
        <v>127</v>
      </c>
      <c r="B9" s="18" t="n">
        <f aca="false">COUNTIF(Events!M5:M40,"&lt;"&amp;Settings!$B$10)</f>
        <v>1</v>
      </c>
      <c r="C9" s="3" t="s">
        <v>128</v>
      </c>
    </row>
    <row r="10" customFormat="false" ht="15" hidden="false" customHeight="false" outlineLevel="0" collapsed="false">
      <c r="A10" s="5" t="s">
        <v>111</v>
      </c>
      <c r="B10" s="15" t="n">
        <f aca="false">Events!P41</f>
        <v>3300</v>
      </c>
      <c r="C10" s="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2026-10-06T09:47:17Z</dcterms:created>
  <dc:creator>openpyxl</dc:creator>
  <dc:description/>
  <dc:language>en-US</dc:language>
  <cp:lastModifiedBy/>
  <dcterms:modified xsi:type="dcterms:W3CDTF">2026-10-06T09:47:17Z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