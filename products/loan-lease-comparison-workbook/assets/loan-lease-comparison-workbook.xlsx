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5.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Loan Compare" sheetId="2" state="visible" r:id="rId4"/>
    <sheet name="Schedule" sheetId="3" state="visible" r:id="rId5"/>
    <sheet name="Lease vs Buy" sheetId="4" state="visible" r:id="rId6"/>
    <sheet name="DSCR" sheetId="5" state="visible" r:id="rId7"/>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Knackdesk</author>
  </authors>
  <commentList>
    <comment ref="B11" authorId="0">
      <text>
        <r>
          <rPr>
            <sz val="10"/>
            <rFont val="Arial"/>
            <family val="2"/>
          </rPr>
          <t xml:space="preserve">Defaults to Offer 1 on the Loan Compare sheet; overwrite if needed.</t>
        </r>
      </text>
    </comment>
  </commentList>
</comments>
</file>

<file path=xl/sharedStrings.xml><?xml version="1.0" encoding="utf-8"?>
<sst xmlns="http://schemas.openxmlformats.org/spreadsheetml/2006/main" count="91" uniqueCount="89">
  <si>
    <t xml:space="preserve">Loan &amp; Lease Comparison Workbook</t>
  </si>
  <si>
    <t xml:space="preserve">by Knackdesk · knackdesk.com</t>
  </si>
  <si>
    <t xml:space="preserve">HOW TO USE</t>
  </si>
  <si>
    <t xml:space="preserve">1. Loan Compare: one column per offer (up to four) with lender, amount, annual rate, term in months and upfront fees. Payment, totals, true APR and the cost ranking are calculated.</t>
  </si>
  <si>
    <t xml:space="preserve">2. Schedule: enter one loan (amount, rate, term, start date) and an optional extra monthly payment. The table shows every month's interest, principal and balance until payoff, with the payoff month and the interest saved by the extra payment.</t>
  </si>
  <si>
    <t xml:space="preserve">3. Lease vs Buy: the lease terms on one side and the purchase, deposit, loan and resale value on the other; both totals over the term and the cheaper option.</t>
  </si>
  <si>
    <t xml:space="preserve">4. DSCR: net operating income and current annual debt service give today's coverage ratio; add a proposed loan payment to see the ratio after it, and the largest payment a lender's target allows.</t>
  </si>
  <si>
    <t xml:space="preserve">LEGEND</t>
  </si>
  <si>
    <t xml:space="preserve">Blue text = a cell you type into.   Black text = a formula, leave it alone.   Yellow fill = key inputs.</t>
  </si>
  <si>
    <t xml:space="preserve">DEFINITIONS</t>
  </si>
  <si>
    <t xml:space="preserve">Payment = PMT(rate ÷ 12, term, amount). Total interest = payment × term − amount. Total cost = total interest + fees.</t>
  </si>
  <si>
    <t xml:space="preserve">APR = RATE(term, payment, amount − fees) × 12: the rate that would give the same payments on the money actually received.</t>
  </si>
  <si>
    <t xml:space="preserve">Schedule: interest = opening balance × rate ÷ 12; the last scheduled month pays off whatever remains, so cent rounding never leaves a residue.</t>
  </si>
  <si>
    <t xml:space="preserve">Lease total = payments + buyout − resale (resale only when you buy the asset out). Buy total = deposit + loan payments − resale. DSCR = net operating income ÷ annual debt service.</t>
  </si>
  <si>
    <t xml:space="preserve">Fixed rates and equal monthly payments are assumed. Arithmetic only; not financial, credit or tax advice. Support: hello@knackdesk.com</t>
  </si>
  <si>
    <t xml:space="preserve">Loan Compare</t>
  </si>
  <si>
    <t xml:space="preserve">One column per offer. Leave the amount blank for unused columns.</t>
  </si>
  <si>
    <t xml:space="preserve">Offer 1</t>
  </si>
  <si>
    <t xml:space="preserve">Offer 2</t>
  </si>
  <si>
    <t xml:space="preserve">Offer 3</t>
  </si>
  <si>
    <t xml:space="preserve">Offer 4</t>
  </si>
  <si>
    <t xml:space="preserve">Lender</t>
  </si>
  <si>
    <t xml:space="preserve">Bank A</t>
  </si>
  <si>
    <t xml:space="preserve">Bank B</t>
  </si>
  <si>
    <t xml:space="preserve">Online lender</t>
  </si>
  <si>
    <t xml:space="preserve">Loan amount</t>
  </si>
  <si>
    <t xml:space="preserve">Annual rate (%)</t>
  </si>
  <si>
    <t xml:space="preserve">Term (months)</t>
  </si>
  <si>
    <t xml:space="preserve">Upfront fees</t>
  </si>
  <si>
    <t xml:space="preserve">Monthly payment</t>
  </si>
  <si>
    <t xml:space="preserve">Total repaid</t>
  </si>
  <si>
    <t xml:space="preserve">Total interest</t>
  </si>
  <si>
    <t xml:space="preserve">Total cost (interest + fees)</t>
  </si>
  <si>
    <t xml:space="preserve">APR (%)</t>
  </si>
  <si>
    <t xml:space="preserve">Amount received after fees</t>
  </si>
  <si>
    <t xml:space="preserve">Rank by total cost (1 = cheapest)</t>
  </si>
  <si>
    <t xml:space="preserve">Schedule</t>
  </si>
  <si>
    <t xml:space="preserve">Term (months, up to 360)</t>
  </si>
  <si>
    <t xml:space="preserve">Extra payment each month</t>
  </si>
  <si>
    <t xml:space="preserve">First payment date</t>
  </si>
  <si>
    <t xml:space="preserve">Scheduled monthly payment</t>
  </si>
  <si>
    <t xml:space="preserve">Interest without extra payments</t>
  </si>
  <si>
    <t xml:space="preserve">Months to payoff</t>
  </si>
  <si>
    <t xml:space="preserve">Payoff month</t>
  </si>
  <si>
    <t xml:space="preserve">Interest paid</t>
  </si>
  <si>
    <t xml:space="preserve">Months saved</t>
  </si>
  <si>
    <t xml:space="preserve">Interest saved by extra payments</t>
  </si>
  <si>
    <t xml:space="preserve">#</t>
  </si>
  <si>
    <t xml:space="preserve">Date</t>
  </si>
  <si>
    <t xml:space="preserve">Opening balance</t>
  </si>
  <si>
    <t xml:space="preserve">Payment</t>
  </si>
  <si>
    <t xml:space="preserve">Interest</t>
  </si>
  <si>
    <t xml:space="preserve">Principal</t>
  </si>
  <si>
    <t xml:space="preserve">Closing balance</t>
  </si>
  <si>
    <t xml:space="preserve">Lease vs Buy</t>
  </si>
  <si>
    <t xml:space="preserve">Purchase price</t>
  </si>
  <si>
    <t xml:space="preserve">Deposit paid upfront</t>
  </si>
  <si>
    <t xml:space="preserve">Loan annual rate (%)</t>
  </si>
  <si>
    <t xml:space="preserve">Loan term (months)</t>
  </si>
  <si>
    <t xml:space="preserve">Expected resale value at the end</t>
  </si>
  <si>
    <t xml:space="preserve">Lease payment per month</t>
  </si>
  <si>
    <t xml:space="preserve">Lease term (months)</t>
  </si>
  <si>
    <t xml:space="preserve">Lease buyout at the end (0 if handed back)</t>
  </si>
  <si>
    <t xml:space="preserve">Loan monthly payment</t>
  </si>
  <si>
    <t xml:space="preserve">Buy: total cost over the term</t>
  </si>
  <si>
    <t xml:space="preserve">deposit + loan payments − resale</t>
  </si>
  <si>
    <t xml:space="preserve">Lease: total cost over the term</t>
  </si>
  <si>
    <t xml:space="preserve">payments + buyout − resale (only if bought out)</t>
  </si>
  <si>
    <t xml:space="preserve">Cheaper option</t>
  </si>
  <si>
    <t xml:space="preserve">Difference</t>
  </si>
  <si>
    <t xml:space="preserve">Buy: average cost per month</t>
  </si>
  <si>
    <t xml:space="preserve">Lease: average cost per month</t>
  </si>
  <si>
    <t xml:space="preserve">Tax treatment, maintenance and usage limits are not included; weigh them after the totals.</t>
  </si>
  <si>
    <t xml:space="preserve">DSCR</t>
  </si>
  <si>
    <t xml:space="preserve">Net operating income for the year</t>
  </si>
  <si>
    <t xml:space="preserve">revenue − operating expenses, before interest, principal and tax</t>
  </si>
  <si>
    <t xml:space="preserve">Current annual debt service</t>
  </si>
  <si>
    <t xml:space="preserve">all loan principal and interest paid in a year</t>
  </si>
  <si>
    <t xml:space="preserve">Lender's target ratio</t>
  </si>
  <si>
    <t xml:space="preserve">DSCR today</t>
  </si>
  <si>
    <t xml:space="preserve">Meets target</t>
  </si>
  <si>
    <t xml:space="preserve">Largest annual debt service at the target</t>
  </si>
  <si>
    <t xml:space="preserve">Largest monthly payment at the target</t>
  </si>
  <si>
    <t xml:space="preserve">Headroom in annual debt service</t>
  </si>
  <si>
    <t xml:space="preserve">negative = reduction needed to reach the target</t>
  </si>
  <si>
    <t xml:space="preserve">Proposed new loan: monthly payment</t>
  </si>
  <si>
    <t xml:space="preserve">Annual debt service after the new loan</t>
  </si>
  <si>
    <t xml:space="preserve">DSCR after the new loan</t>
  </si>
  <si>
    <t xml:space="preserve">Meets target after the new loan</t>
  </si>
</sst>
</file>

<file path=xl/styles.xml><?xml version="1.0" encoding="utf-8"?>
<styleSheet xmlns="http://schemas.openxmlformats.org/spreadsheetml/2006/main">
  <numFmts count="6">
    <numFmt numFmtId="164" formatCode="General"/>
    <numFmt numFmtId="165" formatCode="#,##0.00;\(#,##0.00\);\-"/>
    <numFmt numFmtId="166" formatCode="0.00"/>
    <numFmt numFmtId="167" formatCode="0"/>
    <numFmt numFmtId="168" formatCode="yyyy\-mm\-dd"/>
    <numFmt numFmtId="169" formatCode="mmm\ yyyy"/>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E7E6E6"/>
        <bgColor rgb="FFFFFFCC"/>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row>
    <row r="10" customFormat="false" ht="15" hidden="false" customHeight="false" outlineLevel="0" collapsed="false">
      <c r="A10" s="4" t="s">
        <v>7</v>
      </c>
    </row>
    <row r="11" customFormat="false" ht="15" hidden="false" customHeight="false" outlineLevel="0" collapsed="false">
      <c r="A11" s="3" t="s">
        <v>8</v>
      </c>
    </row>
    <row r="12" customFormat="false" ht="15" hidden="false" customHeight="false" outlineLevel="0" collapsed="false">
      <c r="A12" s="3"/>
    </row>
    <row r="13" customFormat="false" ht="15" hidden="false" customHeight="false" outlineLevel="0" collapsed="false">
      <c r="A13" s="4"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5" min="2" style="0" width="16"/>
  </cols>
  <sheetData>
    <row r="1" customFormat="false" ht="17.35" hidden="false" customHeight="false" outlineLevel="0" collapsed="false">
      <c r="A1" s="1" t="s">
        <v>15</v>
      </c>
    </row>
    <row r="2" customFormat="false" ht="15" hidden="false" customHeight="false" outlineLevel="0" collapsed="false">
      <c r="A2" s="2" t="s">
        <v>16</v>
      </c>
    </row>
    <row r="4" customFormat="false" ht="15" hidden="false" customHeight="false" outlineLevel="0" collapsed="false">
      <c r="A4" s="5"/>
      <c r="B4" s="5" t="s">
        <v>17</v>
      </c>
      <c r="C4" s="5" t="s">
        <v>18</v>
      </c>
      <c r="D4" s="5" t="s">
        <v>19</v>
      </c>
      <c r="E4" s="5" t="s">
        <v>20</v>
      </c>
    </row>
    <row r="5" customFormat="false" ht="15" hidden="false" customHeight="false" outlineLevel="0" collapsed="false">
      <c r="A5" s="3" t="s">
        <v>21</v>
      </c>
      <c r="B5" s="6" t="s">
        <v>22</v>
      </c>
      <c r="C5" s="7" t="s">
        <v>23</v>
      </c>
      <c r="D5" s="7" t="s">
        <v>24</v>
      </c>
      <c r="E5" s="7"/>
    </row>
    <row r="6" customFormat="false" ht="15" hidden="false" customHeight="false" outlineLevel="0" collapsed="false">
      <c r="A6" s="3" t="s">
        <v>25</v>
      </c>
      <c r="B6" s="8" t="n">
        <v>50000</v>
      </c>
      <c r="C6" s="9" t="n">
        <v>50000</v>
      </c>
      <c r="D6" s="9" t="n">
        <v>50000</v>
      </c>
      <c r="E6" s="9"/>
    </row>
    <row r="7" customFormat="false" ht="15" hidden="false" customHeight="false" outlineLevel="0" collapsed="false">
      <c r="A7" s="3" t="s">
        <v>26</v>
      </c>
      <c r="B7" s="10" t="n">
        <v>6</v>
      </c>
      <c r="C7" s="11" t="n">
        <v>5.5</v>
      </c>
      <c r="D7" s="11" t="n">
        <v>7.2</v>
      </c>
      <c r="E7" s="11"/>
    </row>
    <row r="8" customFormat="false" ht="15" hidden="false" customHeight="false" outlineLevel="0" collapsed="false">
      <c r="A8" s="3" t="s">
        <v>27</v>
      </c>
      <c r="B8" s="12" t="n">
        <v>60</v>
      </c>
      <c r="C8" s="13" t="n">
        <v>60</v>
      </c>
      <c r="D8" s="13" t="n">
        <v>48</v>
      </c>
      <c r="E8" s="13"/>
    </row>
    <row r="9" customFormat="false" ht="15" hidden="false" customHeight="false" outlineLevel="0" collapsed="false">
      <c r="A9" s="3" t="s">
        <v>28</v>
      </c>
      <c r="B9" s="8" t="n">
        <v>500</v>
      </c>
      <c r="C9" s="9" t="n">
        <v>1250</v>
      </c>
      <c r="D9" s="9" t="n">
        <v>0</v>
      </c>
      <c r="E9" s="9"/>
    </row>
    <row r="10" customFormat="false" ht="15" hidden="false" customHeight="false" outlineLevel="0" collapsed="false">
      <c r="A10" s="4" t="s">
        <v>29</v>
      </c>
      <c r="B10" s="14" t="n">
        <f aca="false">IF(B6="","",ROUND(-PMT(B7/100/12,B8,B6),2))</f>
        <v>966.64</v>
      </c>
      <c r="C10" s="14" t="n">
        <f aca="false">IF(C6="","",ROUND(-PMT(C7/100/12,C8,C6),2))</f>
        <v>955.06</v>
      </c>
      <c r="D10" s="14" t="n">
        <f aca="false">IF(D6="","",ROUND(-PMT(D7/100/12,D8,D6),2))</f>
        <v>1201.96</v>
      </c>
      <c r="E10" s="14" t="str">
        <f aca="false">IF(E6="","",ROUND(-PMT(E7/100/12,E8,E6),2))</f>
        <v/>
      </c>
    </row>
    <row r="11" customFormat="false" ht="15" hidden="false" customHeight="false" outlineLevel="0" collapsed="false">
      <c r="A11" s="4" t="s">
        <v>30</v>
      </c>
      <c r="B11" s="15" t="n">
        <f aca="false">IF(B6="","",B10*B8)</f>
        <v>57998.4</v>
      </c>
      <c r="C11" s="15" t="n">
        <f aca="false">IF(C6="","",C10*C8)</f>
        <v>57303.6</v>
      </c>
      <c r="D11" s="15" t="n">
        <f aca="false">IF(D6="","",D10*D8)</f>
        <v>57694.08</v>
      </c>
      <c r="E11" s="15" t="str">
        <f aca="false">IF(E6="","",E10*E8)</f>
        <v/>
      </c>
    </row>
    <row r="12" customFormat="false" ht="15" hidden="false" customHeight="false" outlineLevel="0" collapsed="false">
      <c r="A12" s="4" t="s">
        <v>31</v>
      </c>
      <c r="B12" s="15" t="n">
        <f aca="false">IF(B6="","",B11-B6)</f>
        <v>7998.4</v>
      </c>
      <c r="C12" s="15" t="n">
        <f aca="false">IF(C6="","",C11-C6)</f>
        <v>7303.6</v>
      </c>
      <c r="D12" s="15" t="n">
        <f aca="false">IF(D6="","",D11-D6)</f>
        <v>7694.08</v>
      </c>
      <c r="E12" s="15" t="str">
        <f aca="false">IF(E6="","",E11-E6)</f>
        <v/>
      </c>
    </row>
    <row r="13" customFormat="false" ht="15" hidden="false" customHeight="false" outlineLevel="0" collapsed="false">
      <c r="A13" s="4" t="s">
        <v>32</v>
      </c>
      <c r="B13" s="14" t="n">
        <f aca="false">IF(B6="","",B12+B9)</f>
        <v>8498.4</v>
      </c>
      <c r="C13" s="14" t="n">
        <f aca="false">IF(C6="","",C12+C9)</f>
        <v>8553.6</v>
      </c>
      <c r="D13" s="14" t="n">
        <f aca="false">IF(D6="","",D12+D9)</f>
        <v>7694.08</v>
      </c>
      <c r="E13" s="14" t="str">
        <f aca="false">IF(E6="","",E12+E9)</f>
        <v/>
      </c>
    </row>
    <row r="14" customFormat="false" ht="15" hidden="false" customHeight="false" outlineLevel="0" collapsed="false">
      <c r="A14" s="4" t="s">
        <v>33</v>
      </c>
      <c r="B14" s="16" t="n">
        <f aca="false">IF(B6="","",IF(B9=0,B7,ROUND(RATE(B8,-B10,B6-B9)*12*100,2)))</f>
        <v>6.42</v>
      </c>
      <c r="C14" s="16" t="n">
        <f aca="false">IF(C6="","",IF(C9=0,C7,ROUND(RATE(C8,-C10,C6-C9)*12*100,2)))</f>
        <v>6.55</v>
      </c>
      <c r="D14" s="16" t="n">
        <f aca="false">IF(D6="","",IF(D9=0,D7,ROUND(RATE(D8,-D10,D6-D9)*12*100,2)))</f>
        <v>7.2</v>
      </c>
      <c r="E14" s="16" t="str">
        <f aca="false">IF(E6="","",IF(E9=0,E7,ROUND(RATE(E8,-E10,E6-E9)*12*100,2)))</f>
        <v/>
      </c>
    </row>
    <row r="15" customFormat="false" ht="15" hidden="false" customHeight="false" outlineLevel="0" collapsed="false">
      <c r="A15" s="4" t="s">
        <v>34</v>
      </c>
      <c r="B15" s="15" t="n">
        <f aca="false">IF(B6="","",B6-B9)</f>
        <v>49500</v>
      </c>
      <c r="C15" s="15" t="n">
        <f aca="false">IF(C6="","",C6-C9)</f>
        <v>48750</v>
      </c>
      <c r="D15" s="15" t="n">
        <f aca="false">IF(D6="","",D6-D9)</f>
        <v>50000</v>
      </c>
      <c r="E15" s="15" t="str">
        <f aca="false">IF(E6="","",E6-E9)</f>
        <v/>
      </c>
    </row>
    <row r="16" customFormat="false" ht="15" hidden="false" customHeight="false" outlineLevel="0" collapsed="false">
      <c r="A16" s="4" t="s">
        <v>35</v>
      </c>
      <c r="B16" s="17" t="n">
        <f aca="false">IF(B6="","",COUNTIF($B$13:$E$13,"&lt;"&amp;B13)+1)</f>
        <v>2</v>
      </c>
      <c r="C16" s="17" t="n">
        <f aca="false">IF(C6="","",COUNTIF($B$13:$E$13,"&lt;"&amp;C13)+1)</f>
        <v>3</v>
      </c>
      <c r="D16" s="17" t="n">
        <f aca="false">IF(D6="","",COUNTIF($B$13:$E$13,"&lt;"&amp;D13)+1)</f>
        <v>1</v>
      </c>
      <c r="E16" s="17" t="str">
        <f aca="false">IF(E6="","",COUNTIF($B$13:$E$13,"&lt;"&amp;E13)+1)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4"/>
    <col collapsed="false" customWidth="true" hidden="false" outlineLevel="0" max="6" min="4" style="0" width="12"/>
    <col collapsed="false" customWidth="true" hidden="false" outlineLevel="0" max="7" min="7" style="0" width="14"/>
  </cols>
  <sheetData>
    <row r="1" customFormat="false" ht="17.35" hidden="false" customHeight="false" outlineLevel="0" collapsed="false">
      <c r="A1" s="1" t="s">
        <v>36</v>
      </c>
    </row>
    <row r="2" customFormat="false" ht="15" hidden="false" customHeight="false" outlineLevel="0" collapsed="false">
      <c r="A2" s="3" t="s">
        <v>25</v>
      </c>
      <c r="B2" s="8" t="n">
        <v>20000</v>
      </c>
    </row>
    <row r="3" customFormat="false" ht="15" hidden="false" customHeight="false" outlineLevel="0" collapsed="false">
      <c r="A3" s="3" t="s">
        <v>26</v>
      </c>
      <c r="B3" s="10" t="n">
        <v>7</v>
      </c>
    </row>
    <row r="4" customFormat="false" ht="15" hidden="false" customHeight="false" outlineLevel="0" collapsed="false">
      <c r="A4" s="3" t="s">
        <v>37</v>
      </c>
      <c r="B4" s="12" t="n">
        <v>48</v>
      </c>
    </row>
    <row r="5" customFormat="false" ht="15" hidden="false" customHeight="false" outlineLevel="0" collapsed="false">
      <c r="A5" s="3" t="s">
        <v>38</v>
      </c>
      <c r="B5" s="8" t="n">
        <v>150</v>
      </c>
    </row>
    <row r="6" customFormat="false" ht="15" hidden="false" customHeight="false" outlineLevel="0" collapsed="false">
      <c r="A6" s="3" t="s">
        <v>39</v>
      </c>
      <c r="B6" s="18" t="n">
        <v>46296</v>
      </c>
    </row>
    <row r="8" customFormat="false" ht="15" hidden="false" customHeight="false" outlineLevel="0" collapsed="false">
      <c r="A8" s="4" t="s">
        <v>40</v>
      </c>
      <c r="B8" s="14" t="n">
        <f aca="false">ROUND(-PMT(B3/100/12,B4,B2),2)</f>
        <v>478.92</v>
      </c>
    </row>
    <row r="9" customFormat="false" ht="15" hidden="false" customHeight="false" outlineLevel="0" collapsed="false">
      <c r="A9" s="4" t="s">
        <v>41</v>
      </c>
      <c r="B9" s="14" t="n">
        <f aca="false">ROUND(B8*B4-B2,2)</f>
        <v>2988.16</v>
      </c>
    </row>
    <row r="10" customFormat="false" ht="15" hidden="false" customHeight="false" outlineLevel="0" collapsed="false">
      <c r="A10" s="4" t="s">
        <v>42</v>
      </c>
      <c r="B10" s="17" t="n">
        <f aca="false">MAX(A14:A373)</f>
        <v>36</v>
      </c>
      <c r="C10" s="4" t="s">
        <v>43</v>
      </c>
      <c r="D10" s="19" t="n">
        <f aca="false">IF(B10=0,"",EDATE(B6,B10-1))</f>
        <v>47362</v>
      </c>
    </row>
    <row r="11" customFormat="false" ht="15" hidden="false" customHeight="false" outlineLevel="0" collapsed="false">
      <c r="A11" s="4" t="s">
        <v>44</v>
      </c>
      <c r="B11" s="14" t="n">
        <f aca="false">SUM(E14:E373)</f>
        <v>2186.79</v>
      </c>
      <c r="C11" s="4" t="s">
        <v>45</v>
      </c>
      <c r="D11" s="17" t="n">
        <f aca="false">MAX(0,B4-B10)</f>
        <v>12</v>
      </c>
    </row>
    <row r="12" customFormat="false" ht="15" hidden="false" customHeight="false" outlineLevel="0" collapsed="false">
      <c r="A12" s="4" t="s">
        <v>46</v>
      </c>
      <c r="B12" s="14" t="n">
        <f aca="false">ROUND(B9-B11,2)</f>
        <v>801.37</v>
      </c>
    </row>
    <row r="13" customFormat="false" ht="26.85" hidden="false" customHeight="false" outlineLevel="0" collapsed="false">
      <c r="A13" s="5" t="s">
        <v>47</v>
      </c>
      <c r="B13" s="5" t="s">
        <v>48</v>
      </c>
      <c r="C13" s="5" t="s">
        <v>49</v>
      </c>
      <c r="D13" s="5" t="s">
        <v>50</v>
      </c>
      <c r="E13" s="5" t="s">
        <v>51</v>
      </c>
      <c r="F13" s="5" t="s">
        <v>52</v>
      </c>
      <c r="G13" s="5" t="s">
        <v>53</v>
      </c>
    </row>
    <row r="14" customFormat="false" ht="15" hidden="false" customHeight="false" outlineLevel="0" collapsed="false">
      <c r="A14" s="20" t="n">
        <f aca="false">IF($B$2="","",1)</f>
        <v>1</v>
      </c>
      <c r="B14" s="21" t="n">
        <f aca="false">IF(A14="","",EDATE($B$6,A14-1))</f>
        <v>46296</v>
      </c>
      <c r="C14" s="15" t="n">
        <f aca="false">IF(A14="","",$B$2)</f>
        <v>20000</v>
      </c>
      <c r="D14" s="15" t="n">
        <f aca="false">IF(A14="","",IF(A14&gt;=$B$4,C14+E14,MIN($B$8+$B$5,C14+E14)))</f>
        <v>628.92</v>
      </c>
      <c r="E14" s="15" t="n">
        <f aca="false">IF(A14="","",ROUND(C14*$B$3/100/12,2))</f>
        <v>116.67</v>
      </c>
      <c r="F14" s="15" t="n">
        <f aca="false">IF(A14="","",D14-E14)</f>
        <v>512.25</v>
      </c>
      <c r="G14" s="15" t="n">
        <f aca="false">IF(A14="","",ROUND(C14-F14,2))</f>
        <v>19487.75</v>
      </c>
    </row>
    <row r="15" customFormat="false" ht="15" hidden="false" customHeight="false" outlineLevel="0" collapsed="false">
      <c r="A15" s="20" t="n">
        <f aca="false">IF(A14="","",IF(G14&lt;=0.005,"",A14+1))</f>
        <v>2</v>
      </c>
      <c r="B15" s="21" t="n">
        <f aca="false">IF(A15="","",EDATE($B$6,A15-1))</f>
        <v>46327</v>
      </c>
      <c r="C15" s="15" t="n">
        <f aca="false">IF(A15="","",G14)</f>
        <v>19487.75</v>
      </c>
      <c r="D15" s="15" t="n">
        <f aca="false">IF(A15="","",IF(A15&gt;=$B$4,C15+E15,MIN($B$8+$B$5,C15+E15)))</f>
        <v>628.92</v>
      </c>
      <c r="E15" s="15" t="n">
        <f aca="false">IF(A15="","",ROUND(C15*$B$3/100/12,2))</f>
        <v>113.68</v>
      </c>
      <c r="F15" s="15" t="n">
        <f aca="false">IF(A15="","",D15-E15)</f>
        <v>515.24</v>
      </c>
      <c r="G15" s="15" t="n">
        <f aca="false">IF(A15="","",ROUND(C15-F15,2))</f>
        <v>18972.51</v>
      </c>
    </row>
    <row r="16" customFormat="false" ht="15" hidden="false" customHeight="false" outlineLevel="0" collapsed="false">
      <c r="A16" s="20" t="n">
        <f aca="false">IF(A15="","",IF(G15&lt;=0.005,"",A15+1))</f>
        <v>3</v>
      </c>
      <c r="B16" s="21" t="n">
        <f aca="false">IF(A16="","",EDATE($B$6,A16-1))</f>
        <v>46357</v>
      </c>
      <c r="C16" s="15" t="n">
        <f aca="false">IF(A16="","",G15)</f>
        <v>18972.51</v>
      </c>
      <c r="D16" s="15" t="n">
        <f aca="false">IF(A16="","",IF(A16&gt;=$B$4,C16+E16,MIN($B$8+$B$5,C16+E16)))</f>
        <v>628.92</v>
      </c>
      <c r="E16" s="15" t="n">
        <f aca="false">IF(A16="","",ROUND(C16*$B$3/100/12,2))</f>
        <v>110.67</v>
      </c>
      <c r="F16" s="15" t="n">
        <f aca="false">IF(A16="","",D16-E16)</f>
        <v>518.25</v>
      </c>
      <c r="G16" s="15" t="n">
        <f aca="false">IF(A16="","",ROUND(C16-F16,2))</f>
        <v>18454.26</v>
      </c>
    </row>
    <row r="17" customFormat="false" ht="15" hidden="false" customHeight="false" outlineLevel="0" collapsed="false">
      <c r="A17" s="20" t="n">
        <f aca="false">IF(A16="","",IF(G16&lt;=0.005,"",A16+1))</f>
        <v>4</v>
      </c>
      <c r="B17" s="21" t="n">
        <f aca="false">IF(A17="","",EDATE($B$6,A17-1))</f>
        <v>46388</v>
      </c>
      <c r="C17" s="15" t="n">
        <f aca="false">IF(A17="","",G16)</f>
        <v>18454.26</v>
      </c>
      <c r="D17" s="15" t="n">
        <f aca="false">IF(A17="","",IF(A17&gt;=$B$4,C17+E17,MIN($B$8+$B$5,C17+E17)))</f>
        <v>628.92</v>
      </c>
      <c r="E17" s="15" t="n">
        <f aca="false">IF(A17="","",ROUND(C17*$B$3/100/12,2))</f>
        <v>107.65</v>
      </c>
      <c r="F17" s="15" t="n">
        <f aca="false">IF(A17="","",D17-E17)</f>
        <v>521.27</v>
      </c>
      <c r="G17" s="15" t="n">
        <f aca="false">IF(A17="","",ROUND(C17-F17,2))</f>
        <v>17932.99</v>
      </c>
    </row>
    <row r="18" customFormat="false" ht="15" hidden="false" customHeight="false" outlineLevel="0" collapsed="false">
      <c r="A18" s="20" t="n">
        <f aca="false">IF(A17="","",IF(G17&lt;=0.005,"",A17+1))</f>
        <v>5</v>
      </c>
      <c r="B18" s="21" t="n">
        <f aca="false">IF(A18="","",EDATE($B$6,A18-1))</f>
        <v>46419</v>
      </c>
      <c r="C18" s="15" t="n">
        <f aca="false">IF(A18="","",G17)</f>
        <v>17932.99</v>
      </c>
      <c r="D18" s="15" t="n">
        <f aca="false">IF(A18="","",IF(A18&gt;=$B$4,C18+E18,MIN($B$8+$B$5,C18+E18)))</f>
        <v>628.92</v>
      </c>
      <c r="E18" s="15" t="n">
        <f aca="false">IF(A18="","",ROUND(C18*$B$3/100/12,2))</f>
        <v>104.61</v>
      </c>
      <c r="F18" s="15" t="n">
        <f aca="false">IF(A18="","",D18-E18)</f>
        <v>524.31</v>
      </c>
      <c r="G18" s="15" t="n">
        <f aca="false">IF(A18="","",ROUND(C18-F18,2))</f>
        <v>17408.68</v>
      </c>
    </row>
    <row r="19" customFormat="false" ht="15" hidden="false" customHeight="false" outlineLevel="0" collapsed="false">
      <c r="A19" s="20" t="n">
        <f aca="false">IF(A18="","",IF(G18&lt;=0.005,"",A18+1))</f>
        <v>6</v>
      </c>
      <c r="B19" s="21" t="n">
        <f aca="false">IF(A19="","",EDATE($B$6,A19-1))</f>
        <v>46447</v>
      </c>
      <c r="C19" s="15" t="n">
        <f aca="false">IF(A19="","",G18)</f>
        <v>17408.68</v>
      </c>
      <c r="D19" s="15" t="n">
        <f aca="false">IF(A19="","",IF(A19&gt;=$B$4,C19+E19,MIN($B$8+$B$5,C19+E19)))</f>
        <v>628.92</v>
      </c>
      <c r="E19" s="15" t="n">
        <f aca="false">IF(A19="","",ROUND(C19*$B$3/100/12,2))</f>
        <v>101.55</v>
      </c>
      <c r="F19" s="15" t="n">
        <f aca="false">IF(A19="","",D19-E19)</f>
        <v>527.37</v>
      </c>
      <c r="G19" s="15" t="n">
        <f aca="false">IF(A19="","",ROUND(C19-F19,2))</f>
        <v>16881.31</v>
      </c>
    </row>
    <row r="20" customFormat="false" ht="15" hidden="false" customHeight="false" outlineLevel="0" collapsed="false">
      <c r="A20" s="20" t="n">
        <f aca="false">IF(A19="","",IF(G19&lt;=0.005,"",A19+1))</f>
        <v>7</v>
      </c>
      <c r="B20" s="21" t="n">
        <f aca="false">IF(A20="","",EDATE($B$6,A20-1))</f>
        <v>46478</v>
      </c>
      <c r="C20" s="15" t="n">
        <f aca="false">IF(A20="","",G19)</f>
        <v>16881.31</v>
      </c>
      <c r="D20" s="15" t="n">
        <f aca="false">IF(A20="","",IF(A20&gt;=$B$4,C20+E20,MIN($B$8+$B$5,C20+E20)))</f>
        <v>628.92</v>
      </c>
      <c r="E20" s="15" t="n">
        <f aca="false">IF(A20="","",ROUND(C20*$B$3/100/12,2))</f>
        <v>98.47</v>
      </c>
      <c r="F20" s="15" t="n">
        <f aca="false">IF(A20="","",D20-E20)</f>
        <v>530.45</v>
      </c>
      <c r="G20" s="15" t="n">
        <f aca="false">IF(A20="","",ROUND(C20-F20,2))</f>
        <v>16350.86</v>
      </c>
    </row>
    <row r="21" customFormat="false" ht="15" hidden="false" customHeight="false" outlineLevel="0" collapsed="false">
      <c r="A21" s="20" t="n">
        <f aca="false">IF(A20="","",IF(G20&lt;=0.005,"",A20+1))</f>
        <v>8</v>
      </c>
      <c r="B21" s="21" t="n">
        <f aca="false">IF(A21="","",EDATE($B$6,A21-1))</f>
        <v>46508</v>
      </c>
      <c r="C21" s="15" t="n">
        <f aca="false">IF(A21="","",G20)</f>
        <v>16350.86</v>
      </c>
      <c r="D21" s="15" t="n">
        <f aca="false">IF(A21="","",IF(A21&gt;=$B$4,C21+E21,MIN($B$8+$B$5,C21+E21)))</f>
        <v>628.92</v>
      </c>
      <c r="E21" s="15" t="n">
        <f aca="false">IF(A21="","",ROUND(C21*$B$3/100/12,2))</f>
        <v>95.38</v>
      </c>
      <c r="F21" s="15" t="n">
        <f aca="false">IF(A21="","",D21-E21)</f>
        <v>533.54</v>
      </c>
      <c r="G21" s="15" t="n">
        <f aca="false">IF(A21="","",ROUND(C21-F21,2))</f>
        <v>15817.32</v>
      </c>
    </row>
    <row r="22" customFormat="false" ht="15" hidden="false" customHeight="false" outlineLevel="0" collapsed="false">
      <c r="A22" s="20" t="n">
        <f aca="false">IF(A21="","",IF(G21&lt;=0.005,"",A21+1))</f>
        <v>9</v>
      </c>
      <c r="B22" s="21" t="n">
        <f aca="false">IF(A22="","",EDATE($B$6,A22-1))</f>
        <v>46539</v>
      </c>
      <c r="C22" s="15" t="n">
        <f aca="false">IF(A22="","",G21)</f>
        <v>15817.32</v>
      </c>
      <c r="D22" s="15" t="n">
        <f aca="false">IF(A22="","",IF(A22&gt;=$B$4,C22+E22,MIN($B$8+$B$5,C22+E22)))</f>
        <v>628.92</v>
      </c>
      <c r="E22" s="15" t="n">
        <f aca="false">IF(A22="","",ROUND(C22*$B$3/100/12,2))</f>
        <v>92.27</v>
      </c>
      <c r="F22" s="15" t="n">
        <f aca="false">IF(A22="","",D22-E22)</f>
        <v>536.65</v>
      </c>
      <c r="G22" s="15" t="n">
        <f aca="false">IF(A22="","",ROUND(C22-F22,2))</f>
        <v>15280.67</v>
      </c>
    </row>
    <row r="23" customFormat="false" ht="15" hidden="false" customHeight="false" outlineLevel="0" collapsed="false">
      <c r="A23" s="20" t="n">
        <f aca="false">IF(A22="","",IF(G22&lt;=0.005,"",A22+1))</f>
        <v>10</v>
      </c>
      <c r="B23" s="21" t="n">
        <f aca="false">IF(A23="","",EDATE($B$6,A23-1))</f>
        <v>46569</v>
      </c>
      <c r="C23" s="15" t="n">
        <f aca="false">IF(A23="","",G22)</f>
        <v>15280.67</v>
      </c>
      <c r="D23" s="15" t="n">
        <f aca="false">IF(A23="","",IF(A23&gt;=$B$4,C23+E23,MIN($B$8+$B$5,C23+E23)))</f>
        <v>628.92</v>
      </c>
      <c r="E23" s="15" t="n">
        <f aca="false">IF(A23="","",ROUND(C23*$B$3/100/12,2))</f>
        <v>89.14</v>
      </c>
      <c r="F23" s="15" t="n">
        <f aca="false">IF(A23="","",D23-E23)</f>
        <v>539.78</v>
      </c>
      <c r="G23" s="15" t="n">
        <f aca="false">IF(A23="","",ROUND(C23-F23,2))</f>
        <v>14740.89</v>
      </c>
    </row>
    <row r="24" customFormat="false" ht="15" hidden="false" customHeight="false" outlineLevel="0" collapsed="false">
      <c r="A24" s="20" t="n">
        <f aca="false">IF(A23="","",IF(G23&lt;=0.005,"",A23+1))</f>
        <v>11</v>
      </c>
      <c r="B24" s="21" t="n">
        <f aca="false">IF(A24="","",EDATE($B$6,A24-1))</f>
        <v>46600</v>
      </c>
      <c r="C24" s="15" t="n">
        <f aca="false">IF(A24="","",G23)</f>
        <v>14740.89</v>
      </c>
      <c r="D24" s="15" t="n">
        <f aca="false">IF(A24="","",IF(A24&gt;=$B$4,C24+E24,MIN($B$8+$B$5,C24+E24)))</f>
        <v>628.92</v>
      </c>
      <c r="E24" s="15" t="n">
        <f aca="false">IF(A24="","",ROUND(C24*$B$3/100/12,2))</f>
        <v>85.99</v>
      </c>
      <c r="F24" s="15" t="n">
        <f aca="false">IF(A24="","",D24-E24)</f>
        <v>542.93</v>
      </c>
      <c r="G24" s="15" t="n">
        <f aca="false">IF(A24="","",ROUND(C24-F24,2))</f>
        <v>14197.96</v>
      </c>
    </row>
    <row r="25" customFormat="false" ht="15" hidden="false" customHeight="false" outlineLevel="0" collapsed="false">
      <c r="A25" s="20" t="n">
        <f aca="false">IF(A24="","",IF(G24&lt;=0.005,"",A24+1))</f>
        <v>12</v>
      </c>
      <c r="B25" s="21" t="n">
        <f aca="false">IF(A25="","",EDATE($B$6,A25-1))</f>
        <v>46631</v>
      </c>
      <c r="C25" s="15" t="n">
        <f aca="false">IF(A25="","",G24)</f>
        <v>14197.96</v>
      </c>
      <c r="D25" s="15" t="n">
        <f aca="false">IF(A25="","",IF(A25&gt;=$B$4,C25+E25,MIN($B$8+$B$5,C25+E25)))</f>
        <v>628.92</v>
      </c>
      <c r="E25" s="15" t="n">
        <f aca="false">IF(A25="","",ROUND(C25*$B$3/100/12,2))</f>
        <v>82.82</v>
      </c>
      <c r="F25" s="15" t="n">
        <f aca="false">IF(A25="","",D25-E25)</f>
        <v>546.1</v>
      </c>
      <c r="G25" s="15" t="n">
        <f aca="false">IF(A25="","",ROUND(C25-F25,2))</f>
        <v>13651.86</v>
      </c>
    </row>
    <row r="26" customFormat="false" ht="15" hidden="false" customHeight="false" outlineLevel="0" collapsed="false">
      <c r="A26" s="20" t="n">
        <f aca="false">IF(A25="","",IF(G25&lt;=0.005,"",A25+1))</f>
        <v>13</v>
      </c>
      <c r="B26" s="21" t="n">
        <f aca="false">IF(A26="","",EDATE($B$6,A26-1))</f>
        <v>46661</v>
      </c>
      <c r="C26" s="15" t="n">
        <f aca="false">IF(A26="","",G25)</f>
        <v>13651.86</v>
      </c>
      <c r="D26" s="15" t="n">
        <f aca="false">IF(A26="","",IF(A26&gt;=$B$4,C26+E26,MIN($B$8+$B$5,C26+E26)))</f>
        <v>628.92</v>
      </c>
      <c r="E26" s="15" t="n">
        <f aca="false">IF(A26="","",ROUND(C26*$B$3/100/12,2))</f>
        <v>79.64</v>
      </c>
      <c r="F26" s="15" t="n">
        <f aca="false">IF(A26="","",D26-E26)</f>
        <v>549.28</v>
      </c>
      <c r="G26" s="15" t="n">
        <f aca="false">IF(A26="","",ROUND(C26-F26,2))</f>
        <v>13102.58</v>
      </c>
    </row>
    <row r="27" customFormat="false" ht="15" hidden="false" customHeight="false" outlineLevel="0" collapsed="false">
      <c r="A27" s="20" t="n">
        <f aca="false">IF(A26="","",IF(G26&lt;=0.005,"",A26+1))</f>
        <v>14</v>
      </c>
      <c r="B27" s="21" t="n">
        <f aca="false">IF(A27="","",EDATE($B$6,A27-1))</f>
        <v>46692</v>
      </c>
      <c r="C27" s="15" t="n">
        <f aca="false">IF(A27="","",G26)</f>
        <v>13102.58</v>
      </c>
      <c r="D27" s="15" t="n">
        <f aca="false">IF(A27="","",IF(A27&gt;=$B$4,C27+E27,MIN($B$8+$B$5,C27+E27)))</f>
        <v>628.92</v>
      </c>
      <c r="E27" s="15" t="n">
        <f aca="false">IF(A27="","",ROUND(C27*$B$3/100/12,2))</f>
        <v>76.43</v>
      </c>
      <c r="F27" s="15" t="n">
        <f aca="false">IF(A27="","",D27-E27)</f>
        <v>552.49</v>
      </c>
      <c r="G27" s="15" t="n">
        <f aca="false">IF(A27="","",ROUND(C27-F27,2))</f>
        <v>12550.09</v>
      </c>
    </row>
    <row r="28" customFormat="false" ht="15" hidden="false" customHeight="false" outlineLevel="0" collapsed="false">
      <c r="A28" s="20" t="n">
        <f aca="false">IF(A27="","",IF(G27&lt;=0.005,"",A27+1))</f>
        <v>15</v>
      </c>
      <c r="B28" s="21" t="n">
        <f aca="false">IF(A28="","",EDATE($B$6,A28-1))</f>
        <v>46722</v>
      </c>
      <c r="C28" s="15" t="n">
        <f aca="false">IF(A28="","",G27)</f>
        <v>12550.09</v>
      </c>
      <c r="D28" s="15" t="n">
        <f aca="false">IF(A28="","",IF(A28&gt;=$B$4,C28+E28,MIN($B$8+$B$5,C28+E28)))</f>
        <v>628.92</v>
      </c>
      <c r="E28" s="15" t="n">
        <f aca="false">IF(A28="","",ROUND(C28*$B$3/100/12,2))</f>
        <v>73.21</v>
      </c>
      <c r="F28" s="15" t="n">
        <f aca="false">IF(A28="","",D28-E28)</f>
        <v>555.71</v>
      </c>
      <c r="G28" s="15" t="n">
        <f aca="false">IF(A28="","",ROUND(C28-F28,2))</f>
        <v>11994.38</v>
      </c>
    </row>
    <row r="29" customFormat="false" ht="15" hidden="false" customHeight="false" outlineLevel="0" collapsed="false">
      <c r="A29" s="20" t="n">
        <f aca="false">IF(A28="","",IF(G28&lt;=0.005,"",A28+1))</f>
        <v>16</v>
      </c>
      <c r="B29" s="21" t="n">
        <f aca="false">IF(A29="","",EDATE($B$6,A29-1))</f>
        <v>46753</v>
      </c>
      <c r="C29" s="15" t="n">
        <f aca="false">IF(A29="","",G28)</f>
        <v>11994.38</v>
      </c>
      <c r="D29" s="15" t="n">
        <f aca="false">IF(A29="","",IF(A29&gt;=$B$4,C29+E29,MIN($B$8+$B$5,C29+E29)))</f>
        <v>628.92</v>
      </c>
      <c r="E29" s="15" t="n">
        <f aca="false">IF(A29="","",ROUND(C29*$B$3/100/12,2))</f>
        <v>69.97</v>
      </c>
      <c r="F29" s="15" t="n">
        <f aca="false">IF(A29="","",D29-E29)</f>
        <v>558.95</v>
      </c>
      <c r="G29" s="15" t="n">
        <f aca="false">IF(A29="","",ROUND(C29-F29,2))</f>
        <v>11435.43</v>
      </c>
    </row>
    <row r="30" customFormat="false" ht="15" hidden="false" customHeight="false" outlineLevel="0" collapsed="false">
      <c r="A30" s="20" t="n">
        <f aca="false">IF(A29="","",IF(G29&lt;=0.005,"",A29+1))</f>
        <v>17</v>
      </c>
      <c r="B30" s="21" t="n">
        <f aca="false">IF(A30="","",EDATE($B$6,A30-1))</f>
        <v>46784</v>
      </c>
      <c r="C30" s="15" t="n">
        <f aca="false">IF(A30="","",G29)</f>
        <v>11435.43</v>
      </c>
      <c r="D30" s="15" t="n">
        <f aca="false">IF(A30="","",IF(A30&gt;=$B$4,C30+E30,MIN($B$8+$B$5,C30+E30)))</f>
        <v>628.92</v>
      </c>
      <c r="E30" s="15" t="n">
        <f aca="false">IF(A30="","",ROUND(C30*$B$3/100/12,2))</f>
        <v>66.71</v>
      </c>
      <c r="F30" s="15" t="n">
        <f aca="false">IF(A30="","",D30-E30)</f>
        <v>562.21</v>
      </c>
      <c r="G30" s="15" t="n">
        <f aca="false">IF(A30="","",ROUND(C30-F30,2))</f>
        <v>10873.22</v>
      </c>
    </row>
    <row r="31" customFormat="false" ht="15" hidden="false" customHeight="false" outlineLevel="0" collapsed="false">
      <c r="A31" s="20" t="n">
        <f aca="false">IF(A30="","",IF(G30&lt;=0.005,"",A30+1))</f>
        <v>18</v>
      </c>
      <c r="B31" s="21" t="n">
        <f aca="false">IF(A31="","",EDATE($B$6,A31-1))</f>
        <v>46813</v>
      </c>
      <c r="C31" s="15" t="n">
        <f aca="false">IF(A31="","",G30)</f>
        <v>10873.22</v>
      </c>
      <c r="D31" s="15" t="n">
        <f aca="false">IF(A31="","",IF(A31&gt;=$B$4,C31+E31,MIN($B$8+$B$5,C31+E31)))</f>
        <v>628.92</v>
      </c>
      <c r="E31" s="15" t="n">
        <f aca="false">IF(A31="","",ROUND(C31*$B$3/100/12,2))</f>
        <v>63.43</v>
      </c>
      <c r="F31" s="15" t="n">
        <f aca="false">IF(A31="","",D31-E31)</f>
        <v>565.49</v>
      </c>
      <c r="G31" s="15" t="n">
        <f aca="false">IF(A31="","",ROUND(C31-F31,2))</f>
        <v>10307.73</v>
      </c>
    </row>
    <row r="32" customFormat="false" ht="15" hidden="false" customHeight="false" outlineLevel="0" collapsed="false">
      <c r="A32" s="20" t="n">
        <f aca="false">IF(A31="","",IF(G31&lt;=0.005,"",A31+1))</f>
        <v>19</v>
      </c>
      <c r="B32" s="21" t="n">
        <f aca="false">IF(A32="","",EDATE($B$6,A32-1))</f>
        <v>46844</v>
      </c>
      <c r="C32" s="15" t="n">
        <f aca="false">IF(A32="","",G31)</f>
        <v>10307.73</v>
      </c>
      <c r="D32" s="15" t="n">
        <f aca="false">IF(A32="","",IF(A32&gt;=$B$4,C32+E32,MIN($B$8+$B$5,C32+E32)))</f>
        <v>628.92</v>
      </c>
      <c r="E32" s="15" t="n">
        <f aca="false">IF(A32="","",ROUND(C32*$B$3/100/12,2))</f>
        <v>60.13</v>
      </c>
      <c r="F32" s="15" t="n">
        <f aca="false">IF(A32="","",D32-E32)</f>
        <v>568.79</v>
      </c>
      <c r="G32" s="15" t="n">
        <f aca="false">IF(A32="","",ROUND(C32-F32,2))</f>
        <v>9738.94</v>
      </c>
    </row>
    <row r="33" customFormat="false" ht="15" hidden="false" customHeight="false" outlineLevel="0" collapsed="false">
      <c r="A33" s="20" t="n">
        <f aca="false">IF(A32="","",IF(G32&lt;=0.005,"",A32+1))</f>
        <v>20</v>
      </c>
      <c r="B33" s="21" t="n">
        <f aca="false">IF(A33="","",EDATE($B$6,A33-1))</f>
        <v>46874</v>
      </c>
      <c r="C33" s="15" t="n">
        <f aca="false">IF(A33="","",G32)</f>
        <v>9738.94</v>
      </c>
      <c r="D33" s="15" t="n">
        <f aca="false">IF(A33="","",IF(A33&gt;=$B$4,C33+E33,MIN($B$8+$B$5,C33+E33)))</f>
        <v>628.92</v>
      </c>
      <c r="E33" s="15" t="n">
        <f aca="false">IF(A33="","",ROUND(C33*$B$3/100/12,2))</f>
        <v>56.81</v>
      </c>
      <c r="F33" s="15" t="n">
        <f aca="false">IF(A33="","",D33-E33)</f>
        <v>572.11</v>
      </c>
      <c r="G33" s="15" t="n">
        <f aca="false">IF(A33="","",ROUND(C33-F33,2))</f>
        <v>9166.83</v>
      </c>
    </row>
    <row r="34" customFormat="false" ht="15" hidden="false" customHeight="false" outlineLevel="0" collapsed="false">
      <c r="A34" s="20" t="n">
        <f aca="false">IF(A33="","",IF(G33&lt;=0.005,"",A33+1))</f>
        <v>21</v>
      </c>
      <c r="B34" s="21" t="n">
        <f aca="false">IF(A34="","",EDATE($B$6,A34-1))</f>
        <v>46905</v>
      </c>
      <c r="C34" s="15" t="n">
        <f aca="false">IF(A34="","",G33)</f>
        <v>9166.83</v>
      </c>
      <c r="D34" s="15" t="n">
        <f aca="false">IF(A34="","",IF(A34&gt;=$B$4,C34+E34,MIN($B$8+$B$5,C34+E34)))</f>
        <v>628.92</v>
      </c>
      <c r="E34" s="15" t="n">
        <f aca="false">IF(A34="","",ROUND(C34*$B$3/100/12,2))</f>
        <v>53.47</v>
      </c>
      <c r="F34" s="15" t="n">
        <f aca="false">IF(A34="","",D34-E34)</f>
        <v>575.45</v>
      </c>
      <c r="G34" s="15" t="n">
        <f aca="false">IF(A34="","",ROUND(C34-F34,2))</f>
        <v>8591.38</v>
      </c>
    </row>
    <row r="35" customFormat="false" ht="15" hidden="false" customHeight="false" outlineLevel="0" collapsed="false">
      <c r="A35" s="20" t="n">
        <f aca="false">IF(A34="","",IF(G34&lt;=0.005,"",A34+1))</f>
        <v>22</v>
      </c>
      <c r="B35" s="21" t="n">
        <f aca="false">IF(A35="","",EDATE($B$6,A35-1))</f>
        <v>46935</v>
      </c>
      <c r="C35" s="15" t="n">
        <f aca="false">IF(A35="","",G34)</f>
        <v>8591.38</v>
      </c>
      <c r="D35" s="15" t="n">
        <f aca="false">IF(A35="","",IF(A35&gt;=$B$4,C35+E35,MIN($B$8+$B$5,C35+E35)))</f>
        <v>628.92</v>
      </c>
      <c r="E35" s="15" t="n">
        <f aca="false">IF(A35="","",ROUND(C35*$B$3/100/12,2))</f>
        <v>50.12</v>
      </c>
      <c r="F35" s="15" t="n">
        <f aca="false">IF(A35="","",D35-E35)</f>
        <v>578.8</v>
      </c>
      <c r="G35" s="15" t="n">
        <f aca="false">IF(A35="","",ROUND(C35-F35,2))</f>
        <v>8012.58</v>
      </c>
    </row>
    <row r="36" customFormat="false" ht="15" hidden="false" customHeight="false" outlineLevel="0" collapsed="false">
      <c r="A36" s="20" t="n">
        <f aca="false">IF(A35="","",IF(G35&lt;=0.005,"",A35+1))</f>
        <v>23</v>
      </c>
      <c r="B36" s="21" t="n">
        <f aca="false">IF(A36="","",EDATE($B$6,A36-1))</f>
        <v>46966</v>
      </c>
      <c r="C36" s="15" t="n">
        <f aca="false">IF(A36="","",G35)</f>
        <v>8012.58</v>
      </c>
      <c r="D36" s="15" t="n">
        <f aca="false">IF(A36="","",IF(A36&gt;=$B$4,C36+E36,MIN($B$8+$B$5,C36+E36)))</f>
        <v>628.92</v>
      </c>
      <c r="E36" s="15" t="n">
        <f aca="false">IF(A36="","",ROUND(C36*$B$3/100/12,2))</f>
        <v>46.74</v>
      </c>
      <c r="F36" s="15" t="n">
        <f aca="false">IF(A36="","",D36-E36)</f>
        <v>582.18</v>
      </c>
      <c r="G36" s="15" t="n">
        <f aca="false">IF(A36="","",ROUND(C36-F36,2))</f>
        <v>7430.4</v>
      </c>
    </row>
    <row r="37" customFormat="false" ht="15" hidden="false" customHeight="false" outlineLevel="0" collapsed="false">
      <c r="A37" s="20" t="n">
        <f aca="false">IF(A36="","",IF(G36&lt;=0.005,"",A36+1))</f>
        <v>24</v>
      </c>
      <c r="B37" s="21" t="n">
        <f aca="false">IF(A37="","",EDATE($B$6,A37-1))</f>
        <v>46997</v>
      </c>
      <c r="C37" s="15" t="n">
        <f aca="false">IF(A37="","",G36)</f>
        <v>7430.4</v>
      </c>
      <c r="D37" s="15" t="n">
        <f aca="false">IF(A37="","",IF(A37&gt;=$B$4,C37+E37,MIN($B$8+$B$5,C37+E37)))</f>
        <v>628.92</v>
      </c>
      <c r="E37" s="15" t="n">
        <f aca="false">IF(A37="","",ROUND(C37*$B$3/100/12,2))</f>
        <v>43.34</v>
      </c>
      <c r="F37" s="15" t="n">
        <f aca="false">IF(A37="","",D37-E37)</f>
        <v>585.58</v>
      </c>
      <c r="G37" s="15" t="n">
        <f aca="false">IF(A37="","",ROUND(C37-F37,2))</f>
        <v>6844.82</v>
      </c>
    </row>
    <row r="38" customFormat="false" ht="15" hidden="false" customHeight="false" outlineLevel="0" collapsed="false">
      <c r="A38" s="20" t="n">
        <f aca="false">IF(A37="","",IF(G37&lt;=0.005,"",A37+1))</f>
        <v>25</v>
      </c>
      <c r="B38" s="21" t="n">
        <f aca="false">IF(A38="","",EDATE($B$6,A38-1))</f>
        <v>47027</v>
      </c>
      <c r="C38" s="15" t="n">
        <f aca="false">IF(A38="","",G37)</f>
        <v>6844.82</v>
      </c>
      <c r="D38" s="15" t="n">
        <f aca="false">IF(A38="","",IF(A38&gt;=$B$4,C38+E38,MIN($B$8+$B$5,C38+E38)))</f>
        <v>628.92</v>
      </c>
      <c r="E38" s="15" t="n">
        <f aca="false">IF(A38="","",ROUND(C38*$B$3/100/12,2))</f>
        <v>39.93</v>
      </c>
      <c r="F38" s="15" t="n">
        <f aca="false">IF(A38="","",D38-E38)</f>
        <v>588.99</v>
      </c>
      <c r="G38" s="15" t="n">
        <f aca="false">IF(A38="","",ROUND(C38-F38,2))</f>
        <v>6255.83</v>
      </c>
    </row>
    <row r="39" customFormat="false" ht="15" hidden="false" customHeight="false" outlineLevel="0" collapsed="false">
      <c r="A39" s="20" t="n">
        <f aca="false">IF(A38="","",IF(G38&lt;=0.005,"",A38+1))</f>
        <v>26</v>
      </c>
      <c r="B39" s="21" t="n">
        <f aca="false">IF(A39="","",EDATE($B$6,A39-1))</f>
        <v>47058</v>
      </c>
      <c r="C39" s="15" t="n">
        <f aca="false">IF(A39="","",G38)</f>
        <v>6255.83</v>
      </c>
      <c r="D39" s="15" t="n">
        <f aca="false">IF(A39="","",IF(A39&gt;=$B$4,C39+E39,MIN($B$8+$B$5,C39+E39)))</f>
        <v>628.92</v>
      </c>
      <c r="E39" s="15" t="n">
        <f aca="false">IF(A39="","",ROUND(C39*$B$3/100/12,2))</f>
        <v>36.49</v>
      </c>
      <c r="F39" s="15" t="n">
        <f aca="false">IF(A39="","",D39-E39)</f>
        <v>592.43</v>
      </c>
      <c r="G39" s="15" t="n">
        <f aca="false">IF(A39="","",ROUND(C39-F39,2))</f>
        <v>5663.4</v>
      </c>
    </row>
    <row r="40" customFormat="false" ht="15" hidden="false" customHeight="false" outlineLevel="0" collapsed="false">
      <c r="A40" s="20" t="n">
        <f aca="false">IF(A39="","",IF(G39&lt;=0.005,"",A39+1))</f>
        <v>27</v>
      </c>
      <c r="B40" s="21" t="n">
        <f aca="false">IF(A40="","",EDATE($B$6,A40-1))</f>
        <v>47088</v>
      </c>
      <c r="C40" s="15" t="n">
        <f aca="false">IF(A40="","",G39)</f>
        <v>5663.4</v>
      </c>
      <c r="D40" s="15" t="n">
        <f aca="false">IF(A40="","",IF(A40&gt;=$B$4,C40+E40,MIN($B$8+$B$5,C40+E40)))</f>
        <v>628.92</v>
      </c>
      <c r="E40" s="15" t="n">
        <f aca="false">IF(A40="","",ROUND(C40*$B$3/100/12,2))</f>
        <v>33.04</v>
      </c>
      <c r="F40" s="15" t="n">
        <f aca="false">IF(A40="","",D40-E40)</f>
        <v>595.88</v>
      </c>
      <c r="G40" s="15" t="n">
        <f aca="false">IF(A40="","",ROUND(C40-F40,2))</f>
        <v>5067.52</v>
      </c>
    </row>
    <row r="41" customFormat="false" ht="15" hidden="false" customHeight="false" outlineLevel="0" collapsed="false">
      <c r="A41" s="20" t="n">
        <f aca="false">IF(A40="","",IF(G40&lt;=0.005,"",A40+1))</f>
        <v>28</v>
      </c>
      <c r="B41" s="21" t="n">
        <f aca="false">IF(A41="","",EDATE($B$6,A41-1))</f>
        <v>47119</v>
      </c>
      <c r="C41" s="15" t="n">
        <f aca="false">IF(A41="","",G40)</f>
        <v>5067.52</v>
      </c>
      <c r="D41" s="15" t="n">
        <f aca="false">IF(A41="","",IF(A41&gt;=$B$4,C41+E41,MIN($B$8+$B$5,C41+E41)))</f>
        <v>628.92</v>
      </c>
      <c r="E41" s="15" t="n">
        <f aca="false">IF(A41="","",ROUND(C41*$B$3/100/12,2))</f>
        <v>29.56</v>
      </c>
      <c r="F41" s="15" t="n">
        <f aca="false">IF(A41="","",D41-E41)</f>
        <v>599.36</v>
      </c>
      <c r="G41" s="15" t="n">
        <f aca="false">IF(A41="","",ROUND(C41-F41,2))</f>
        <v>4468.16</v>
      </c>
    </row>
    <row r="42" customFormat="false" ht="15" hidden="false" customHeight="false" outlineLevel="0" collapsed="false">
      <c r="A42" s="20" t="n">
        <f aca="false">IF(A41="","",IF(G41&lt;=0.005,"",A41+1))</f>
        <v>29</v>
      </c>
      <c r="B42" s="21" t="n">
        <f aca="false">IF(A42="","",EDATE($B$6,A42-1))</f>
        <v>47150</v>
      </c>
      <c r="C42" s="15" t="n">
        <f aca="false">IF(A42="","",G41)</f>
        <v>4468.16</v>
      </c>
      <c r="D42" s="15" t="n">
        <f aca="false">IF(A42="","",IF(A42&gt;=$B$4,C42+E42,MIN($B$8+$B$5,C42+E42)))</f>
        <v>628.92</v>
      </c>
      <c r="E42" s="15" t="n">
        <f aca="false">IF(A42="","",ROUND(C42*$B$3/100/12,2))</f>
        <v>26.06</v>
      </c>
      <c r="F42" s="15" t="n">
        <f aca="false">IF(A42="","",D42-E42)</f>
        <v>602.86</v>
      </c>
      <c r="G42" s="15" t="n">
        <f aca="false">IF(A42="","",ROUND(C42-F42,2))</f>
        <v>3865.3</v>
      </c>
    </row>
    <row r="43" customFormat="false" ht="15" hidden="false" customHeight="false" outlineLevel="0" collapsed="false">
      <c r="A43" s="20" t="n">
        <f aca="false">IF(A42="","",IF(G42&lt;=0.005,"",A42+1))</f>
        <v>30</v>
      </c>
      <c r="B43" s="21" t="n">
        <f aca="false">IF(A43="","",EDATE($B$6,A43-1))</f>
        <v>47178</v>
      </c>
      <c r="C43" s="15" t="n">
        <f aca="false">IF(A43="","",G42)</f>
        <v>3865.3</v>
      </c>
      <c r="D43" s="15" t="n">
        <f aca="false">IF(A43="","",IF(A43&gt;=$B$4,C43+E43,MIN($B$8+$B$5,C43+E43)))</f>
        <v>628.92</v>
      </c>
      <c r="E43" s="15" t="n">
        <f aca="false">IF(A43="","",ROUND(C43*$B$3/100/12,2))</f>
        <v>22.55</v>
      </c>
      <c r="F43" s="15" t="n">
        <f aca="false">IF(A43="","",D43-E43)</f>
        <v>606.37</v>
      </c>
      <c r="G43" s="15" t="n">
        <f aca="false">IF(A43="","",ROUND(C43-F43,2))</f>
        <v>3258.93</v>
      </c>
    </row>
    <row r="44" customFormat="false" ht="15" hidden="false" customHeight="false" outlineLevel="0" collapsed="false">
      <c r="A44" s="20" t="n">
        <f aca="false">IF(A43="","",IF(G43&lt;=0.005,"",A43+1))</f>
        <v>31</v>
      </c>
      <c r="B44" s="21" t="n">
        <f aca="false">IF(A44="","",EDATE($B$6,A44-1))</f>
        <v>47209</v>
      </c>
      <c r="C44" s="15" t="n">
        <f aca="false">IF(A44="","",G43)</f>
        <v>3258.93</v>
      </c>
      <c r="D44" s="15" t="n">
        <f aca="false">IF(A44="","",IF(A44&gt;=$B$4,C44+E44,MIN($B$8+$B$5,C44+E44)))</f>
        <v>628.92</v>
      </c>
      <c r="E44" s="15" t="n">
        <f aca="false">IF(A44="","",ROUND(C44*$B$3/100/12,2))</f>
        <v>19.01</v>
      </c>
      <c r="F44" s="15" t="n">
        <f aca="false">IF(A44="","",D44-E44)</f>
        <v>609.91</v>
      </c>
      <c r="G44" s="15" t="n">
        <f aca="false">IF(A44="","",ROUND(C44-F44,2))</f>
        <v>2649.02</v>
      </c>
    </row>
    <row r="45" customFormat="false" ht="15" hidden="false" customHeight="false" outlineLevel="0" collapsed="false">
      <c r="A45" s="20" t="n">
        <f aca="false">IF(A44="","",IF(G44&lt;=0.005,"",A44+1))</f>
        <v>32</v>
      </c>
      <c r="B45" s="21" t="n">
        <f aca="false">IF(A45="","",EDATE($B$6,A45-1))</f>
        <v>47239</v>
      </c>
      <c r="C45" s="15" t="n">
        <f aca="false">IF(A45="","",G44)</f>
        <v>2649.02</v>
      </c>
      <c r="D45" s="15" t="n">
        <f aca="false">IF(A45="","",IF(A45&gt;=$B$4,C45+E45,MIN($B$8+$B$5,C45+E45)))</f>
        <v>628.92</v>
      </c>
      <c r="E45" s="15" t="n">
        <f aca="false">IF(A45="","",ROUND(C45*$B$3/100/12,2))</f>
        <v>15.45</v>
      </c>
      <c r="F45" s="15" t="n">
        <f aca="false">IF(A45="","",D45-E45)</f>
        <v>613.47</v>
      </c>
      <c r="G45" s="15" t="n">
        <f aca="false">IF(A45="","",ROUND(C45-F45,2))</f>
        <v>2035.55</v>
      </c>
    </row>
    <row r="46" customFormat="false" ht="15" hidden="false" customHeight="false" outlineLevel="0" collapsed="false">
      <c r="A46" s="20" t="n">
        <f aca="false">IF(A45="","",IF(G45&lt;=0.005,"",A45+1))</f>
        <v>33</v>
      </c>
      <c r="B46" s="21" t="n">
        <f aca="false">IF(A46="","",EDATE($B$6,A46-1))</f>
        <v>47270</v>
      </c>
      <c r="C46" s="15" t="n">
        <f aca="false">IF(A46="","",G45)</f>
        <v>2035.55</v>
      </c>
      <c r="D46" s="15" t="n">
        <f aca="false">IF(A46="","",IF(A46&gt;=$B$4,C46+E46,MIN($B$8+$B$5,C46+E46)))</f>
        <v>628.92</v>
      </c>
      <c r="E46" s="15" t="n">
        <f aca="false">IF(A46="","",ROUND(C46*$B$3/100/12,2))</f>
        <v>11.87</v>
      </c>
      <c r="F46" s="15" t="n">
        <f aca="false">IF(A46="","",D46-E46)</f>
        <v>617.05</v>
      </c>
      <c r="G46" s="15" t="n">
        <f aca="false">IF(A46="","",ROUND(C46-F46,2))</f>
        <v>1418.5</v>
      </c>
    </row>
    <row r="47" customFormat="false" ht="15" hidden="false" customHeight="false" outlineLevel="0" collapsed="false">
      <c r="A47" s="20" t="n">
        <f aca="false">IF(A46="","",IF(G46&lt;=0.005,"",A46+1))</f>
        <v>34</v>
      </c>
      <c r="B47" s="21" t="n">
        <f aca="false">IF(A47="","",EDATE($B$6,A47-1))</f>
        <v>47300</v>
      </c>
      <c r="C47" s="15" t="n">
        <f aca="false">IF(A47="","",G46)</f>
        <v>1418.5</v>
      </c>
      <c r="D47" s="15" t="n">
        <f aca="false">IF(A47="","",IF(A47&gt;=$B$4,C47+E47,MIN($B$8+$B$5,C47+E47)))</f>
        <v>628.92</v>
      </c>
      <c r="E47" s="15" t="n">
        <f aca="false">IF(A47="","",ROUND(C47*$B$3/100/12,2))</f>
        <v>8.27</v>
      </c>
      <c r="F47" s="15" t="n">
        <f aca="false">IF(A47="","",D47-E47)</f>
        <v>620.65</v>
      </c>
      <c r="G47" s="15" t="n">
        <f aca="false">IF(A47="","",ROUND(C47-F47,2))</f>
        <v>797.85</v>
      </c>
    </row>
    <row r="48" customFormat="false" ht="15" hidden="false" customHeight="false" outlineLevel="0" collapsed="false">
      <c r="A48" s="20" t="n">
        <f aca="false">IF(A47="","",IF(G47&lt;=0.005,"",A47+1))</f>
        <v>35</v>
      </c>
      <c r="B48" s="21" t="n">
        <f aca="false">IF(A48="","",EDATE($B$6,A48-1))</f>
        <v>47331</v>
      </c>
      <c r="C48" s="15" t="n">
        <f aca="false">IF(A48="","",G47)</f>
        <v>797.85</v>
      </c>
      <c r="D48" s="15" t="n">
        <f aca="false">IF(A48="","",IF(A48&gt;=$B$4,C48+E48,MIN($B$8+$B$5,C48+E48)))</f>
        <v>628.92</v>
      </c>
      <c r="E48" s="15" t="n">
        <f aca="false">IF(A48="","",ROUND(C48*$B$3/100/12,2))</f>
        <v>4.65</v>
      </c>
      <c r="F48" s="15" t="n">
        <f aca="false">IF(A48="","",D48-E48)</f>
        <v>624.27</v>
      </c>
      <c r="G48" s="15" t="n">
        <f aca="false">IF(A48="","",ROUND(C48-F48,2))</f>
        <v>173.58</v>
      </c>
    </row>
    <row r="49" customFormat="false" ht="15" hidden="false" customHeight="false" outlineLevel="0" collapsed="false">
      <c r="A49" s="20" t="n">
        <f aca="false">IF(A48="","",IF(G48&lt;=0.005,"",A48+1))</f>
        <v>36</v>
      </c>
      <c r="B49" s="21" t="n">
        <f aca="false">IF(A49="","",EDATE($B$6,A49-1))</f>
        <v>47362</v>
      </c>
      <c r="C49" s="15" t="n">
        <f aca="false">IF(A49="","",G48)</f>
        <v>173.58</v>
      </c>
      <c r="D49" s="15" t="n">
        <f aca="false">IF(A49="","",IF(A49&gt;=$B$4,C49+E49,MIN($B$8+$B$5,C49+E49)))</f>
        <v>174.59</v>
      </c>
      <c r="E49" s="15" t="n">
        <f aca="false">IF(A49="","",ROUND(C49*$B$3/100/12,2))</f>
        <v>1.01</v>
      </c>
      <c r="F49" s="15" t="n">
        <f aca="false">IF(A49="","",D49-E49)</f>
        <v>173.58</v>
      </c>
      <c r="G49" s="15" t="n">
        <f aca="false">IF(A49="","",ROUND(C49-F49,2))</f>
        <v>0</v>
      </c>
    </row>
    <row r="50" customFormat="false" ht="15" hidden="false" customHeight="false" outlineLevel="0" collapsed="false">
      <c r="A50" s="20" t="str">
        <f aca="false">IF(A49="","",IF(G49&lt;=0.005,"",A49+1))</f>
        <v/>
      </c>
      <c r="B50" s="21" t="str">
        <f aca="false">IF(A50="","",EDATE($B$6,A50-1))</f>
        <v/>
      </c>
      <c r="C50" s="15" t="str">
        <f aca="false">IF(A50="","",G49)</f>
        <v/>
      </c>
      <c r="D50" s="15" t="str">
        <f aca="false">IF(A50="","",IF(A50&gt;=$B$4,C50+E50,MIN($B$8+$B$5,C50+E50)))</f>
        <v/>
      </c>
      <c r="E50" s="15" t="str">
        <f aca="false">IF(A50="","",ROUND(C50*$B$3/100/12,2))</f>
        <v/>
      </c>
      <c r="F50" s="15" t="str">
        <f aca="false">IF(A50="","",D50-E50)</f>
        <v/>
      </c>
      <c r="G50" s="15" t="str">
        <f aca="false">IF(A50="","",ROUND(C50-F50,2))</f>
        <v/>
      </c>
    </row>
    <row r="51" customFormat="false" ht="15" hidden="false" customHeight="false" outlineLevel="0" collapsed="false">
      <c r="A51" s="20" t="str">
        <f aca="false">IF(A50="","",IF(G50&lt;=0.005,"",A50+1))</f>
        <v/>
      </c>
      <c r="B51" s="21" t="str">
        <f aca="false">IF(A51="","",EDATE($B$6,A51-1))</f>
        <v/>
      </c>
      <c r="C51" s="15" t="str">
        <f aca="false">IF(A51="","",G50)</f>
        <v/>
      </c>
      <c r="D51" s="15" t="str">
        <f aca="false">IF(A51="","",IF(A51&gt;=$B$4,C51+E51,MIN($B$8+$B$5,C51+E51)))</f>
        <v/>
      </c>
      <c r="E51" s="15" t="str">
        <f aca="false">IF(A51="","",ROUND(C51*$B$3/100/12,2))</f>
        <v/>
      </c>
      <c r="F51" s="15" t="str">
        <f aca="false">IF(A51="","",D51-E51)</f>
        <v/>
      </c>
      <c r="G51" s="15" t="str">
        <f aca="false">IF(A51="","",ROUND(C51-F51,2))</f>
        <v/>
      </c>
    </row>
    <row r="52" customFormat="false" ht="15" hidden="false" customHeight="false" outlineLevel="0" collapsed="false">
      <c r="A52" s="20" t="str">
        <f aca="false">IF(A51="","",IF(G51&lt;=0.005,"",A51+1))</f>
        <v/>
      </c>
      <c r="B52" s="21" t="str">
        <f aca="false">IF(A52="","",EDATE($B$6,A52-1))</f>
        <v/>
      </c>
      <c r="C52" s="15" t="str">
        <f aca="false">IF(A52="","",G51)</f>
        <v/>
      </c>
      <c r="D52" s="15" t="str">
        <f aca="false">IF(A52="","",IF(A52&gt;=$B$4,C52+E52,MIN($B$8+$B$5,C52+E52)))</f>
        <v/>
      </c>
      <c r="E52" s="15" t="str">
        <f aca="false">IF(A52="","",ROUND(C52*$B$3/100/12,2))</f>
        <v/>
      </c>
      <c r="F52" s="15" t="str">
        <f aca="false">IF(A52="","",D52-E52)</f>
        <v/>
      </c>
      <c r="G52" s="15" t="str">
        <f aca="false">IF(A52="","",ROUND(C52-F52,2))</f>
        <v/>
      </c>
    </row>
    <row r="53" customFormat="false" ht="15" hidden="false" customHeight="false" outlineLevel="0" collapsed="false">
      <c r="A53" s="20" t="str">
        <f aca="false">IF(A52="","",IF(G52&lt;=0.005,"",A52+1))</f>
        <v/>
      </c>
      <c r="B53" s="21" t="str">
        <f aca="false">IF(A53="","",EDATE($B$6,A53-1))</f>
        <v/>
      </c>
      <c r="C53" s="15" t="str">
        <f aca="false">IF(A53="","",G52)</f>
        <v/>
      </c>
      <c r="D53" s="15" t="str">
        <f aca="false">IF(A53="","",IF(A53&gt;=$B$4,C53+E53,MIN($B$8+$B$5,C53+E53)))</f>
        <v/>
      </c>
      <c r="E53" s="15" t="str">
        <f aca="false">IF(A53="","",ROUND(C53*$B$3/100/12,2))</f>
        <v/>
      </c>
      <c r="F53" s="15" t="str">
        <f aca="false">IF(A53="","",D53-E53)</f>
        <v/>
      </c>
      <c r="G53" s="15" t="str">
        <f aca="false">IF(A53="","",ROUND(C53-F53,2))</f>
        <v/>
      </c>
    </row>
    <row r="54" customFormat="false" ht="15" hidden="false" customHeight="false" outlineLevel="0" collapsed="false">
      <c r="A54" s="20" t="str">
        <f aca="false">IF(A53="","",IF(G53&lt;=0.005,"",A53+1))</f>
        <v/>
      </c>
      <c r="B54" s="21" t="str">
        <f aca="false">IF(A54="","",EDATE($B$6,A54-1))</f>
        <v/>
      </c>
      <c r="C54" s="15" t="str">
        <f aca="false">IF(A54="","",G53)</f>
        <v/>
      </c>
      <c r="D54" s="15" t="str">
        <f aca="false">IF(A54="","",IF(A54&gt;=$B$4,C54+E54,MIN($B$8+$B$5,C54+E54)))</f>
        <v/>
      </c>
      <c r="E54" s="15" t="str">
        <f aca="false">IF(A54="","",ROUND(C54*$B$3/100/12,2))</f>
        <v/>
      </c>
      <c r="F54" s="15" t="str">
        <f aca="false">IF(A54="","",D54-E54)</f>
        <v/>
      </c>
      <c r="G54" s="15" t="str">
        <f aca="false">IF(A54="","",ROUND(C54-F54,2))</f>
        <v/>
      </c>
    </row>
    <row r="55" customFormat="false" ht="15" hidden="false" customHeight="false" outlineLevel="0" collapsed="false">
      <c r="A55" s="20" t="str">
        <f aca="false">IF(A54="","",IF(G54&lt;=0.005,"",A54+1))</f>
        <v/>
      </c>
      <c r="B55" s="21" t="str">
        <f aca="false">IF(A55="","",EDATE($B$6,A55-1))</f>
        <v/>
      </c>
      <c r="C55" s="15" t="str">
        <f aca="false">IF(A55="","",G54)</f>
        <v/>
      </c>
      <c r="D55" s="15" t="str">
        <f aca="false">IF(A55="","",IF(A55&gt;=$B$4,C55+E55,MIN($B$8+$B$5,C55+E55)))</f>
        <v/>
      </c>
      <c r="E55" s="15" t="str">
        <f aca="false">IF(A55="","",ROUND(C55*$B$3/100/12,2))</f>
        <v/>
      </c>
      <c r="F55" s="15" t="str">
        <f aca="false">IF(A55="","",D55-E55)</f>
        <v/>
      </c>
      <c r="G55" s="15" t="str">
        <f aca="false">IF(A55="","",ROUND(C55-F55,2))</f>
        <v/>
      </c>
    </row>
    <row r="56" customFormat="false" ht="15" hidden="false" customHeight="false" outlineLevel="0" collapsed="false">
      <c r="A56" s="20" t="str">
        <f aca="false">IF(A55="","",IF(G55&lt;=0.005,"",A55+1))</f>
        <v/>
      </c>
      <c r="B56" s="21" t="str">
        <f aca="false">IF(A56="","",EDATE($B$6,A56-1))</f>
        <v/>
      </c>
      <c r="C56" s="15" t="str">
        <f aca="false">IF(A56="","",G55)</f>
        <v/>
      </c>
      <c r="D56" s="15" t="str">
        <f aca="false">IF(A56="","",IF(A56&gt;=$B$4,C56+E56,MIN($B$8+$B$5,C56+E56)))</f>
        <v/>
      </c>
      <c r="E56" s="15" t="str">
        <f aca="false">IF(A56="","",ROUND(C56*$B$3/100/12,2))</f>
        <v/>
      </c>
      <c r="F56" s="15" t="str">
        <f aca="false">IF(A56="","",D56-E56)</f>
        <v/>
      </c>
      <c r="G56" s="15" t="str">
        <f aca="false">IF(A56="","",ROUND(C56-F56,2))</f>
        <v/>
      </c>
    </row>
    <row r="57" customFormat="false" ht="15" hidden="false" customHeight="false" outlineLevel="0" collapsed="false">
      <c r="A57" s="20" t="str">
        <f aca="false">IF(A56="","",IF(G56&lt;=0.005,"",A56+1))</f>
        <v/>
      </c>
      <c r="B57" s="21" t="str">
        <f aca="false">IF(A57="","",EDATE($B$6,A57-1))</f>
        <v/>
      </c>
      <c r="C57" s="15" t="str">
        <f aca="false">IF(A57="","",G56)</f>
        <v/>
      </c>
      <c r="D57" s="15" t="str">
        <f aca="false">IF(A57="","",IF(A57&gt;=$B$4,C57+E57,MIN($B$8+$B$5,C57+E57)))</f>
        <v/>
      </c>
      <c r="E57" s="15" t="str">
        <f aca="false">IF(A57="","",ROUND(C57*$B$3/100/12,2))</f>
        <v/>
      </c>
      <c r="F57" s="15" t="str">
        <f aca="false">IF(A57="","",D57-E57)</f>
        <v/>
      </c>
      <c r="G57" s="15" t="str">
        <f aca="false">IF(A57="","",ROUND(C57-F57,2))</f>
        <v/>
      </c>
    </row>
    <row r="58" customFormat="false" ht="15" hidden="false" customHeight="false" outlineLevel="0" collapsed="false">
      <c r="A58" s="20" t="str">
        <f aca="false">IF(A57="","",IF(G57&lt;=0.005,"",A57+1))</f>
        <v/>
      </c>
      <c r="B58" s="21" t="str">
        <f aca="false">IF(A58="","",EDATE($B$6,A58-1))</f>
        <v/>
      </c>
      <c r="C58" s="15" t="str">
        <f aca="false">IF(A58="","",G57)</f>
        <v/>
      </c>
      <c r="D58" s="15" t="str">
        <f aca="false">IF(A58="","",IF(A58&gt;=$B$4,C58+E58,MIN($B$8+$B$5,C58+E58)))</f>
        <v/>
      </c>
      <c r="E58" s="15" t="str">
        <f aca="false">IF(A58="","",ROUND(C58*$B$3/100/12,2))</f>
        <v/>
      </c>
      <c r="F58" s="15" t="str">
        <f aca="false">IF(A58="","",D58-E58)</f>
        <v/>
      </c>
      <c r="G58" s="15" t="str">
        <f aca="false">IF(A58="","",ROUND(C58-F58,2))</f>
        <v/>
      </c>
    </row>
    <row r="59" customFormat="false" ht="15" hidden="false" customHeight="false" outlineLevel="0" collapsed="false">
      <c r="A59" s="20" t="str">
        <f aca="false">IF(A58="","",IF(G58&lt;=0.005,"",A58+1))</f>
        <v/>
      </c>
      <c r="B59" s="21" t="str">
        <f aca="false">IF(A59="","",EDATE($B$6,A59-1))</f>
        <v/>
      </c>
      <c r="C59" s="15" t="str">
        <f aca="false">IF(A59="","",G58)</f>
        <v/>
      </c>
      <c r="D59" s="15" t="str">
        <f aca="false">IF(A59="","",IF(A59&gt;=$B$4,C59+E59,MIN($B$8+$B$5,C59+E59)))</f>
        <v/>
      </c>
      <c r="E59" s="15" t="str">
        <f aca="false">IF(A59="","",ROUND(C59*$B$3/100/12,2))</f>
        <v/>
      </c>
      <c r="F59" s="15" t="str">
        <f aca="false">IF(A59="","",D59-E59)</f>
        <v/>
      </c>
      <c r="G59" s="15" t="str">
        <f aca="false">IF(A59="","",ROUND(C59-F59,2))</f>
        <v/>
      </c>
    </row>
    <row r="60" customFormat="false" ht="15" hidden="false" customHeight="false" outlineLevel="0" collapsed="false">
      <c r="A60" s="20" t="str">
        <f aca="false">IF(A59="","",IF(G59&lt;=0.005,"",A59+1))</f>
        <v/>
      </c>
      <c r="B60" s="21" t="str">
        <f aca="false">IF(A60="","",EDATE($B$6,A60-1))</f>
        <v/>
      </c>
      <c r="C60" s="15" t="str">
        <f aca="false">IF(A60="","",G59)</f>
        <v/>
      </c>
      <c r="D60" s="15" t="str">
        <f aca="false">IF(A60="","",IF(A60&gt;=$B$4,C60+E60,MIN($B$8+$B$5,C60+E60)))</f>
        <v/>
      </c>
      <c r="E60" s="15" t="str">
        <f aca="false">IF(A60="","",ROUND(C60*$B$3/100/12,2))</f>
        <v/>
      </c>
      <c r="F60" s="15" t="str">
        <f aca="false">IF(A60="","",D60-E60)</f>
        <v/>
      </c>
      <c r="G60" s="15" t="str">
        <f aca="false">IF(A60="","",ROUND(C60-F60,2))</f>
        <v/>
      </c>
    </row>
    <row r="61" customFormat="false" ht="15" hidden="false" customHeight="false" outlineLevel="0" collapsed="false">
      <c r="A61" s="20" t="str">
        <f aca="false">IF(A60="","",IF(G60&lt;=0.005,"",A60+1))</f>
        <v/>
      </c>
      <c r="B61" s="21" t="str">
        <f aca="false">IF(A61="","",EDATE($B$6,A61-1))</f>
        <v/>
      </c>
      <c r="C61" s="15" t="str">
        <f aca="false">IF(A61="","",G60)</f>
        <v/>
      </c>
      <c r="D61" s="15" t="str">
        <f aca="false">IF(A61="","",IF(A61&gt;=$B$4,C61+E61,MIN($B$8+$B$5,C61+E61)))</f>
        <v/>
      </c>
      <c r="E61" s="15" t="str">
        <f aca="false">IF(A61="","",ROUND(C61*$B$3/100/12,2))</f>
        <v/>
      </c>
      <c r="F61" s="15" t="str">
        <f aca="false">IF(A61="","",D61-E61)</f>
        <v/>
      </c>
      <c r="G61" s="15" t="str">
        <f aca="false">IF(A61="","",ROUND(C61-F61,2))</f>
        <v/>
      </c>
    </row>
    <row r="62" customFormat="false" ht="15" hidden="false" customHeight="false" outlineLevel="0" collapsed="false">
      <c r="A62" s="20" t="str">
        <f aca="false">IF(A61="","",IF(G61&lt;=0.005,"",A61+1))</f>
        <v/>
      </c>
      <c r="B62" s="21" t="str">
        <f aca="false">IF(A62="","",EDATE($B$6,A62-1))</f>
        <v/>
      </c>
      <c r="C62" s="15" t="str">
        <f aca="false">IF(A62="","",G61)</f>
        <v/>
      </c>
      <c r="D62" s="15" t="str">
        <f aca="false">IF(A62="","",IF(A62&gt;=$B$4,C62+E62,MIN($B$8+$B$5,C62+E62)))</f>
        <v/>
      </c>
      <c r="E62" s="15" t="str">
        <f aca="false">IF(A62="","",ROUND(C62*$B$3/100/12,2))</f>
        <v/>
      </c>
      <c r="F62" s="15" t="str">
        <f aca="false">IF(A62="","",D62-E62)</f>
        <v/>
      </c>
      <c r="G62" s="15" t="str">
        <f aca="false">IF(A62="","",ROUND(C62-F62,2))</f>
        <v/>
      </c>
    </row>
    <row r="63" customFormat="false" ht="15" hidden="false" customHeight="false" outlineLevel="0" collapsed="false">
      <c r="A63" s="20" t="str">
        <f aca="false">IF(A62="","",IF(G62&lt;=0.005,"",A62+1))</f>
        <v/>
      </c>
      <c r="B63" s="21" t="str">
        <f aca="false">IF(A63="","",EDATE($B$6,A63-1))</f>
        <v/>
      </c>
      <c r="C63" s="15" t="str">
        <f aca="false">IF(A63="","",G62)</f>
        <v/>
      </c>
      <c r="D63" s="15" t="str">
        <f aca="false">IF(A63="","",IF(A63&gt;=$B$4,C63+E63,MIN($B$8+$B$5,C63+E63)))</f>
        <v/>
      </c>
      <c r="E63" s="15" t="str">
        <f aca="false">IF(A63="","",ROUND(C63*$B$3/100/12,2))</f>
        <v/>
      </c>
      <c r="F63" s="15" t="str">
        <f aca="false">IF(A63="","",D63-E63)</f>
        <v/>
      </c>
      <c r="G63" s="15" t="str">
        <f aca="false">IF(A63="","",ROUND(C63-F63,2))</f>
        <v/>
      </c>
    </row>
    <row r="64" customFormat="false" ht="15" hidden="false" customHeight="false" outlineLevel="0" collapsed="false">
      <c r="A64" s="20" t="str">
        <f aca="false">IF(A63="","",IF(G63&lt;=0.005,"",A63+1))</f>
        <v/>
      </c>
      <c r="B64" s="21" t="str">
        <f aca="false">IF(A64="","",EDATE($B$6,A64-1))</f>
        <v/>
      </c>
      <c r="C64" s="15" t="str">
        <f aca="false">IF(A64="","",G63)</f>
        <v/>
      </c>
      <c r="D64" s="15" t="str">
        <f aca="false">IF(A64="","",IF(A64&gt;=$B$4,C64+E64,MIN($B$8+$B$5,C64+E64)))</f>
        <v/>
      </c>
      <c r="E64" s="15" t="str">
        <f aca="false">IF(A64="","",ROUND(C64*$B$3/100/12,2))</f>
        <v/>
      </c>
      <c r="F64" s="15" t="str">
        <f aca="false">IF(A64="","",D64-E64)</f>
        <v/>
      </c>
      <c r="G64" s="15" t="str">
        <f aca="false">IF(A64="","",ROUND(C64-F64,2))</f>
        <v/>
      </c>
    </row>
    <row r="65" customFormat="false" ht="15" hidden="false" customHeight="false" outlineLevel="0" collapsed="false">
      <c r="A65" s="20" t="str">
        <f aca="false">IF(A64="","",IF(G64&lt;=0.005,"",A64+1))</f>
        <v/>
      </c>
      <c r="B65" s="21" t="str">
        <f aca="false">IF(A65="","",EDATE($B$6,A65-1))</f>
        <v/>
      </c>
      <c r="C65" s="15" t="str">
        <f aca="false">IF(A65="","",G64)</f>
        <v/>
      </c>
      <c r="D65" s="15" t="str">
        <f aca="false">IF(A65="","",IF(A65&gt;=$B$4,C65+E65,MIN($B$8+$B$5,C65+E65)))</f>
        <v/>
      </c>
      <c r="E65" s="15" t="str">
        <f aca="false">IF(A65="","",ROUND(C65*$B$3/100/12,2))</f>
        <v/>
      </c>
      <c r="F65" s="15" t="str">
        <f aca="false">IF(A65="","",D65-E65)</f>
        <v/>
      </c>
      <c r="G65" s="15" t="str">
        <f aca="false">IF(A65="","",ROUND(C65-F65,2))</f>
        <v/>
      </c>
    </row>
    <row r="66" customFormat="false" ht="15" hidden="false" customHeight="false" outlineLevel="0" collapsed="false">
      <c r="A66" s="20" t="str">
        <f aca="false">IF(A65="","",IF(G65&lt;=0.005,"",A65+1))</f>
        <v/>
      </c>
      <c r="B66" s="21" t="str">
        <f aca="false">IF(A66="","",EDATE($B$6,A66-1))</f>
        <v/>
      </c>
      <c r="C66" s="15" t="str">
        <f aca="false">IF(A66="","",G65)</f>
        <v/>
      </c>
      <c r="D66" s="15" t="str">
        <f aca="false">IF(A66="","",IF(A66&gt;=$B$4,C66+E66,MIN($B$8+$B$5,C66+E66)))</f>
        <v/>
      </c>
      <c r="E66" s="15" t="str">
        <f aca="false">IF(A66="","",ROUND(C66*$B$3/100/12,2))</f>
        <v/>
      </c>
      <c r="F66" s="15" t="str">
        <f aca="false">IF(A66="","",D66-E66)</f>
        <v/>
      </c>
      <c r="G66" s="15" t="str">
        <f aca="false">IF(A66="","",ROUND(C66-F66,2))</f>
        <v/>
      </c>
    </row>
    <row r="67" customFormat="false" ht="15" hidden="false" customHeight="false" outlineLevel="0" collapsed="false">
      <c r="A67" s="20" t="str">
        <f aca="false">IF(A66="","",IF(G66&lt;=0.005,"",A66+1))</f>
        <v/>
      </c>
      <c r="B67" s="21" t="str">
        <f aca="false">IF(A67="","",EDATE($B$6,A67-1))</f>
        <v/>
      </c>
      <c r="C67" s="15" t="str">
        <f aca="false">IF(A67="","",G66)</f>
        <v/>
      </c>
      <c r="D67" s="15" t="str">
        <f aca="false">IF(A67="","",IF(A67&gt;=$B$4,C67+E67,MIN($B$8+$B$5,C67+E67)))</f>
        <v/>
      </c>
      <c r="E67" s="15" t="str">
        <f aca="false">IF(A67="","",ROUND(C67*$B$3/100/12,2))</f>
        <v/>
      </c>
      <c r="F67" s="15" t="str">
        <f aca="false">IF(A67="","",D67-E67)</f>
        <v/>
      </c>
      <c r="G67" s="15" t="str">
        <f aca="false">IF(A67="","",ROUND(C67-F67,2))</f>
        <v/>
      </c>
    </row>
    <row r="68" customFormat="false" ht="15" hidden="false" customHeight="false" outlineLevel="0" collapsed="false">
      <c r="A68" s="20" t="str">
        <f aca="false">IF(A67="","",IF(G67&lt;=0.005,"",A67+1))</f>
        <v/>
      </c>
      <c r="B68" s="21" t="str">
        <f aca="false">IF(A68="","",EDATE($B$6,A68-1))</f>
        <v/>
      </c>
      <c r="C68" s="15" t="str">
        <f aca="false">IF(A68="","",G67)</f>
        <v/>
      </c>
      <c r="D68" s="15" t="str">
        <f aca="false">IF(A68="","",IF(A68&gt;=$B$4,C68+E68,MIN($B$8+$B$5,C68+E68)))</f>
        <v/>
      </c>
      <c r="E68" s="15" t="str">
        <f aca="false">IF(A68="","",ROUND(C68*$B$3/100/12,2))</f>
        <v/>
      </c>
      <c r="F68" s="15" t="str">
        <f aca="false">IF(A68="","",D68-E68)</f>
        <v/>
      </c>
      <c r="G68" s="15" t="str">
        <f aca="false">IF(A68="","",ROUND(C68-F68,2))</f>
        <v/>
      </c>
    </row>
    <row r="69" customFormat="false" ht="15" hidden="false" customHeight="false" outlineLevel="0" collapsed="false">
      <c r="A69" s="20" t="str">
        <f aca="false">IF(A68="","",IF(G68&lt;=0.005,"",A68+1))</f>
        <v/>
      </c>
      <c r="B69" s="21" t="str">
        <f aca="false">IF(A69="","",EDATE($B$6,A69-1))</f>
        <v/>
      </c>
      <c r="C69" s="15" t="str">
        <f aca="false">IF(A69="","",G68)</f>
        <v/>
      </c>
      <c r="D69" s="15" t="str">
        <f aca="false">IF(A69="","",IF(A69&gt;=$B$4,C69+E69,MIN($B$8+$B$5,C69+E69)))</f>
        <v/>
      </c>
      <c r="E69" s="15" t="str">
        <f aca="false">IF(A69="","",ROUND(C69*$B$3/100/12,2))</f>
        <v/>
      </c>
      <c r="F69" s="15" t="str">
        <f aca="false">IF(A69="","",D69-E69)</f>
        <v/>
      </c>
      <c r="G69" s="15" t="str">
        <f aca="false">IF(A69="","",ROUND(C69-F69,2))</f>
        <v/>
      </c>
    </row>
    <row r="70" customFormat="false" ht="15" hidden="false" customHeight="false" outlineLevel="0" collapsed="false">
      <c r="A70" s="20" t="str">
        <f aca="false">IF(A69="","",IF(G69&lt;=0.005,"",A69+1))</f>
        <v/>
      </c>
      <c r="B70" s="21" t="str">
        <f aca="false">IF(A70="","",EDATE($B$6,A70-1))</f>
        <v/>
      </c>
      <c r="C70" s="15" t="str">
        <f aca="false">IF(A70="","",G69)</f>
        <v/>
      </c>
      <c r="D70" s="15" t="str">
        <f aca="false">IF(A70="","",IF(A70&gt;=$B$4,C70+E70,MIN($B$8+$B$5,C70+E70)))</f>
        <v/>
      </c>
      <c r="E70" s="15" t="str">
        <f aca="false">IF(A70="","",ROUND(C70*$B$3/100/12,2))</f>
        <v/>
      </c>
      <c r="F70" s="15" t="str">
        <f aca="false">IF(A70="","",D70-E70)</f>
        <v/>
      </c>
      <c r="G70" s="15" t="str">
        <f aca="false">IF(A70="","",ROUND(C70-F70,2))</f>
        <v/>
      </c>
    </row>
    <row r="71" customFormat="false" ht="15" hidden="false" customHeight="false" outlineLevel="0" collapsed="false">
      <c r="A71" s="20" t="str">
        <f aca="false">IF(A70="","",IF(G70&lt;=0.005,"",A70+1))</f>
        <v/>
      </c>
      <c r="B71" s="21" t="str">
        <f aca="false">IF(A71="","",EDATE($B$6,A71-1))</f>
        <v/>
      </c>
      <c r="C71" s="15" t="str">
        <f aca="false">IF(A71="","",G70)</f>
        <v/>
      </c>
      <c r="D71" s="15" t="str">
        <f aca="false">IF(A71="","",IF(A71&gt;=$B$4,C71+E71,MIN($B$8+$B$5,C71+E71)))</f>
        <v/>
      </c>
      <c r="E71" s="15" t="str">
        <f aca="false">IF(A71="","",ROUND(C71*$B$3/100/12,2))</f>
        <v/>
      </c>
      <c r="F71" s="15" t="str">
        <f aca="false">IF(A71="","",D71-E71)</f>
        <v/>
      </c>
      <c r="G71" s="15" t="str">
        <f aca="false">IF(A71="","",ROUND(C71-F71,2))</f>
        <v/>
      </c>
    </row>
    <row r="72" customFormat="false" ht="15" hidden="false" customHeight="false" outlineLevel="0" collapsed="false">
      <c r="A72" s="20" t="str">
        <f aca="false">IF(A71="","",IF(G71&lt;=0.005,"",A71+1))</f>
        <v/>
      </c>
      <c r="B72" s="21" t="str">
        <f aca="false">IF(A72="","",EDATE($B$6,A72-1))</f>
        <v/>
      </c>
      <c r="C72" s="15" t="str">
        <f aca="false">IF(A72="","",G71)</f>
        <v/>
      </c>
      <c r="D72" s="15" t="str">
        <f aca="false">IF(A72="","",IF(A72&gt;=$B$4,C72+E72,MIN($B$8+$B$5,C72+E72)))</f>
        <v/>
      </c>
      <c r="E72" s="15" t="str">
        <f aca="false">IF(A72="","",ROUND(C72*$B$3/100/12,2))</f>
        <v/>
      </c>
      <c r="F72" s="15" t="str">
        <f aca="false">IF(A72="","",D72-E72)</f>
        <v/>
      </c>
      <c r="G72" s="15" t="str">
        <f aca="false">IF(A72="","",ROUND(C72-F72,2))</f>
        <v/>
      </c>
    </row>
    <row r="73" customFormat="false" ht="15" hidden="false" customHeight="false" outlineLevel="0" collapsed="false">
      <c r="A73" s="20" t="str">
        <f aca="false">IF(A72="","",IF(G72&lt;=0.005,"",A72+1))</f>
        <v/>
      </c>
      <c r="B73" s="21" t="str">
        <f aca="false">IF(A73="","",EDATE($B$6,A73-1))</f>
        <v/>
      </c>
      <c r="C73" s="15" t="str">
        <f aca="false">IF(A73="","",G72)</f>
        <v/>
      </c>
      <c r="D73" s="15" t="str">
        <f aca="false">IF(A73="","",IF(A73&gt;=$B$4,C73+E73,MIN($B$8+$B$5,C73+E73)))</f>
        <v/>
      </c>
      <c r="E73" s="15" t="str">
        <f aca="false">IF(A73="","",ROUND(C73*$B$3/100/12,2))</f>
        <v/>
      </c>
      <c r="F73" s="15" t="str">
        <f aca="false">IF(A73="","",D73-E73)</f>
        <v/>
      </c>
      <c r="G73" s="15" t="str">
        <f aca="false">IF(A73="","",ROUND(C73-F73,2))</f>
        <v/>
      </c>
    </row>
    <row r="74" customFormat="false" ht="15" hidden="false" customHeight="false" outlineLevel="0" collapsed="false">
      <c r="A74" s="20" t="str">
        <f aca="false">IF(A73="","",IF(G73&lt;=0.005,"",A73+1))</f>
        <v/>
      </c>
      <c r="B74" s="21" t="str">
        <f aca="false">IF(A74="","",EDATE($B$6,A74-1))</f>
        <v/>
      </c>
      <c r="C74" s="15" t="str">
        <f aca="false">IF(A74="","",G73)</f>
        <v/>
      </c>
      <c r="D74" s="15" t="str">
        <f aca="false">IF(A74="","",IF(A74&gt;=$B$4,C74+E74,MIN($B$8+$B$5,C74+E74)))</f>
        <v/>
      </c>
      <c r="E74" s="15" t="str">
        <f aca="false">IF(A74="","",ROUND(C74*$B$3/100/12,2))</f>
        <v/>
      </c>
      <c r="F74" s="15" t="str">
        <f aca="false">IF(A74="","",D74-E74)</f>
        <v/>
      </c>
      <c r="G74" s="15" t="str">
        <f aca="false">IF(A74="","",ROUND(C74-F74,2))</f>
        <v/>
      </c>
    </row>
    <row r="75" customFormat="false" ht="15" hidden="false" customHeight="false" outlineLevel="0" collapsed="false">
      <c r="A75" s="20" t="str">
        <f aca="false">IF(A74="","",IF(G74&lt;=0.005,"",A74+1))</f>
        <v/>
      </c>
      <c r="B75" s="21" t="str">
        <f aca="false">IF(A75="","",EDATE($B$6,A75-1))</f>
        <v/>
      </c>
      <c r="C75" s="15" t="str">
        <f aca="false">IF(A75="","",G74)</f>
        <v/>
      </c>
      <c r="D75" s="15" t="str">
        <f aca="false">IF(A75="","",IF(A75&gt;=$B$4,C75+E75,MIN($B$8+$B$5,C75+E75)))</f>
        <v/>
      </c>
      <c r="E75" s="15" t="str">
        <f aca="false">IF(A75="","",ROUND(C75*$B$3/100/12,2))</f>
        <v/>
      </c>
      <c r="F75" s="15" t="str">
        <f aca="false">IF(A75="","",D75-E75)</f>
        <v/>
      </c>
      <c r="G75" s="15" t="str">
        <f aca="false">IF(A75="","",ROUND(C75-F75,2))</f>
        <v/>
      </c>
    </row>
    <row r="76" customFormat="false" ht="15" hidden="false" customHeight="false" outlineLevel="0" collapsed="false">
      <c r="A76" s="20" t="str">
        <f aca="false">IF(A75="","",IF(G75&lt;=0.005,"",A75+1))</f>
        <v/>
      </c>
      <c r="B76" s="21" t="str">
        <f aca="false">IF(A76="","",EDATE($B$6,A76-1))</f>
        <v/>
      </c>
      <c r="C76" s="15" t="str">
        <f aca="false">IF(A76="","",G75)</f>
        <v/>
      </c>
      <c r="D76" s="15" t="str">
        <f aca="false">IF(A76="","",IF(A76&gt;=$B$4,C76+E76,MIN($B$8+$B$5,C76+E76)))</f>
        <v/>
      </c>
      <c r="E76" s="15" t="str">
        <f aca="false">IF(A76="","",ROUND(C76*$B$3/100/12,2))</f>
        <v/>
      </c>
      <c r="F76" s="15" t="str">
        <f aca="false">IF(A76="","",D76-E76)</f>
        <v/>
      </c>
      <c r="G76" s="15" t="str">
        <f aca="false">IF(A76="","",ROUND(C76-F76,2))</f>
        <v/>
      </c>
    </row>
    <row r="77" customFormat="false" ht="15" hidden="false" customHeight="false" outlineLevel="0" collapsed="false">
      <c r="A77" s="20" t="str">
        <f aca="false">IF(A76="","",IF(G76&lt;=0.005,"",A76+1))</f>
        <v/>
      </c>
      <c r="B77" s="21" t="str">
        <f aca="false">IF(A77="","",EDATE($B$6,A77-1))</f>
        <v/>
      </c>
      <c r="C77" s="15" t="str">
        <f aca="false">IF(A77="","",G76)</f>
        <v/>
      </c>
      <c r="D77" s="15" t="str">
        <f aca="false">IF(A77="","",IF(A77&gt;=$B$4,C77+E77,MIN($B$8+$B$5,C77+E77)))</f>
        <v/>
      </c>
      <c r="E77" s="15" t="str">
        <f aca="false">IF(A77="","",ROUND(C77*$B$3/100/12,2))</f>
        <v/>
      </c>
      <c r="F77" s="15" t="str">
        <f aca="false">IF(A77="","",D77-E77)</f>
        <v/>
      </c>
      <c r="G77" s="15" t="str">
        <f aca="false">IF(A77="","",ROUND(C77-F77,2))</f>
        <v/>
      </c>
    </row>
    <row r="78" customFormat="false" ht="15" hidden="false" customHeight="false" outlineLevel="0" collapsed="false">
      <c r="A78" s="20" t="str">
        <f aca="false">IF(A77="","",IF(G77&lt;=0.005,"",A77+1))</f>
        <v/>
      </c>
      <c r="B78" s="21" t="str">
        <f aca="false">IF(A78="","",EDATE($B$6,A78-1))</f>
        <v/>
      </c>
      <c r="C78" s="15" t="str">
        <f aca="false">IF(A78="","",G77)</f>
        <v/>
      </c>
      <c r="D78" s="15" t="str">
        <f aca="false">IF(A78="","",IF(A78&gt;=$B$4,C78+E78,MIN($B$8+$B$5,C78+E78)))</f>
        <v/>
      </c>
      <c r="E78" s="15" t="str">
        <f aca="false">IF(A78="","",ROUND(C78*$B$3/100/12,2))</f>
        <v/>
      </c>
      <c r="F78" s="15" t="str">
        <f aca="false">IF(A78="","",D78-E78)</f>
        <v/>
      </c>
      <c r="G78" s="15" t="str">
        <f aca="false">IF(A78="","",ROUND(C78-F78,2))</f>
        <v/>
      </c>
    </row>
    <row r="79" customFormat="false" ht="15" hidden="false" customHeight="false" outlineLevel="0" collapsed="false">
      <c r="A79" s="20" t="str">
        <f aca="false">IF(A78="","",IF(G78&lt;=0.005,"",A78+1))</f>
        <v/>
      </c>
      <c r="B79" s="21" t="str">
        <f aca="false">IF(A79="","",EDATE($B$6,A79-1))</f>
        <v/>
      </c>
      <c r="C79" s="15" t="str">
        <f aca="false">IF(A79="","",G78)</f>
        <v/>
      </c>
      <c r="D79" s="15" t="str">
        <f aca="false">IF(A79="","",IF(A79&gt;=$B$4,C79+E79,MIN($B$8+$B$5,C79+E79)))</f>
        <v/>
      </c>
      <c r="E79" s="15" t="str">
        <f aca="false">IF(A79="","",ROUND(C79*$B$3/100/12,2))</f>
        <v/>
      </c>
      <c r="F79" s="15" t="str">
        <f aca="false">IF(A79="","",D79-E79)</f>
        <v/>
      </c>
      <c r="G79" s="15" t="str">
        <f aca="false">IF(A79="","",ROUND(C79-F79,2))</f>
        <v/>
      </c>
    </row>
    <row r="80" customFormat="false" ht="15" hidden="false" customHeight="false" outlineLevel="0" collapsed="false">
      <c r="A80" s="20" t="str">
        <f aca="false">IF(A79="","",IF(G79&lt;=0.005,"",A79+1))</f>
        <v/>
      </c>
      <c r="B80" s="21" t="str">
        <f aca="false">IF(A80="","",EDATE($B$6,A80-1))</f>
        <v/>
      </c>
      <c r="C80" s="15" t="str">
        <f aca="false">IF(A80="","",G79)</f>
        <v/>
      </c>
      <c r="D80" s="15" t="str">
        <f aca="false">IF(A80="","",IF(A80&gt;=$B$4,C80+E80,MIN($B$8+$B$5,C80+E80)))</f>
        <v/>
      </c>
      <c r="E80" s="15" t="str">
        <f aca="false">IF(A80="","",ROUND(C80*$B$3/100/12,2))</f>
        <v/>
      </c>
      <c r="F80" s="15" t="str">
        <f aca="false">IF(A80="","",D80-E80)</f>
        <v/>
      </c>
      <c r="G80" s="15" t="str">
        <f aca="false">IF(A80="","",ROUND(C80-F80,2))</f>
        <v/>
      </c>
    </row>
    <row r="81" customFormat="false" ht="15" hidden="false" customHeight="false" outlineLevel="0" collapsed="false">
      <c r="A81" s="20" t="str">
        <f aca="false">IF(A80="","",IF(G80&lt;=0.005,"",A80+1))</f>
        <v/>
      </c>
      <c r="B81" s="21" t="str">
        <f aca="false">IF(A81="","",EDATE($B$6,A81-1))</f>
        <v/>
      </c>
      <c r="C81" s="15" t="str">
        <f aca="false">IF(A81="","",G80)</f>
        <v/>
      </c>
      <c r="D81" s="15" t="str">
        <f aca="false">IF(A81="","",IF(A81&gt;=$B$4,C81+E81,MIN($B$8+$B$5,C81+E81)))</f>
        <v/>
      </c>
      <c r="E81" s="15" t="str">
        <f aca="false">IF(A81="","",ROUND(C81*$B$3/100/12,2))</f>
        <v/>
      </c>
      <c r="F81" s="15" t="str">
        <f aca="false">IF(A81="","",D81-E81)</f>
        <v/>
      </c>
      <c r="G81" s="15" t="str">
        <f aca="false">IF(A81="","",ROUND(C81-F81,2))</f>
        <v/>
      </c>
    </row>
    <row r="82" customFormat="false" ht="15" hidden="false" customHeight="false" outlineLevel="0" collapsed="false">
      <c r="A82" s="20" t="str">
        <f aca="false">IF(A81="","",IF(G81&lt;=0.005,"",A81+1))</f>
        <v/>
      </c>
      <c r="B82" s="21" t="str">
        <f aca="false">IF(A82="","",EDATE($B$6,A82-1))</f>
        <v/>
      </c>
      <c r="C82" s="15" t="str">
        <f aca="false">IF(A82="","",G81)</f>
        <v/>
      </c>
      <c r="D82" s="15" t="str">
        <f aca="false">IF(A82="","",IF(A82&gt;=$B$4,C82+E82,MIN($B$8+$B$5,C82+E82)))</f>
        <v/>
      </c>
      <c r="E82" s="15" t="str">
        <f aca="false">IF(A82="","",ROUND(C82*$B$3/100/12,2))</f>
        <v/>
      </c>
      <c r="F82" s="15" t="str">
        <f aca="false">IF(A82="","",D82-E82)</f>
        <v/>
      </c>
      <c r="G82" s="15" t="str">
        <f aca="false">IF(A82="","",ROUND(C82-F82,2))</f>
        <v/>
      </c>
    </row>
    <row r="83" customFormat="false" ht="15" hidden="false" customHeight="false" outlineLevel="0" collapsed="false">
      <c r="A83" s="20" t="str">
        <f aca="false">IF(A82="","",IF(G82&lt;=0.005,"",A82+1))</f>
        <v/>
      </c>
      <c r="B83" s="21" t="str">
        <f aca="false">IF(A83="","",EDATE($B$6,A83-1))</f>
        <v/>
      </c>
      <c r="C83" s="15" t="str">
        <f aca="false">IF(A83="","",G82)</f>
        <v/>
      </c>
      <c r="D83" s="15" t="str">
        <f aca="false">IF(A83="","",IF(A83&gt;=$B$4,C83+E83,MIN($B$8+$B$5,C83+E83)))</f>
        <v/>
      </c>
      <c r="E83" s="15" t="str">
        <f aca="false">IF(A83="","",ROUND(C83*$B$3/100/12,2))</f>
        <v/>
      </c>
      <c r="F83" s="15" t="str">
        <f aca="false">IF(A83="","",D83-E83)</f>
        <v/>
      </c>
      <c r="G83" s="15" t="str">
        <f aca="false">IF(A83="","",ROUND(C83-F83,2))</f>
        <v/>
      </c>
    </row>
    <row r="84" customFormat="false" ht="15" hidden="false" customHeight="false" outlineLevel="0" collapsed="false">
      <c r="A84" s="20" t="str">
        <f aca="false">IF(A83="","",IF(G83&lt;=0.005,"",A83+1))</f>
        <v/>
      </c>
      <c r="B84" s="21" t="str">
        <f aca="false">IF(A84="","",EDATE($B$6,A84-1))</f>
        <v/>
      </c>
      <c r="C84" s="15" t="str">
        <f aca="false">IF(A84="","",G83)</f>
        <v/>
      </c>
      <c r="D84" s="15" t="str">
        <f aca="false">IF(A84="","",IF(A84&gt;=$B$4,C84+E84,MIN($B$8+$B$5,C84+E84)))</f>
        <v/>
      </c>
      <c r="E84" s="15" t="str">
        <f aca="false">IF(A84="","",ROUND(C84*$B$3/100/12,2))</f>
        <v/>
      </c>
      <c r="F84" s="15" t="str">
        <f aca="false">IF(A84="","",D84-E84)</f>
        <v/>
      </c>
      <c r="G84" s="15" t="str">
        <f aca="false">IF(A84="","",ROUND(C84-F84,2))</f>
        <v/>
      </c>
    </row>
    <row r="85" customFormat="false" ht="15" hidden="false" customHeight="false" outlineLevel="0" collapsed="false">
      <c r="A85" s="20" t="str">
        <f aca="false">IF(A84="","",IF(G84&lt;=0.005,"",A84+1))</f>
        <v/>
      </c>
      <c r="B85" s="21" t="str">
        <f aca="false">IF(A85="","",EDATE($B$6,A85-1))</f>
        <v/>
      </c>
      <c r="C85" s="15" t="str">
        <f aca="false">IF(A85="","",G84)</f>
        <v/>
      </c>
      <c r="D85" s="15" t="str">
        <f aca="false">IF(A85="","",IF(A85&gt;=$B$4,C85+E85,MIN($B$8+$B$5,C85+E85)))</f>
        <v/>
      </c>
      <c r="E85" s="15" t="str">
        <f aca="false">IF(A85="","",ROUND(C85*$B$3/100/12,2))</f>
        <v/>
      </c>
      <c r="F85" s="15" t="str">
        <f aca="false">IF(A85="","",D85-E85)</f>
        <v/>
      </c>
      <c r="G85" s="15" t="str">
        <f aca="false">IF(A85="","",ROUND(C85-F85,2))</f>
        <v/>
      </c>
    </row>
    <row r="86" customFormat="false" ht="15" hidden="false" customHeight="false" outlineLevel="0" collapsed="false">
      <c r="A86" s="20" t="str">
        <f aca="false">IF(A85="","",IF(G85&lt;=0.005,"",A85+1))</f>
        <v/>
      </c>
      <c r="B86" s="21" t="str">
        <f aca="false">IF(A86="","",EDATE($B$6,A86-1))</f>
        <v/>
      </c>
      <c r="C86" s="15" t="str">
        <f aca="false">IF(A86="","",G85)</f>
        <v/>
      </c>
      <c r="D86" s="15" t="str">
        <f aca="false">IF(A86="","",IF(A86&gt;=$B$4,C86+E86,MIN($B$8+$B$5,C86+E86)))</f>
        <v/>
      </c>
      <c r="E86" s="15" t="str">
        <f aca="false">IF(A86="","",ROUND(C86*$B$3/100/12,2))</f>
        <v/>
      </c>
      <c r="F86" s="15" t="str">
        <f aca="false">IF(A86="","",D86-E86)</f>
        <v/>
      </c>
      <c r="G86" s="15" t="str">
        <f aca="false">IF(A86="","",ROUND(C86-F86,2))</f>
        <v/>
      </c>
    </row>
    <row r="87" customFormat="false" ht="15" hidden="false" customHeight="false" outlineLevel="0" collapsed="false">
      <c r="A87" s="20" t="str">
        <f aca="false">IF(A86="","",IF(G86&lt;=0.005,"",A86+1))</f>
        <v/>
      </c>
      <c r="B87" s="21" t="str">
        <f aca="false">IF(A87="","",EDATE($B$6,A87-1))</f>
        <v/>
      </c>
      <c r="C87" s="15" t="str">
        <f aca="false">IF(A87="","",G86)</f>
        <v/>
      </c>
      <c r="D87" s="15" t="str">
        <f aca="false">IF(A87="","",IF(A87&gt;=$B$4,C87+E87,MIN($B$8+$B$5,C87+E87)))</f>
        <v/>
      </c>
      <c r="E87" s="15" t="str">
        <f aca="false">IF(A87="","",ROUND(C87*$B$3/100/12,2))</f>
        <v/>
      </c>
      <c r="F87" s="15" t="str">
        <f aca="false">IF(A87="","",D87-E87)</f>
        <v/>
      </c>
      <c r="G87" s="15" t="str">
        <f aca="false">IF(A87="","",ROUND(C87-F87,2))</f>
        <v/>
      </c>
    </row>
    <row r="88" customFormat="false" ht="15" hidden="false" customHeight="false" outlineLevel="0" collapsed="false">
      <c r="A88" s="20" t="str">
        <f aca="false">IF(A87="","",IF(G87&lt;=0.005,"",A87+1))</f>
        <v/>
      </c>
      <c r="B88" s="21" t="str">
        <f aca="false">IF(A88="","",EDATE($B$6,A88-1))</f>
        <v/>
      </c>
      <c r="C88" s="15" t="str">
        <f aca="false">IF(A88="","",G87)</f>
        <v/>
      </c>
      <c r="D88" s="15" t="str">
        <f aca="false">IF(A88="","",IF(A88&gt;=$B$4,C88+E88,MIN($B$8+$B$5,C88+E88)))</f>
        <v/>
      </c>
      <c r="E88" s="15" t="str">
        <f aca="false">IF(A88="","",ROUND(C88*$B$3/100/12,2))</f>
        <v/>
      </c>
      <c r="F88" s="15" t="str">
        <f aca="false">IF(A88="","",D88-E88)</f>
        <v/>
      </c>
      <c r="G88" s="15" t="str">
        <f aca="false">IF(A88="","",ROUND(C88-F88,2))</f>
        <v/>
      </c>
    </row>
    <row r="89" customFormat="false" ht="15" hidden="false" customHeight="false" outlineLevel="0" collapsed="false">
      <c r="A89" s="20" t="str">
        <f aca="false">IF(A88="","",IF(G88&lt;=0.005,"",A88+1))</f>
        <v/>
      </c>
      <c r="B89" s="21" t="str">
        <f aca="false">IF(A89="","",EDATE($B$6,A89-1))</f>
        <v/>
      </c>
      <c r="C89" s="15" t="str">
        <f aca="false">IF(A89="","",G88)</f>
        <v/>
      </c>
      <c r="D89" s="15" t="str">
        <f aca="false">IF(A89="","",IF(A89&gt;=$B$4,C89+E89,MIN($B$8+$B$5,C89+E89)))</f>
        <v/>
      </c>
      <c r="E89" s="15" t="str">
        <f aca="false">IF(A89="","",ROUND(C89*$B$3/100/12,2))</f>
        <v/>
      </c>
      <c r="F89" s="15" t="str">
        <f aca="false">IF(A89="","",D89-E89)</f>
        <v/>
      </c>
      <c r="G89" s="15" t="str">
        <f aca="false">IF(A89="","",ROUND(C89-F89,2))</f>
        <v/>
      </c>
    </row>
    <row r="90" customFormat="false" ht="15" hidden="false" customHeight="false" outlineLevel="0" collapsed="false">
      <c r="A90" s="20" t="str">
        <f aca="false">IF(A89="","",IF(G89&lt;=0.005,"",A89+1))</f>
        <v/>
      </c>
      <c r="B90" s="21" t="str">
        <f aca="false">IF(A90="","",EDATE($B$6,A90-1))</f>
        <v/>
      </c>
      <c r="C90" s="15" t="str">
        <f aca="false">IF(A90="","",G89)</f>
        <v/>
      </c>
      <c r="D90" s="15" t="str">
        <f aca="false">IF(A90="","",IF(A90&gt;=$B$4,C90+E90,MIN($B$8+$B$5,C90+E90)))</f>
        <v/>
      </c>
      <c r="E90" s="15" t="str">
        <f aca="false">IF(A90="","",ROUND(C90*$B$3/100/12,2))</f>
        <v/>
      </c>
      <c r="F90" s="15" t="str">
        <f aca="false">IF(A90="","",D90-E90)</f>
        <v/>
      </c>
      <c r="G90" s="15" t="str">
        <f aca="false">IF(A90="","",ROUND(C90-F90,2))</f>
        <v/>
      </c>
    </row>
    <row r="91" customFormat="false" ht="15" hidden="false" customHeight="false" outlineLevel="0" collapsed="false">
      <c r="A91" s="20" t="str">
        <f aca="false">IF(A90="","",IF(G90&lt;=0.005,"",A90+1))</f>
        <v/>
      </c>
      <c r="B91" s="21" t="str">
        <f aca="false">IF(A91="","",EDATE($B$6,A91-1))</f>
        <v/>
      </c>
      <c r="C91" s="15" t="str">
        <f aca="false">IF(A91="","",G90)</f>
        <v/>
      </c>
      <c r="D91" s="15" t="str">
        <f aca="false">IF(A91="","",IF(A91&gt;=$B$4,C91+E91,MIN($B$8+$B$5,C91+E91)))</f>
        <v/>
      </c>
      <c r="E91" s="15" t="str">
        <f aca="false">IF(A91="","",ROUND(C91*$B$3/100/12,2))</f>
        <v/>
      </c>
      <c r="F91" s="15" t="str">
        <f aca="false">IF(A91="","",D91-E91)</f>
        <v/>
      </c>
      <c r="G91" s="15" t="str">
        <f aca="false">IF(A91="","",ROUND(C91-F91,2))</f>
        <v/>
      </c>
    </row>
    <row r="92" customFormat="false" ht="15" hidden="false" customHeight="false" outlineLevel="0" collapsed="false">
      <c r="A92" s="20" t="str">
        <f aca="false">IF(A91="","",IF(G91&lt;=0.005,"",A91+1))</f>
        <v/>
      </c>
      <c r="B92" s="21" t="str">
        <f aca="false">IF(A92="","",EDATE($B$6,A92-1))</f>
        <v/>
      </c>
      <c r="C92" s="15" t="str">
        <f aca="false">IF(A92="","",G91)</f>
        <v/>
      </c>
      <c r="D92" s="15" t="str">
        <f aca="false">IF(A92="","",IF(A92&gt;=$B$4,C92+E92,MIN($B$8+$B$5,C92+E92)))</f>
        <v/>
      </c>
      <c r="E92" s="15" t="str">
        <f aca="false">IF(A92="","",ROUND(C92*$B$3/100/12,2))</f>
        <v/>
      </c>
      <c r="F92" s="15" t="str">
        <f aca="false">IF(A92="","",D92-E92)</f>
        <v/>
      </c>
      <c r="G92" s="15" t="str">
        <f aca="false">IF(A92="","",ROUND(C92-F92,2))</f>
        <v/>
      </c>
    </row>
    <row r="93" customFormat="false" ht="15" hidden="false" customHeight="false" outlineLevel="0" collapsed="false">
      <c r="A93" s="20" t="str">
        <f aca="false">IF(A92="","",IF(G92&lt;=0.005,"",A92+1))</f>
        <v/>
      </c>
      <c r="B93" s="21" t="str">
        <f aca="false">IF(A93="","",EDATE($B$6,A93-1))</f>
        <v/>
      </c>
      <c r="C93" s="15" t="str">
        <f aca="false">IF(A93="","",G92)</f>
        <v/>
      </c>
      <c r="D93" s="15" t="str">
        <f aca="false">IF(A93="","",IF(A93&gt;=$B$4,C93+E93,MIN($B$8+$B$5,C93+E93)))</f>
        <v/>
      </c>
      <c r="E93" s="15" t="str">
        <f aca="false">IF(A93="","",ROUND(C93*$B$3/100/12,2))</f>
        <v/>
      </c>
      <c r="F93" s="15" t="str">
        <f aca="false">IF(A93="","",D93-E93)</f>
        <v/>
      </c>
      <c r="G93" s="15" t="str">
        <f aca="false">IF(A93="","",ROUND(C93-F93,2))</f>
        <v/>
      </c>
    </row>
    <row r="94" customFormat="false" ht="15" hidden="false" customHeight="false" outlineLevel="0" collapsed="false">
      <c r="A94" s="20" t="str">
        <f aca="false">IF(A93="","",IF(G93&lt;=0.005,"",A93+1))</f>
        <v/>
      </c>
      <c r="B94" s="21" t="str">
        <f aca="false">IF(A94="","",EDATE($B$6,A94-1))</f>
        <v/>
      </c>
      <c r="C94" s="15" t="str">
        <f aca="false">IF(A94="","",G93)</f>
        <v/>
      </c>
      <c r="D94" s="15" t="str">
        <f aca="false">IF(A94="","",IF(A94&gt;=$B$4,C94+E94,MIN($B$8+$B$5,C94+E94)))</f>
        <v/>
      </c>
      <c r="E94" s="15" t="str">
        <f aca="false">IF(A94="","",ROUND(C94*$B$3/100/12,2))</f>
        <v/>
      </c>
      <c r="F94" s="15" t="str">
        <f aca="false">IF(A94="","",D94-E94)</f>
        <v/>
      </c>
      <c r="G94" s="15" t="str">
        <f aca="false">IF(A94="","",ROUND(C94-F94,2))</f>
        <v/>
      </c>
    </row>
    <row r="95" customFormat="false" ht="15" hidden="false" customHeight="false" outlineLevel="0" collapsed="false">
      <c r="A95" s="20" t="str">
        <f aca="false">IF(A94="","",IF(G94&lt;=0.005,"",A94+1))</f>
        <v/>
      </c>
      <c r="B95" s="21" t="str">
        <f aca="false">IF(A95="","",EDATE($B$6,A95-1))</f>
        <v/>
      </c>
      <c r="C95" s="15" t="str">
        <f aca="false">IF(A95="","",G94)</f>
        <v/>
      </c>
      <c r="D95" s="15" t="str">
        <f aca="false">IF(A95="","",IF(A95&gt;=$B$4,C95+E95,MIN($B$8+$B$5,C95+E95)))</f>
        <v/>
      </c>
      <c r="E95" s="15" t="str">
        <f aca="false">IF(A95="","",ROUND(C95*$B$3/100/12,2))</f>
        <v/>
      </c>
      <c r="F95" s="15" t="str">
        <f aca="false">IF(A95="","",D95-E95)</f>
        <v/>
      </c>
      <c r="G95" s="15" t="str">
        <f aca="false">IF(A95="","",ROUND(C95-F95,2))</f>
        <v/>
      </c>
    </row>
    <row r="96" customFormat="false" ht="15" hidden="false" customHeight="false" outlineLevel="0" collapsed="false">
      <c r="A96" s="20" t="str">
        <f aca="false">IF(A95="","",IF(G95&lt;=0.005,"",A95+1))</f>
        <v/>
      </c>
      <c r="B96" s="21" t="str">
        <f aca="false">IF(A96="","",EDATE($B$6,A96-1))</f>
        <v/>
      </c>
      <c r="C96" s="15" t="str">
        <f aca="false">IF(A96="","",G95)</f>
        <v/>
      </c>
      <c r="D96" s="15" t="str">
        <f aca="false">IF(A96="","",IF(A96&gt;=$B$4,C96+E96,MIN($B$8+$B$5,C96+E96)))</f>
        <v/>
      </c>
      <c r="E96" s="15" t="str">
        <f aca="false">IF(A96="","",ROUND(C96*$B$3/100/12,2))</f>
        <v/>
      </c>
      <c r="F96" s="15" t="str">
        <f aca="false">IF(A96="","",D96-E96)</f>
        <v/>
      </c>
      <c r="G96" s="15" t="str">
        <f aca="false">IF(A96="","",ROUND(C96-F96,2))</f>
        <v/>
      </c>
    </row>
    <row r="97" customFormat="false" ht="15" hidden="false" customHeight="false" outlineLevel="0" collapsed="false">
      <c r="A97" s="20" t="str">
        <f aca="false">IF(A96="","",IF(G96&lt;=0.005,"",A96+1))</f>
        <v/>
      </c>
      <c r="B97" s="21" t="str">
        <f aca="false">IF(A97="","",EDATE($B$6,A97-1))</f>
        <v/>
      </c>
      <c r="C97" s="15" t="str">
        <f aca="false">IF(A97="","",G96)</f>
        <v/>
      </c>
      <c r="D97" s="15" t="str">
        <f aca="false">IF(A97="","",IF(A97&gt;=$B$4,C97+E97,MIN($B$8+$B$5,C97+E97)))</f>
        <v/>
      </c>
      <c r="E97" s="15" t="str">
        <f aca="false">IF(A97="","",ROUND(C97*$B$3/100/12,2))</f>
        <v/>
      </c>
      <c r="F97" s="15" t="str">
        <f aca="false">IF(A97="","",D97-E97)</f>
        <v/>
      </c>
      <c r="G97" s="15" t="str">
        <f aca="false">IF(A97="","",ROUND(C97-F97,2))</f>
        <v/>
      </c>
    </row>
    <row r="98" customFormat="false" ht="15" hidden="false" customHeight="false" outlineLevel="0" collapsed="false">
      <c r="A98" s="20" t="str">
        <f aca="false">IF(A97="","",IF(G97&lt;=0.005,"",A97+1))</f>
        <v/>
      </c>
      <c r="B98" s="21" t="str">
        <f aca="false">IF(A98="","",EDATE($B$6,A98-1))</f>
        <v/>
      </c>
      <c r="C98" s="15" t="str">
        <f aca="false">IF(A98="","",G97)</f>
        <v/>
      </c>
      <c r="D98" s="15" t="str">
        <f aca="false">IF(A98="","",IF(A98&gt;=$B$4,C98+E98,MIN($B$8+$B$5,C98+E98)))</f>
        <v/>
      </c>
      <c r="E98" s="15" t="str">
        <f aca="false">IF(A98="","",ROUND(C98*$B$3/100/12,2))</f>
        <v/>
      </c>
      <c r="F98" s="15" t="str">
        <f aca="false">IF(A98="","",D98-E98)</f>
        <v/>
      </c>
      <c r="G98" s="15" t="str">
        <f aca="false">IF(A98="","",ROUND(C98-F98,2))</f>
        <v/>
      </c>
    </row>
    <row r="99" customFormat="false" ht="15" hidden="false" customHeight="false" outlineLevel="0" collapsed="false">
      <c r="A99" s="20" t="str">
        <f aca="false">IF(A98="","",IF(G98&lt;=0.005,"",A98+1))</f>
        <v/>
      </c>
      <c r="B99" s="21" t="str">
        <f aca="false">IF(A99="","",EDATE($B$6,A99-1))</f>
        <v/>
      </c>
      <c r="C99" s="15" t="str">
        <f aca="false">IF(A99="","",G98)</f>
        <v/>
      </c>
      <c r="D99" s="15" t="str">
        <f aca="false">IF(A99="","",IF(A99&gt;=$B$4,C99+E99,MIN($B$8+$B$5,C99+E99)))</f>
        <v/>
      </c>
      <c r="E99" s="15" t="str">
        <f aca="false">IF(A99="","",ROUND(C99*$B$3/100/12,2))</f>
        <v/>
      </c>
      <c r="F99" s="15" t="str">
        <f aca="false">IF(A99="","",D99-E99)</f>
        <v/>
      </c>
      <c r="G99" s="15" t="str">
        <f aca="false">IF(A99="","",ROUND(C99-F99,2))</f>
        <v/>
      </c>
    </row>
    <row r="100" customFormat="false" ht="15" hidden="false" customHeight="false" outlineLevel="0" collapsed="false">
      <c r="A100" s="20" t="str">
        <f aca="false">IF(A99="","",IF(G99&lt;=0.005,"",A99+1))</f>
        <v/>
      </c>
      <c r="B100" s="21" t="str">
        <f aca="false">IF(A100="","",EDATE($B$6,A100-1))</f>
        <v/>
      </c>
      <c r="C100" s="15" t="str">
        <f aca="false">IF(A100="","",G99)</f>
        <v/>
      </c>
      <c r="D100" s="15" t="str">
        <f aca="false">IF(A100="","",IF(A100&gt;=$B$4,C100+E100,MIN($B$8+$B$5,C100+E100)))</f>
        <v/>
      </c>
      <c r="E100" s="15" t="str">
        <f aca="false">IF(A100="","",ROUND(C100*$B$3/100/12,2))</f>
        <v/>
      </c>
      <c r="F100" s="15" t="str">
        <f aca="false">IF(A100="","",D100-E100)</f>
        <v/>
      </c>
      <c r="G100" s="15" t="str">
        <f aca="false">IF(A100="","",ROUND(C100-F100,2))</f>
        <v/>
      </c>
    </row>
    <row r="101" customFormat="false" ht="15" hidden="false" customHeight="false" outlineLevel="0" collapsed="false">
      <c r="A101" s="20" t="str">
        <f aca="false">IF(A100="","",IF(G100&lt;=0.005,"",A100+1))</f>
        <v/>
      </c>
      <c r="B101" s="21" t="str">
        <f aca="false">IF(A101="","",EDATE($B$6,A101-1))</f>
        <v/>
      </c>
      <c r="C101" s="15" t="str">
        <f aca="false">IF(A101="","",G100)</f>
        <v/>
      </c>
      <c r="D101" s="15" t="str">
        <f aca="false">IF(A101="","",IF(A101&gt;=$B$4,C101+E101,MIN($B$8+$B$5,C101+E101)))</f>
        <v/>
      </c>
      <c r="E101" s="15" t="str">
        <f aca="false">IF(A101="","",ROUND(C101*$B$3/100/12,2))</f>
        <v/>
      </c>
      <c r="F101" s="15" t="str">
        <f aca="false">IF(A101="","",D101-E101)</f>
        <v/>
      </c>
      <c r="G101" s="15" t="str">
        <f aca="false">IF(A101="","",ROUND(C101-F101,2))</f>
        <v/>
      </c>
    </row>
    <row r="102" customFormat="false" ht="15" hidden="false" customHeight="false" outlineLevel="0" collapsed="false">
      <c r="A102" s="20" t="str">
        <f aca="false">IF(A101="","",IF(G101&lt;=0.005,"",A101+1))</f>
        <v/>
      </c>
      <c r="B102" s="21" t="str">
        <f aca="false">IF(A102="","",EDATE($B$6,A102-1))</f>
        <v/>
      </c>
      <c r="C102" s="15" t="str">
        <f aca="false">IF(A102="","",G101)</f>
        <v/>
      </c>
      <c r="D102" s="15" t="str">
        <f aca="false">IF(A102="","",IF(A102&gt;=$B$4,C102+E102,MIN($B$8+$B$5,C102+E102)))</f>
        <v/>
      </c>
      <c r="E102" s="15" t="str">
        <f aca="false">IF(A102="","",ROUND(C102*$B$3/100/12,2))</f>
        <v/>
      </c>
      <c r="F102" s="15" t="str">
        <f aca="false">IF(A102="","",D102-E102)</f>
        <v/>
      </c>
      <c r="G102" s="15" t="str">
        <f aca="false">IF(A102="","",ROUND(C102-F102,2))</f>
        <v/>
      </c>
    </row>
    <row r="103" customFormat="false" ht="15" hidden="false" customHeight="false" outlineLevel="0" collapsed="false">
      <c r="A103" s="20" t="str">
        <f aca="false">IF(A102="","",IF(G102&lt;=0.005,"",A102+1))</f>
        <v/>
      </c>
      <c r="B103" s="21" t="str">
        <f aca="false">IF(A103="","",EDATE($B$6,A103-1))</f>
        <v/>
      </c>
      <c r="C103" s="15" t="str">
        <f aca="false">IF(A103="","",G102)</f>
        <v/>
      </c>
      <c r="D103" s="15" t="str">
        <f aca="false">IF(A103="","",IF(A103&gt;=$B$4,C103+E103,MIN($B$8+$B$5,C103+E103)))</f>
        <v/>
      </c>
      <c r="E103" s="15" t="str">
        <f aca="false">IF(A103="","",ROUND(C103*$B$3/100/12,2))</f>
        <v/>
      </c>
      <c r="F103" s="15" t="str">
        <f aca="false">IF(A103="","",D103-E103)</f>
        <v/>
      </c>
      <c r="G103" s="15" t="str">
        <f aca="false">IF(A103="","",ROUND(C103-F103,2))</f>
        <v/>
      </c>
    </row>
    <row r="104" customFormat="false" ht="15" hidden="false" customHeight="false" outlineLevel="0" collapsed="false">
      <c r="A104" s="20" t="str">
        <f aca="false">IF(A103="","",IF(G103&lt;=0.005,"",A103+1))</f>
        <v/>
      </c>
      <c r="B104" s="21" t="str">
        <f aca="false">IF(A104="","",EDATE($B$6,A104-1))</f>
        <v/>
      </c>
      <c r="C104" s="15" t="str">
        <f aca="false">IF(A104="","",G103)</f>
        <v/>
      </c>
      <c r="D104" s="15" t="str">
        <f aca="false">IF(A104="","",IF(A104&gt;=$B$4,C104+E104,MIN($B$8+$B$5,C104+E104)))</f>
        <v/>
      </c>
      <c r="E104" s="15" t="str">
        <f aca="false">IF(A104="","",ROUND(C104*$B$3/100/12,2))</f>
        <v/>
      </c>
      <c r="F104" s="15" t="str">
        <f aca="false">IF(A104="","",D104-E104)</f>
        <v/>
      </c>
      <c r="G104" s="15" t="str">
        <f aca="false">IF(A104="","",ROUND(C104-F104,2))</f>
        <v/>
      </c>
    </row>
    <row r="105" customFormat="false" ht="15" hidden="false" customHeight="false" outlineLevel="0" collapsed="false">
      <c r="A105" s="20" t="str">
        <f aca="false">IF(A104="","",IF(G104&lt;=0.005,"",A104+1))</f>
        <v/>
      </c>
      <c r="B105" s="21" t="str">
        <f aca="false">IF(A105="","",EDATE($B$6,A105-1))</f>
        <v/>
      </c>
      <c r="C105" s="15" t="str">
        <f aca="false">IF(A105="","",G104)</f>
        <v/>
      </c>
      <c r="D105" s="15" t="str">
        <f aca="false">IF(A105="","",IF(A105&gt;=$B$4,C105+E105,MIN($B$8+$B$5,C105+E105)))</f>
        <v/>
      </c>
      <c r="E105" s="15" t="str">
        <f aca="false">IF(A105="","",ROUND(C105*$B$3/100/12,2))</f>
        <v/>
      </c>
      <c r="F105" s="15" t="str">
        <f aca="false">IF(A105="","",D105-E105)</f>
        <v/>
      </c>
      <c r="G105" s="15" t="str">
        <f aca="false">IF(A105="","",ROUND(C105-F105,2))</f>
        <v/>
      </c>
    </row>
    <row r="106" customFormat="false" ht="15" hidden="false" customHeight="false" outlineLevel="0" collapsed="false">
      <c r="A106" s="20" t="str">
        <f aca="false">IF(A105="","",IF(G105&lt;=0.005,"",A105+1))</f>
        <v/>
      </c>
      <c r="B106" s="21" t="str">
        <f aca="false">IF(A106="","",EDATE($B$6,A106-1))</f>
        <v/>
      </c>
      <c r="C106" s="15" t="str">
        <f aca="false">IF(A106="","",G105)</f>
        <v/>
      </c>
      <c r="D106" s="15" t="str">
        <f aca="false">IF(A106="","",IF(A106&gt;=$B$4,C106+E106,MIN($B$8+$B$5,C106+E106)))</f>
        <v/>
      </c>
      <c r="E106" s="15" t="str">
        <f aca="false">IF(A106="","",ROUND(C106*$B$3/100/12,2))</f>
        <v/>
      </c>
      <c r="F106" s="15" t="str">
        <f aca="false">IF(A106="","",D106-E106)</f>
        <v/>
      </c>
      <c r="G106" s="15" t="str">
        <f aca="false">IF(A106="","",ROUND(C106-F106,2))</f>
        <v/>
      </c>
    </row>
    <row r="107" customFormat="false" ht="15" hidden="false" customHeight="false" outlineLevel="0" collapsed="false">
      <c r="A107" s="20" t="str">
        <f aca="false">IF(A106="","",IF(G106&lt;=0.005,"",A106+1))</f>
        <v/>
      </c>
      <c r="B107" s="21" t="str">
        <f aca="false">IF(A107="","",EDATE($B$6,A107-1))</f>
        <v/>
      </c>
      <c r="C107" s="15" t="str">
        <f aca="false">IF(A107="","",G106)</f>
        <v/>
      </c>
      <c r="D107" s="15" t="str">
        <f aca="false">IF(A107="","",IF(A107&gt;=$B$4,C107+E107,MIN($B$8+$B$5,C107+E107)))</f>
        <v/>
      </c>
      <c r="E107" s="15" t="str">
        <f aca="false">IF(A107="","",ROUND(C107*$B$3/100/12,2))</f>
        <v/>
      </c>
      <c r="F107" s="15" t="str">
        <f aca="false">IF(A107="","",D107-E107)</f>
        <v/>
      </c>
      <c r="G107" s="15" t="str">
        <f aca="false">IF(A107="","",ROUND(C107-F107,2))</f>
        <v/>
      </c>
    </row>
    <row r="108" customFormat="false" ht="15" hidden="false" customHeight="false" outlineLevel="0" collapsed="false">
      <c r="A108" s="20" t="str">
        <f aca="false">IF(A107="","",IF(G107&lt;=0.005,"",A107+1))</f>
        <v/>
      </c>
      <c r="B108" s="21" t="str">
        <f aca="false">IF(A108="","",EDATE($B$6,A108-1))</f>
        <v/>
      </c>
      <c r="C108" s="15" t="str">
        <f aca="false">IF(A108="","",G107)</f>
        <v/>
      </c>
      <c r="D108" s="15" t="str">
        <f aca="false">IF(A108="","",IF(A108&gt;=$B$4,C108+E108,MIN($B$8+$B$5,C108+E108)))</f>
        <v/>
      </c>
      <c r="E108" s="15" t="str">
        <f aca="false">IF(A108="","",ROUND(C108*$B$3/100/12,2))</f>
        <v/>
      </c>
      <c r="F108" s="15" t="str">
        <f aca="false">IF(A108="","",D108-E108)</f>
        <v/>
      </c>
      <c r="G108" s="15" t="str">
        <f aca="false">IF(A108="","",ROUND(C108-F108,2))</f>
        <v/>
      </c>
    </row>
    <row r="109" customFormat="false" ht="15" hidden="false" customHeight="false" outlineLevel="0" collapsed="false">
      <c r="A109" s="20" t="str">
        <f aca="false">IF(A108="","",IF(G108&lt;=0.005,"",A108+1))</f>
        <v/>
      </c>
      <c r="B109" s="21" t="str">
        <f aca="false">IF(A109="","",EDATE($B$6,A109-1))</f>
        <v/>
      </c>
      <c r="C109" s="15" t="str">
        <f aca="false">IF(A109="","",G108)</f>
        <v/>
      </c>
      <c r="D109" s="15" t="str">
        <f aca="false">IF(A109="","",IF(A109&gt;=$B$4,C109+E109,MIN($B$8+$B$5,C109+E109)))</f>
        <v/>
      </c>
      <c r="E109" s="15" t="str">
        <f aca="false">IF(A109="","",ROUND(C109*$B$3/100/12,2))</f>
        <v/>
      </c>
      <c r="F109" s="15" t="str">
        <f aca="false">IF(A109="","",D109-E109)</f>
        <v/>
      </c>
      <c r="G109" s="15" t="str">
        <f aca="false">IF(A109="","",ROUND(C109-F109,2))</f>
        <v/>
      </c>
    </row>
    <row r="110" customFormat="false" ht="15" hidden="false" customHeight="false" outlineLevel="0" collapsed="false">
      <c r="A110" s="20" t="str">
        <f aca="false">IF(A109="","",IF(G109&lt;=0.005,"",A109+1))</f>
        <v/>
      </c>
      <c r="B110" s="21" t="str">
        <f aca="false">IF(A110="","",EDATE($B$6,A110-1))</f>
        <v/>
      </c>
      <c r="C110" s="15" t="str">
        <f aca="false">IF(A110="","",G109)</f>
        <v/>
      </c>
      <c r="D110" s="15" t="str">
        <f aca="false">IF(A110="","",IF(A110&gt;=$B$4,C110+E110,MIN($B$8+$B$5,C110+E110)))</f>
        <v/>
      </c>
      <c r="E110" s="15" t="str">
        <f aca="false">IF(A110="","",ROUND(C110*$B$3/100/12,2))</f>
        <v/>
      </c>
      <c r="F110" s="15" t="str">
        <f aca="false">IF(A110="","",D110-E110)</f>
        <v/>
      </c>
      <c r="G110" s="15" t="str">
        <f aca="false">IF(A110="","",ROUND(C110-F110,2))</f>
        <v/>
      </c>
    </row>
    <row r="111" customFormat="false" ht="15" hidden="false" customHeight="false" outlineLevel="0" collapsed="false">
      <c r="A111" s="20" t="str">
        <f aca="false">IF(A110="","",IF(G110&lt;=0.005,"",A110+1))</f>
        <v/>
      </c>
      <c r="B111" s="21" t="str">
        <f aca="false">IF(A111="","",EDATE($B$6,A111-1))</f>
        <v/>
      </c>
      <c r="C111" s="15" t="str">
        <f aca="false">IF(A111="","",G110)</f>
        <v/>
      </c>
      <c r="D111" s="15" t="str">
        <f aca="false">IF(A111="","",IF(A111&gt;=$B$4,C111+E111,MIN($B$8+$B$5,C111+E111)))</f>
        <v/>
      </c>
      <c r="E111" s="15" t="str">
        <f aca="false">IF(A111="","",ROUND(C111*$B$3/100/12,2))</f>
        <v/>
      </c>
      <c r="F111" s="15" t="str">
        <f aca="false">IF(A111="","",D111-E111)</f>
        <v/>
      </c>
      <c r="G111" s="15" t="str">
        <f aca="false">IF(A111="","",ROUND(C111-F111,2))</f>
        <v/>
      </c>
    </row>
    <row r="112" customFormat="false" ht="15" hidden="false" customHeight="false" outlineLevel="0" collapsed="false">
      <c r="A112" s="20" t="str">
        <f aca="false">IF(A111="","",IF(G111&lt;=0.005,"",A111+1))</f>
        <v/>
      </c>
      <c r="B112" s="21" t="str">
        <f aca="false">IF(A112="","",EDATE($B$6,A112-1))</f>
        <v/>
      </c>
      <c r="C112" s="15" t="str">
        <f aca="false">IF(A112="","",G111)</f>
        <v/>
      </c>
      <c r="D112" s="15" t="str">
        <f aca="false">IF(A112="","",IF(A112&gt;=$B$4,C112+E112,MIN($B$8+$B$5,C112+E112)))</f>
        <v/>
      </c>
      <c r="E112" s="15" t="str">
        <f aca="false">IF(A112="","",ROUND(C112*$B$3/100/12,2))</f>
        <v/>
      </c>
      <c r="F112" s="15" t="str">
        <f aca="false">IF(A112="","",D112-E112)</f>
        <v/>
      </c>
      <c r="G112" s="15" t="str">
        <f aca="false">IF(A112="","",ROUND(C112-F112,2))</f>
        <v/>
      </c>
    </row>
    <row r="113" customFormat="false" ht="15" hidden="false" customHeight="false" outlineLevel="0" collapsed="false">
      <c r="A113" s="20" t="str">
        <f aca="false">IF(A112="","",IF(G112&lt;=0.005,"",A112+1))</f>
        <v/>
      </c>
      <c r="B113" s="21" t="str">
        <f aca="false">IF(A113="","",EDATE($B$6,A113-1))</f>
        <v/>
      </c>
      <c r="C113" s="15" t="str">
        <f aca="false">IF(A113="","",G112)</f>
        <v/>
      </c>
      <c r="D113" s="15" t="str">
        <f aca="false">IF(A113="","",IF(A113&gt;=$B$4,C113+E113,MIN($B$8+$B$5,C113+E113)))</f>
        <v/>
      </c>
      <c r="E113" s="15" t="str">
        <f aca="false">IF(A113="","",ROUND(C113*$B$3/100/12,2))</f>
        <v/>
      </c>
      <c r="F113" s="15" t="str">
        <f aca="false">IF(A113="","",D113-E113)</f>
        <v/>
      </c>
      <c r="G113" s="15" t="str">
        <f aca="false">IF(A113="","",ROUND(C113-F113,2))</f>
        <v/>
      </c>
    </row>
    <row r="114" customFormat="false" ht="15" hidden="false" customHeight="false" outlineLevel="0" collapsed="false">
      <c r="A114" s="20" t="str">
        <f aca="false">IF(A113="","",IF(G113&lt;=0.005,"",A113+1))</f>
        <v/>
      </c>
      <c r="B114" s="21" t="str">
        <f aca="false">IF(A114="","",EDATE($B$6,A114-1))</f>
        <v/>
      </c>
      <c r="C114" s="15" t="str">
        <f aca="false">IF(A114="","",G113)</f>
        <v/>
      </c>
      <c r="D114" s="15" t="str">
        <f aca="false">IF(A114="","",IF(A114&gt;=$B$4,C114+E114,MIN($B$8+$B$5,C114+E114)))</f>
        <v/>
      </c>
      <c r="E114" s="15" t="str">
        <f aca="false">IF(A114="","",ROUND(C114*$B$3/100/12,2))</f>
        <v/>
      </c>
      <c r="F114" s="15" t="str">
        <f aca="false">IF(A114="","",D114-E114)</f>
        <v/>
      </c>
      <c r="G114" s="15" t="str">
        <f aca="false">IF(A114="","",ROUND(C114-F114,2))</f>
        <v/>
      </c>
    </row>
    <row r="115" customFormat="false" ht="15" hidden="false" customHeight="false" outlineLevel="0" collapsed="false">
      <c r="A115" s="20" t="str">
        <f aca="false">IF(A114="","",IF(G114&lt;=0.005,"",A114+1))</f>
        <v/>
      </c>
      <c r="B115" s="21" t="str">
        <f aca="false">IF(A115="","",EDATE($B$6,A115-1))</f>
        <v/>
      </c>
      <c r="C115" s="15" t="str">
        <f aca="false">IF(A115="","",G114)</f>
        <v/>
      </c>
      <c r="D115" s="15" t="str">
        <f aca="false">IF(A115="","",IF(A115&gt;=$B$4,C115+E115,MIN($B$8+$B$5,C115+E115)))</f>
        <v/>
      </c>
      <c r="E115" s="15" t="str">
        <f aca="false">IF(A115="","",ROUND(C115*$B$3/100/12,2))</f>
        <v/>
      </c>
      <c r="F115" s="15" t="str">
        <f aca="false">IF(A115="","",D115-E115)</f>
        <v/>
      </c>
      <c r="G115" s="15" t="str">
        <f aca="false">IF(A115="","",ROUND(C115-F115,2))</f>
        <v/>
      </c>
    </row>
    <row r="116" customFormat="false" ht="15" hidden="false" customHeight="false" outlineLevel="0" collapsed="false">
      <c r="A116" s="20" t="str">
        <f aca="false">IF(A115="","",IF(G115&lt;=0.005,"",A115+1))</f>
        <v/>
      </c>
      <c r="B116" s="21" t="str">
        <f aca="false">IF(A116="","",EDATE($B$6,A116-1))</f>
        <v/>
      </c>
      <c r="C116" s="15" t="str">
        <f aca="false">IF(A116="","",G115)</f>
        <v/>
      </c>
      <c r="D116" s="15" t="str">
        <f aca="false">IF(A116="","",IF(A116&gt;=$B$4,C116+E116,MIN($B$8+$B$5,C116+E116)))</f>
        <v/>
      </c>
      <c r="E116" s="15" t="str">
        <f aca="false">IF(A116="","",ROUND(C116*$B$3/100/12,2))</f>
        <v/>
      </c>
      <c r="F116" s="15" t="str">
        <f aca="false">IF(A116="","",D116-E116)</f>
        <v/>
      </c>
      <c r="G116" s="15" t="str">
        <f aca="false">IF(A116="","",ROUND(C116-F116,2))</f>
        <v/>
      </c>
    </row>
    <row r="117" customFormat="false" ht="15" hidden="false" customHeight="false" outlineLevel="0" collapsed="false">
      <c r="A117" s="20" t="str">
        <f aca="false">IF(A116="","",IF(G116&lt;=0.005,"",A116+1))</f>
        <v/>
      </c>
      <c r="B117" s="21" t="str">
        <f aca="false">IF(A117="","",EDATE($B$6,A117-1))</f>
        <v/>
      </c>
      <c r="C117" s="15" t="str">
        <f aca="false">IF(A117="","",G116)</f>
        <v/>
      </c>
      <c r="D117" s="15" t="str">
        <f aca="false">IF(A117="","",IF(A117&gt;=$B$4,C117+E117,MIN($B$8+$B$5,C117+E117)))</f>
        <v/>
      </c>
      <c r="E117" s="15" t="str">
        <f aca="false">IF(A117="","",ROUND(C117*$B$3/100/12,2))</f>
        <v/>
      </c>
      <c r="F117" s="15" t="str">
        <f aca="false">IF(A117="","",D117-E117)</f>
        <v/>
      </c>
      <c r="G117" s="15" t="str">
        <f aca="false">IF(A117="","",ROUND(C117-F117,2))</f>
        <v/>
      </c>
    </row>
    <row r="118" customFormat="false" ht="15" hidden="false" customHeight="false" outlineLevel="0" collapsed="false">
      <c r="A118" s="20" t="str">
        <f aca="false">IF(A117="","",IF(G117&lt;=0.005,"",A117+1))</f>
        <v/>
      </c>
      <c r="B118" s="21" t="str">
        <f aca="false">IF(A118="","",EDATE($B$6,A118-1))</f>
        <v/>
      </c>
      <c r="C118" s="15" t="str">
        <f aca="false">IF(A118="","",G117)</f>
        <v/>
      </c>
      <c r="D118" s="15" t="str">
        <f aca="false">IF(A118="","",IF(A118&gt;=$B$4,C118+E118,MIN($B$8+$B$5,C118+E118)))</f>
        <v/>
      </c>
      <c r="E118" s="15" t="str">
        <f aca="false">IF(A118="","",ROUND(C118*$B$3/100/12,2))</f>
        <v/>
      </c>
      <c r="F118" s="15" t="str">
        <f aca="false">IF(A118="","",D118-E118)</f>
        <v/>
      </c>
      <c r="G118" s="15" t="str">
        <f aca="false">IF(A118="","",ROUND(C118-F118,2))</f>
        <v/>
      </c>
    </row>
    <row r="119" customFormat="false" ht="15" hidden="false" customHeight="false" outlineLevel="0" collapsed="false">
      <c r="A119" s="20" t="str">
        <f aca="false">IF(A118="","",IF(G118&lt;=0.005,"",A118+1))</f>
        <v/>
      </c>
      <c r="B119" s="21" t="str">
        <f aca="false">IF(A119="","",EDATE($B$6,A119-1))</f>
        <v/>
      </c>
      <c r="C119" s="15" t="str">
        <f aca="false">IF(A119="","",G118)</f>
        <v/>
      </c>
      <c r="D119" s="15" t="str">
        <f aca="false">IF(A119="","",IF(A119&gt;=$B$4,C119+E119,MIN($B$8+$B$5,C119+E119)))</f>
        <v/>
      </c>
      <c r="E119" s="15" t="str">
        <f aca="false">IF(A119="","",ROUND(C119*$B$3/100/12,2))</f>
        <v/>
      </c>
      <c r="F119" s="15" t="str">
        <f aca="false">IF(A119="","",D119-E119)</f>
        <v/>
      </c>
      <c r="G119" s="15" t="str">
        <f aca="false">IF(A119="","",ROUND(C119-F119,2))</f>
        <v/>
      </c>
    </row>
    <row r="120" customFormat="false" ht="15" hidden="false" customHeight="false" outlineLevel="0" collapsed="false">
      <c r="A120" s="20" t="str">
        <f aca="false">IF(A119="","",IF(G119&lt;=0.005,"",A119+1))</f>
        <v/>
      </c>
      <c r="B120" s="21" t="str">
        <f aca="false">IF(A120="","",EDATE($B$6,A120-1))</f>
        <v/>
      </c>
      <c r="C120" s="15" t="str">
        <f aca="false">IF(A120="","",G119)</f>
        <v/>
      </c>
      <c r="D120" s="15" t="str">
        <f aca="false">IF(A120="","",IF(A120&gt;=$B$4,C120+E120,MIN($B$8+$B$5,C120+E120)))</f>
        <v/>
      </c>
      <c r="E120" s="15" t="str">
        <f aca="false">IF(A120="","",ROUND(C120*$B$3/100/12,2))</f>
        <v/>
      </c>
      <c r="F120" s="15" t="str">
        <f aca="false">IF(A120="","",D120-E120)</f>
        <v/>
      </c>
      <c r="G120" s="15" t="str">
        <f aca="false">IF(A120="","",ROUND(C120-F120,2))</f>
        <v/>
      </c>
    </row>
    <row r="121" customFormat="false" ht="15" hidden="false" customHeight="false" outlineLevel="0" collapsed="false">
      <c r="A121" s="20" t="str">
        <f aca="false">IF(A120="","",IF(G120&lt;=0.005,"",A120+1))</f>
        <v/>
      </c>
      <c r="B121" s="21" t="str">
        <f aca="false">IF(A121="","",EDATE($B$6,A121-1))</f>
        <v/>
      </c>
      <c r="C121" s="15" t="str">
        <f aca="false">IF(A121="","",G120)</f>
        <v/>
      </c>
      <c r="D121" s="15" t="str">
        <f aca="false">IF(A121="","",IF(A121&gt;=$B$4,C121+E121,MIN($B$8+$B$5,C121+E121)))</f>
        <v/>
      </c>
      <c r="E121" s="15" t="str">
        <f aca="false">IF(A121="","",ROUND(C121*$B$3/100/12,2))</f>
        <v/>
      </c>
      <c r="F121" s="15" t="str">
        <f aca="false">IF(A121="","",D121-E121)</f>
        <v/>
      </c>
      <c r="G121" s="15" t="str">
        <f aca="false">IF(A121="","",ROUND(C121-F121,2))</f>
        <v/>
      </c>
    </row>
    <row r="122" customFormat="false" ht="15" hidden="false" customHeight="false" outlineLevel="0" collapsed="false">
      <c r="A122" s="20" t="str">
        <f aca="false">IF(A121="","",IF(G121&lt;=0.005,"",A121+1))</f>
        <v/>
      </c>
      <c r="B122" s="21" t="str">
        <f aca="false">IF(A122="","",EDATE($B$6,A122-1))</f>
        <v/>
      </c>
      <c r="C122" s="15" t="str">
        <f aca="false">IF(A122="","",G121)</f>
        <v/>
      </c>
      <c r="D122" s="15" t="str">
        <f aca="false">IF(A122="","",IF(A122&gt;=$B$4,C122+E122,MIN($B$8+$B$5,C122+E122)))</f>
        <v/>
      </c>
      <c r="E122" s="15" t="str">
        <f aca="false">IF(A122="","",ROUND(C122*$B$3/100/12,2))</f>
        <v/>
      </c>
      <c r="F122" s="15" t="str">
        <f aca="false">IF(A122="","",D122-E122)</f>
        <v/>
      </c>
      <c r="G122" s="15" t="str">
        <f aca="false">IF(A122="","",ROUND(C122-F122,2))</f>
        <v/>
      </c>
    </row>
    <row r="123" customFormat="false" ht="15" hidden="false" customHeight="false" outlineLevel="0" collapsed="false">
      <c r="A123" s="20" t="str">
        <f aca="false">IF(A122="","",IF(G122&lt;=0.005,"",A122+1))</f>
        <v/>
      </c>
      <c r="B123" s="21" t="str">
        <f aca="false">IF(A123="","",EDATE($B$6,A123-1))</f>
        <v/>
      </c>
      <c r="C123" s="15" t="str">
        <f aca="false">IF(A123="","",G122)</f>
        <v/>
      </c>
      <c r="D123" s="15" t="str">
        <f aca="false">IF(A123="","",IF(A123&gt;=$B$4,C123+E123,MIN($B$8+$B$5,C123+E123)))</f>
        <v/>
      </c>
      <c r="E123" s="15" t="str">
        <f aca="false">IF(A123="","",ROUND(C123*$B$3/100/12,2))</f>
        <v/>
      </c>
      <c r="F123" s="15" t="str">
        <f aca="false">IF(A123="","",D123-E123)</f>
        <v/>
      </c>
      <c r="G123" s="15" t="str">
        <f aca="false">IF(A123="","",ROUND(C123-F123,2))</f>
        <v/>
      </c>
    </row>
    <row r="124" customFormat="false" ht="15" hidden="false" customHeight="false" outlineLevel="0" collapsed="false">
      <c r="A124" s="20" t="str">
        <f aca="false">IF(A123="","",IF(G123&lt;=0.005,"",A123+1))</f>
        <v/>
      </c>
      <c r="B124" s="21" t="str">
        <f aca="false">IF(A124="","",EDATE($B$6,A124-1))</f>
        <v/>
      </c>
      <c r="C124" s="15" t="str">
        <f aca="false">IF(A124="","",G123)</f>
        <v/>
      </c>
      <c r="D124" s="15" t="str">
        <f aca="false">IF(A124="","",IF(A124&gt;=$B$4,C124+E124,MIN($B$8+$B$5,C124+E124)))</f>
        <v/>
      </c>
      <c r="E124" s="15" t="str">
        <f aca="false">IF(A124="","",ROUND(C124*$B$3/100/12,2))</f>
        <v/>
      </c>
      <c r="F124" s="15" t="str">
        <f aca="false">IF(A124="","",D124-E124)</f>
        <v/>
      </c>
      <c r="G124" s="15" t="str">
        <f aca="false">IF(A124="","",ROUND(C124-F124,2))</f>
        <v/>
      </c>
    </row>
    <row r="125" customFormat="false" ht="15" hidden="false" customHeight="false" outlineLevel="0" collapsed="false">
      <c r="A125" s="20" t="str">
        <f aca="false">IF(A124="","",IF(G124&lt;=0.005,"",A124+1))</f>
        <v/>
      </c>
      <c r="B125" s="21" t="str">
        <f aca="false">IF(A125="","",EDATE($B$6,A125-1))</f>
        <v/>
      </c>
      <c r="C125" s="15" t="str">
        <f aca="false">IF(A125="","",G124)</f>
        <v/>
      </c>
      <c r="D125" s="15" t="str">
        <f aca="false">IF(A125="","",IF(A125&gt;=$B$4,C125+E125,MIN($B$8+$B$5,C125+E125)))</f>
        <v/>
      </c>
      <c r="E125" s="15" t="str">
        <f aca="false">IF(A125="","",ROUND(C125*$B$3/100/12,2))</f>
        <v/>
      </c>
      <c r="F125" s="15" t="str">
        <f aca="false">IF(A125="","",D125-E125)</f>
        <v/>
      </c>
      <c r="G125" s="15" t="str">
        <f aca="false">IF(A125="","",ROUND(C125-F125,2))</f>
        <v/>
      </c>
    </row>
    <row r="126" customFormat="false" ht="15" hidden="false" customHeight="false" outlineLevel="0" collapsed="false">
      <c r="A126" s="20" t="str">
        <f aca="false">IF(A125="","",IF(G125&lt;=0.005,"",A125+1))</f>
        <v/>
      </c>
      <c r="B126" s="21" t="str">
        <f aca="false">IF(A126="","",EDATE($B$6,A126-1))</f>
        <v/>
      </c>
      <c r="C126" s="15" t="str">
        <f aca="false">IF(A126="","",G125)</f>
        <v/>
      </c>
      <c r="D126" s="15" t="str">
        <f aca="false">IF(A126="","",IF(A126&gt;=$B$4,C126+E126,MIN($B$8+$B$5,C126+E126)))</f>
        <v/>
      </c>
      <c r="E126" s="15" t="str">
        <f aca="false">IF(A126="","",ROUND(C126*$B$3/100/12,2))</f>
        <v/>
      </c>
      <c r="F126" s="15" t="str">
        <f aca="false">IF(A126="","",D126-E126)</f>
        <v/>
      </c>
      <c r="G126" s="15" t="str">
        <f aca="false">IF(A126="","",ROUND(C126-F126,2))</f>
        <v/>
      </c>
    </row>
    <row r="127" customFormat="false" ht="15" hidden="false" customHeight="false" outlineLevel="0" collapsed="false">
      <c r="A127" s="20" t="str">
        <f aca="false">IF(A126="","",IF(G126&lt;=0.005,"",A126+1))</f>
        <v/>
      </c>
      <c r="B127" s="21" t="str">
        <f aca="false">IF(A127="","",EDATE($B$6,A127-1))</f>
        <v/>
      </c>
      <c r="C127" s="15" t="str">
        <f aca="false">IF(A127="","",G126)</f>
        <v/>
      </c>
      <c r="D127" s="15" t="str">
        <f aca="false">IF(A127="","",IF(A127&gt;=$B$4,C127+E127,MIN($B$8+$B$5,C127+E127)))</f>
        <v/>
      </c>
      <c r="E127" s="15" t="str">
        <f aca="false">IF(A127="","",ROUND(C127*$B$3/100/12,2))</f>
        <v/>
      </c>
      <c r="F127" s="15" t="str">
        <f aca="false">IF(A127="","",D127-E127)</f>
        <v/>
      </c>
      <c r="G127" s="15" t="str">
        <f aca="false">IF(A127="","",ROUND(C127-F127,2))</f>
        <v/>
      </c>
    </row>
    <row r="128" customFormat="false" ht="15" hidden="false" customHeight="false" outlineLevel="0" collapsed="false">
      <c r="A128" s="20" t="str">
        <f aca="false">IF(A127="","",IF(G127&lt;=0.005,"",A127+1))</f>
        <v/>
      </c>
      <c r="B128" s="21" t="str">
        <f aca="false">IF(A128="","",EDATE($B$6,A128-1))</f>
        <v/>
      </c>
      <c r="C128" s="15" t="str">
        <f aca="false">IF(A128="","",G127)</f>
        <v/>
      </c>
      <c r="D128" s="15" t="str">
        <f aca="false">IF(A128="","",IF(A128&gt;=$B$4,C128+E128,MIN($B$8+$B$5,C128+E128)))</f>
        <v/>
      </c>
      <c r="E128" s="15" t="str">
        <f aca="false">IF(A128="","",ROUND(C128*$B$3/100/12,2))</f>
        <v/>
      </c>
      <c r="F128" s="15" t="str">
        <f aca="false">IF(A128="","",D128-E128)</f>
        <v/>
      </c>
      <c r="G128" s="15" t="str">
        <f aca="false">IF(A128="","",ROUND(C128-F128,2))</f>
        <v/>
      </c>
    </row>
    <row r="129" customFormat="false" ht="15" hidden="false" customHeight="false" outlineLevel="0" collapsed="false">
      <c r="A129" s="20" t="str">
        <f aca="false">IF(A128="","",IF(G128&lt;=0.005,"",A128+1))</f>
        <v/>
      </c>
      <c r="B129" s="21" t="str">
        <f aca="false">IF(A129="","",EDATE($B$6,A129-1))</f>
        <v/>
      </c>
      <c r="C129" s="15" t="str">
        <f aca="false">IF(A129="","",G128)</f>
        <v/>
      </c>
      <c r="D129" s="15" t="str">
        <f aca="false">IF(A129="","",IF(A129&gt;=$B$4,C129+E129,MIN($B$8+$B$5,C129+E129)))</f>
        <v/>
      </c>
      <c r="E129" s="15" t="str">
        <f aca="false">IF(A129="","",ROUND(C129*$B$3/100/12,2))</f>
        <v/>
      </c>
      <c r="F129" s="15" t="str">
        <f aca="false">IF(A129="","",D129-E129)</f>
        <v/>
      </c>
      <c r="G129" s="15" t="str">
        <f aca="false">IF(A129="","",ROUND(C129-F129,2))</f>
        <v/>
      </c>
    </row>
    <row r="130" customFormat="false" ht="15" hidden="false" customHeight="false" outlineLevel="0" collapsed="false">
      <c r="A130" s="20" t="str">
        <f aca="false">IF(A129="","",IF(G129&lt;=0.005,"",A129+1))</f>
        <v/>
      </c>
      <c r="B130" s="21" t="str">
        <f aca="false">IF(A130="","",EDATE($B$6,A130-1))</f>
        <v/>
      </c>
      <c r="C130" s="15" t="str">
        <f aca="false">IF(A130="","",G129)</f>
        <v/>
      </c>
      <c r="D130" s="15" t="str">
        <f aca="false">IF(A130="","",IF(A130&gt;=$B$4,C130+E130,MIN($B$8+$B$5,C130+E130)))</f>
        <v/>
      </c>
      <c r="E130" s="15" t="str">
        <f aca="false">IF(A130="","",ROUND(C130*$B$3/100/12,2))</f>
        <v/>
      </c>
      <c r="F130" s="15" t="str">
        <f aca="false">IF(A130="","",D130-E130)</f>
        <v/>
      </c>
      <c r="G130" s="15" t="str">
        <f aca="false">IF(A130="","",ROUND(C130-F130,2))</f>
        <v/>
      </c>
    </row>
    <row r="131" customFormat="false" ht="15" hidden="false" customHeight="false" outlineLevel="0" collapsed="false">
      <c r="A131" s="20" t="str">
        <f aca="false">IF(A130="","",IF(G130&lt;=0.005,"",A130+1))</f>
        <v/>
      </c>
      <c r="B131" s="21" t="str">
        <f aca="false">IF(A131="","",EDATE($B$6,A131-1))</f>
        <v/>
      </c>
      <c r="C131" s="15" t="str">
        <f aca="false">IF(A131="","",G130)</f>
        <v/>
      </c>
      <c r="D131" s="15" t="str">
        <f aca="false">IF(A131="","",IF(A131&gt;=$B$4,C131+E131,MIN($B$8+$B$5,C131+E131)))</f>
        <v/>
      </c>
      <c r="E131" s="15" t="str">
        <f aca="false">IF(A131="","",ROUND(C131*$B$3/100/12,2))</f>
        <v/>
      </c>
      <c r="F131" s="15" t="str">
        <f aca="false">IF(A131="","",D131-E131)</f>
        <v/>
      </c>
      <c r="G131" s="15" t="str">
        <f aca="false">IF(A131="","",ROUND(C131-F131,2))</f>
        <v/>
      </c>
    </row>
    <row r="132" customFormat="false" ht="15" hidden="false" customHeight="false" outlineLevel="0" collapsed="false">
      <c r="A132" s="20" t="str">
        <f aca="false">IF(A131="","",IF(G131&lt;=0.005,"",A131+1))</f>
        <v/>
      </c>
      <c r="B132" s="21" t="str">
        <f aca="false">IF(A132="","",EDATE($B$6,A132-1))</f>
        <v/>
      </c>
      <c r="C132" s="15" t="str">
        <f aca="false">IF(A132="","",G131)</f>
        <v/>
      </c>
      <c r="D132" s="15" t="str">
        <f aca="false">IF(A132="","",IF(A132&gt;=$B$4,C132+E132,MIN($B$8+$B$5,C132+E132)))</f>
        <v/>
      </c>
      <c r="E132" s="15" t="str">
        <f aca="false">IF(A132="","",ROUND(C132*$B$3/100/12,2))</f>
        <v/>
      </c>
      <c r="F132" s="15" t="str">
        <f aca="false">IF(A132="","",D132-E132)</f>
        <v/>
      </c>
      <c r="G132" s="15" t="str">
        <f aca="false">IF(A132="","",ROUND(C132-F132,2))</f>
        <v/>
      </c>
    </row>
    <row r="133" customFormat="false" ht="15" hidden="false" customHeight="false" outlineLevel="0" collapsed="false">
      <c r="A133" s="20" t="str">
        <f aca="false">IF(A132="","",IF(G132&lt;=0.005,"",A132+1))</f>
        <v/>
      </c>
      <c r="B133" s="21" t="str">
        <f aca="false">IF(A133="","",EDATE($B$6,A133-1))</f>
        <v/>
      </c>
      <c r="C133" s="15" t="str">
        <f aca="false">IF(A133="","",G132)</f>
        <v/>
      </c>
      <c r="D133" s="15" t="str">
        <f aca="false">IF(A133="","",IF(A133&gt;=$B$4,C133+E133,MIN($B$8+$B$5,C133+E133)))</f>
        <v/>
      </c>
      <c r="E133" s="15" t="str">
        <f aca="false">IF(A133="","",ROUND(C133*$B$3/100/12,2))</f>
        <v/>
      </c>
      <c r="F133" s="15" t="str">
        <f aca="false">IF(A133="","",D133-E133)</f>
        <v/>
      </c>
      <c r="G133" s="15" t="str">
        <f aca="false">IF(A133="","",ROUND(C133-F133,2))</f>
        <v/>
      </c>
    </row>
    <row r="134" customFormat="false" ht="15" hidden="false" customHeight="false" outlineLevel="0" collapsed="false">
      <c r="A134" s="20" t="str">
        <f aca="false">IF(A133="","",IF(G133&lt;=0.005,"",A133+1))</f>
        <v/>
      </c>
      <c r="B134" s="21" t="str">
        <f aca="false">IF(A134="","",EDATE($B$6,A134-1))</f>
        <v/>
      </c>
      <c r="C134" s="15" t="str">
        <f aca="false">IF(A134="","",G133)</f>
        <v/>
      </c>
      <c r="D134" s="15" t="str">
        <f aca="false">IF(A134="","",IF(A134&gt;=$B$4,C134+E134,MIN($B$8+$B$5,C134+E134)))</f>
        <v/>
      </c>
      <c r="E134" s="15" t="str">
        <f aca="false">IF(A134="","",ROUND(C134*$B$3/100/12,2))</f>
        <v/>
      </c>
      <c r="F134" s="15" t="str">
        <f aca="false">IF(A134="","",D134-E134)</f>
        <v/>
      </c>
      <c r="G134" s="15" t="str">
        <f aca="false">IF(A134="","",ROUND(C134-F134,2))</f>
        <v/>
      </c>
    </row>
    <row r="135" customFormat="false" ht="15" hidden="false" customHeight="false" outlineLevel="0" collapsed="false">
      <c r="A135" s="20" t="str">
        <f aca="false">IF(A134="","",IF(G134&lt;=0.005,"",A134+1))</f>
        <v/>
      </c>
      <c r="B135" s="21" t="str">
        <f aca="false">IF(A135="","",EDATE($B$6,A135-1))</f>
        <v/>
      </c>
      <c r="C135" s="15" t="str">
        <f aca="false">IF(A135="","",G134)</f>
        <v/>
      </c>
      <c r="D135" s="15" t="str">
        <f aca="false">IF(A135="","",IF(A135&gt;=$B$4,C135+E135,MIN($B$8+$B$5,C135+E135)))</f>
        <v/>
      </c>
      <c r="E135" s="15" t="str">
        <f aca="false">IF(A135="","",ROUND(C135*$B$3/100/12,2))</f>
        <v/>
      </c>
      <c r="F135" s="15" t="str">
        <f aca="false">IF(A135="","",D135-E135)</f>
        <v/>
      </c>
      <c r="G135" s="15" t="str">
        <f aca="false">IF(A135="","",ROUND(C135-F135,2))</f>
        <v/>
      </c>
    </row>
    <row r="136" customFormat="false" ht="15" hidden="false" customHeight="false" outlineLevel="0" collapsed="false">
      <c r="A136" s="20" t="str">
        <f aca="false">IF(A135="","",IF(G135&lt;=0.005,"",A135+1))</f>
        <v/>
      </c>
      <c r="B136" s="21" t="str">
        <f aca="false">IF(A136="","",EDATE($B$6,A136-1))</f>
        <v/>
      </c>
      <c r="C136" s="15" t="str">
        <f aca="false">IF(A136="","",G135)</f>
        <v/>
      </c>
      <c r="D136" s="15" t="str">
        <f aca="false">IF(A136="","",IF(A136&gt;=$B$4,C136+E136,MIN($B$8+$B$5,C136+E136)))</f>
        <v/>
      </c>
      <c r="E136" s="15" t="str">
        <f aca="false">IF(A136="","",ROUND(C136*$B$3/100/12,2))</f>
        <v/>
      </c>
      <c r="F136" s="15" t="str">
        <f aca="false">IF(A136="","",D136-E136)</f>
        <v/>
      </c>
      <c r="G136" s="15" t="str">
        <f aca="false">IF(A136="","",ROUND(C136-F136,2))</f>
        <v/>
      </c>
    </row>
    <row r="137" customFormat="false" ht="15" hidden="false" customHeight="false" outlineLevel="0" collapsed="false">
      <c r="A137" s="20" t="str">
        <f aca="false">IF(A136="","",IF(G136&lt;=0.005,"",A136+1))</f>
        <v/>
      </c>
      <c r="B137" s="21" t="str">
        <f aca="false">IF(A137="","",EDATE($B$6,A137-1))</f>
        <v/>
      </c>
      <c r="C137" s="15" t="str">
        <f aca="false">IF(A137="","",G136)</f>
        <v/>
      </c>
      <c r="D137" s="15" t="str">
        <f aca="false">IF(A137="","",IF(A137&gt;=$B$4,C137+E137,MIN($B$8+$B$5,C137+E137)))</f>
        <v/>
      </c>
      <c r="E137" s="15" t="str">
        <f aca="false">IF(A137="","",ROUND(C137*$B$3/100/12,2))</f>
        <v/>
      </c>
      <c r="F137" s="15" t="str">
        <f aca="false">IF(A137="","",D137-E137)</f>
        <v/>
      </c>
      <c r="G137" s="15" t="str">
        <f aca="false">IF(A137="","",ROUND(C137-F137,2))</f>
        <v/>
      </c>
    </row>
    <row r="138" customFormat="false" ht="15" hidden="false" customHeight="false" outlineLevel="0" collapsed="false">
      <c r="A138" s="20" t="str">
        <f aca="false">IF(A137="","",IF(G137&lt;=0.005,"",A137+1))</f>
        <v/>
      </c>
      <c r="B138" s="21" t="str">
        <f aca="false">IF(A138="","",EDATE($B$6,A138-1))</f>
        <v/>
      </c>
      <c r="C138" s="15" t="str">
        <f aca="false">IF(A138="","",G137)</f>
        <v/>
      </c>
      <c r="D138" s="15" t="str">
        <f aca="false">IF(A138="","",IF(A138&gt;=$B$4,C138+E138,MIN($B$8+$B$5,C138+E138)))</f>
        <v/>
      </c>
      <c r="E138" s="15" t="str">
        <f aca="false">IF(A138="","",ROUND(C138*$B$3/100/12,2))</f>
        <v/>
      </c>
      <c r="F138" s="15" t="str">
        <f aca="false">IF(A138="","",D138-E138)</f>
        <v/>
      </c>
      <c r="G138" s="15" t="str">
        <f aca="false">IF(A138="","",ROUND(C138-F138,2))</f>
        <v/>
      </c>
    </row>
    <row r="139" customFormat="false" ht="15" hidden="false" customHeight="false" outlineLevel="0" collapsed="false">
      <c r="A139" s="20" t="str">
        <f aca="false">IF(A138="","",IF(G138&lt;=0.005,"",A138+1))</f>
        <v/>
      </c>
      <c r="B139" s="21" t="str">
        <f aca="false">IF(A139="","",EDATE($B$6,A139-1))</f>
        <v/>
      </c>
      <c r="C139" s="15" t="str">
        <f aca="false">IF(A139="","",G138)</f>
        <v/>
      </c>
      <c r="D139" s="15" t="str">
        <f aca="false">IF(A139="","",IF(A139&gt;=$B$4,C139+E139,MIN($B$8+$B$5,C139+E139)))</f>
        <v/>
      </c>
      <c r="E139" s="15" t="str">
        <f aca="false">IF(A139="","",ROUND(C139*$B$3/100/12,2))</f>
        <v/>
      </c>
      <c r="F139" s="15" t="str">
        <f aca="false">IF(A139="","",D139-E139)</f>
        <v/>
      </c>
      <c r="G139" s="15" t="str">
        <f aca="false">IF(A139="","",ROUND(C139-F139,2))</f>
        <v/>
      </c>
    </row>
    <row r="140" customFormat="false" ht="15" hidden="false" customHeight="false" outlineLevel="0" collapsed="false">
      <c r="A140" s="20" t="str">
        <f aca="false">IF(A139="","",IF(G139&lt;=0.005,"",A139+1))</f>
        <v/>
      </c>
      <c r="B140" s="21" t="str">
        <f aca="false">IF(A140="","",EDATE($B$6,A140-1))</f>
        <v/>
      </c>
      <c r="C140" s="15" t="str">
        <f aca="false">IF(A140="","",G139)</f>
        <v/>
      </c>
      <c r="D140" s="15" t="str">
        <f aca="false">IF(A140="","",IF(A140&gt;=$B$4,C140+E140,MIN($B$8+$B$5,C140+E140)))</f>
        <v/>
      </c>
      <c r="E140" s="15" t="str">
        <f aca="false">IF(A140="","",ROUND(C140*$B$3/100/12,2))</f>
        <v/>
      </c>
      <c r="F140" s="15" t="str">
        <f aca="false">IF(A140="","",D140-E140)</f>
        <v/>
      </c>
      <c r="G140" s="15" t="str">
        <f aca="false">IF(A140="","",ROUND(C140-F140,2))</f>
        <v/>
      </c>
    </row>
    <row r="141" customFormat="false" ht="15" hidden="false" customHeight="false" outlineLevel="0" collapsed="false">
      <c r="A141" s="20" t="str">
        <f aca="false">IF(A140="","",IF(G140&lt;=0.005,"",A140+1))</f>
        <v/>
      </c>
      <c r="B141" s="21" t="str">
        <f aca="false">IF(A141="","",EDATE($B$6,A141-1))</f>
        <v/>
      </c>
      <c r="C141" s="15" t="str">
        <f aca="false">IF(A141="","",G140)</f>
        <v/>
      </c>
      <c r="D141" s="15" t="str">
        <f aca="false">IF(A141="","",IF(A141&gt;=$B$4,C141+E141,MIN($B$8+$B$5,C141+E141)))</f>
        <v/>
      </c>
      <c r="E141" s="15" t="str">
        <f aca="false">IF(A141="","",ROUND(C141*$B$3/100/12,2))</f>
        <v/>
      </c>
      <c r="F141" s="15" t="str">
        <f aca="false">IF(A141="","",D141-E141)</f>
        <v/>
      </c>
      <c r="G141" s="15" t="str">
        <f aca="false">IF(A141="","",ROUND(C141-F141,2))</f>
        <v/>
      </c>
    </row>
    <row r="142" customFormat="false" ht="15" hidden="false" customHeight="false" outlineLevel="0" collapsed="false">
      <c r="A142" s="20" t="str">
        <f aca="false">IF(A141="","",IF(G141&lt;=0.005,"",A141+1))</f>
        <v/>
      </c>
      <c r="B142" s="21" t="str">
        <f aca="false">IF(A142="","",EDATE($B$6,A142-1))</f>
        <v/>
      </c>
      <c r="C142" s="15" t="str">
        <f aca="false">IF(A142="","",G141)</f>
        <v/>
      </c>
      <c r="D142" s="15" t="str">
        <f aca="false">IF(A142="","",IF(A142&gt;=$B$4,C142+E142,MIN($B$8+$B$5,C142+E142)))</f>
        <v/>
      </c>
      <c r="E142" s="15" t="str">
        <f aca="false">IF(A142="","",ROUND(C142*$B$3/100/12,2))</f>
        <v/>
      </c>
      <c r="F142" s="15" t="str">
        <f aca="false">IF(A142="","",D142-E142)</f>
        <v/>
      </c>
      <c r="G142" s="15" t="str">
        <f aca="false">IF(A142="","",ROUND(C142-F142,2))</f>
        <v/>
      </c>
    </row>
    <row r="143" customFormat="false" ht="15" hidden="false" customHeight="false" outlineLevel="0" collapsed="false">
      <c r="A143" s="20" t="str">
        <f aca="false">IF(A142="","",IF(G142&lt;=0.005,"",A142+1))</f>
        <v/>
      </c>
      <c r="B143" s="21" t="str">
        <f aca="false">IF(A143="","",EDATE($B$6,A143-1))</f>
        <v/>
      </c>
      <c r="C143" s="15" t="str">
        <f aca="false">IF(A143="","",G142)</f>
        <v/>
      </c>
      <c r="D143" s="15" t="str">
        <f aca="false">IF(A143="","",IF(A143&gt;=$B$4,C143+E143,MIN($B$8+$B$5,C143+E143)))</f>
        <v/>
      </c>
      <c r="E143" s="15" t="str">
        <f aca="false">IF(A143="","",ROUND(C143*$B$3/100/12,2))</f>
        <v/>
      </c>
      <c r="F143" s="15" t="str">
        <f aca="false">IF(A143="","",D143-E143)</f>
        <v/>
      </c>
      <c r="G143" s="15" t="str">
        <f aca="false">IF(A143="","",ROUND(C143-F143,2))</f>
        <v/>
      </c>
    </row>
    <row r="144" customFormat="false" ht="15" hidden="false" customHeight="false" outlineLevel="0" collapsed="false">
      <c r="A144" s="20" t="str">
        <f aca="false">IF(A143="","",IF(G143&lt;=0.005,"",A143+1))</f>
        <v/>
      </c>
      <c r="B144" s="21" t="str">
        <f aca="false">IF(A144="","",EDATE($B$6,A144-1))</f>
        <v/>
      </c>
      <c r="C144" s="15" t="str">
        <f aca="false">IF(A144="","",G143)</f>
        <v/>
      </c>
      <c r="D144" s="15" t="str">
        <f aca="false">IF(A144="","",IF(A144&gt;=$B$4,C144+E144,MIN($B$8+$B$5,C144+E144)))</f>
        <v/>
      </c>
      <c r="E144" s="15" t="str">
        <f aca="false">IF(A144="","",ROUND(C144*$B$3/100/12,2))</f>
        <v/>
      </c>
      <c r="F144" s="15" t="str">
        <f aca="false">IF(A144="","",D144-E144)</f>
        <v/>
      </c>
      <c r="G144" s="15" t="str">
        <f aca="false">IF(A144="","",ROUND(C144-F144,2))</f>
        <v/>
      </c>
    </row>
    <row r="145" customFormat="false" ht="15" hidden="false" customHeight="false" outlineLevel="0" collapsed="false">
      <c r="A145" s="20" t="str">
        <f aca="false">IF(A144="","",IF(G144&lt;=0.005,"",A144+1))</f>
        <v/>
      </c>
      <c r="B145" s="21" t="str">
        <f aca="false">IF(A145="","",EDATE($B$6,A145-1))</f>
        <v/>
      </c>
      <c r="C145" s="15" t="str">
        <f aca="false">IF(A145="","",G144)</f>
        <v/>
      </c>
      <c r="D145" s="15" t="str">
        <f aca="false">IF(A145="","",IF(A145&gt;=$B$4,C145+E145,MIN($B$8+$B$5,C145+E145)))</f>
        <v/>
      </c>
      <c r="E145" s="15" t="str">
        <f aca="false">IF(A145="","",ROUND(C145*$B$3/100/12,2))</f>
        <v/>
      </c>
      <c r="F145" s="15" t="str">
        <f aca="false">IF(A145="","",D145-E145)</f>
        <v/>
      </c>
      <c r="G145" s="15" t="str">
        <f aca="false">IF(A145="","",ROUND(C145-F145,2))</f>
        <v/>
      </c>
    </row>
    <row r="146" customFormat="false" ht="15" hidden="false" customHeight="false" outlineLevel="0" collapsed="false">
      <c r="A146" s="20" t="str">
        <f aca="false">IF(A145="","",IF(G145&lt;=0.005,"",A145+1))</f>
        <v/>
      </c>
      <c r="B146" s="21" t="str">
        <f aca="false">IF(A146="","",EDATE($B$6,A146-1))</f>
        <v/>
      </c>
      <c r="C146" s="15" t="str">
        <f aca="false">IF(A146="","",G145)</f>
        <v/>
      </c>
      <c r="D146" s="15" t="str">
        <f aca="false">IF(A146="","",IF(A146&gt;=$B$4,C146+E146,MIN($B$8+$B$5,C146+E146)))</f>
        <v/>
      </c>
      <c r="E146" s="15" t="str">
        <f aca="false">IF(A146="","",ROUND(C146*$B$3/100/12,2))</f>
        <v/>
      </c>
      <c r="F146" s="15" t="str">
        <f aca="false">IF(A146="","",D146-E146)</f>
        <v/>
      </c>
      <c r="G146" s="15" t="str">
        <f aca="false">IF(A146="","",ROUND(C146-F146,2))</f>
        <v/>
      </c>
    </row>
    <row r="147" customFormat="false" ht="15" hidden="false" customHeight="false" outlineLevel="0" collapsed="false">
      <c r="A147" s="20" t="str">
        <f aca="false">IF(A146="","",IF(G146&lt;=0.005,"",A146+1))</f>
        <v/>
      </c>
      <c r="B147" s="21" t="str">
        <f aca="false">IF(A147="","",EDATE($B$6,A147-1))</f>
        <v/>
      </c>
      <c r="C147" s="15" t="str">
        <f aca="false">IF(A147="","",G146)</f>
        <v/>
      </c>
      <c r="D147" s="15" t="str">
        <f aca="false">IF(A147="","",IF(A147&gt;=$B$4,C147+E147,MIN($B$8+$B$5,C147+E147)))</f>
        <v/>
      </c>
      <c r="E147" s="15" t="str">
        <f aca="false">IF(A147="","",ROUND(C147*$B$3/100/12,2))</f>
        <v/>
      </c>
      <c r="F147" s="15" t="str">
        <f aca="false">IF(A147="","",D147-E147)</f>
        <v/>
      </c>
      <c r="G147" s="15" t="str">
        <f aca="false">IF(A147="","",ROUND(C147-F147,2))</f>
        <v/>
      </c>
    </row>
    <row r="148" customFormat="false" ht="15" hidden="false" customHeight="false" outlineLevel="0" collapsed="false">
      <c r="A148" s="20" t="str">
        <f aca="false">IF(A147="","",IF(G147&lt;=0.005,"",A147+1))</f>
        <v/>
      </c>
      <c r="B148" s="21" t="str">
        <f aca="false">IF(A148="","",EDATE($B$6,A148-1))</f>
        <v/>
      </c>
      <c r="C148" s="15" t="str">
        <f aca="false">IF(A148="","",G147)</f>
        <v/>
      </c>
      <c r="D148" s="15" t="str">
        <f aca="false">IF(A148="","",IF(A148&gt;=$B$4,C148+E148,MIN($B$8+$B$5,C148+E148)))</f>
        <v/>
      </c>
      <c r="E148" s="15" t="str">
        <f aca="false">IF(A148="","",ROUND(C148*$B$3/100/12,2))</f>
        <v/>
      </c>
      <c r="F148" s="15" t="str">
        <f aca="false">IF(A148="","",D148-E148)</f>
        <v/>
      </c>
      <c r="G148" s="15" t="str">
        <f aca="false">IF(A148="","",ROUND(C148-F148,2))</f>
        <v/>
      </c>
    </row>
    <row r="149" customFormat="false" ht="15" hidden="false" customHeight="false" outlineLevel="0" collapsed="false">
      <c r="A149" s="20" t="str">
        <f aca="false">IF(A148="","",IF(G148&lt;=0.005,"",A148+1))</f>
        <v/>
      </c>
      <c r="B149" s="21" t="str">
        <f aca="false">IF(A149="","",EDATE($B$6,A149-1))</f>
        <v/>
      </c>
      <c r="C149" s="15" t="str">
        <f aca="false">IF(A149="","",G148)</f>
        <v/>
      </c>
      <c r="D149" s="15" t="str">
        <f aca="false">IF(A149="","",IF(A149&gt;=$B$4,C149+E149,MIN($B$8+$B$5,C149+E149)))</f>
        <v/>
      </c>
      <c r="E149" s="15" t="str">
        <f aca="false">IF(A149="","",ROUND(C149*$B$3/100/12,2))</f>
        <v/>
      </c>
      <c r="F149" s="15" t="str">
        <f aca="false">IF(A149="","",D149-E149)</f>
        <v/>
      </c>
      <c r="G149" s="15" t="str">
        <f aca="false">IF(A149="","",ROUND(C149-F149,2))</f>
        <v/>
      </c>
    </row>
    <row r="150" customFormat="false" ht="15" hidden="false" customHeight="false" outlineLevel="0" collapsed="false">
      <c r="A150" s="20" t="str">
        <f aca="false">IF(A149="","",IF(G149&lt;=0.005,"",A149+1))</f>
        <v/>
      </c>
      <c r="B150" s="21" t="str">
        <f aca="false">IF(A150="","",EDATE($B$6,A150-1))</f>
        <v/>
      </c>
      <c r="C150" s="15" t="str">
        <f aca="false">IF(A150="","",G149)</f>
        <v/>
      </c>
      <c r="D150" s="15" t="str">
        <f aca="false">IF(A150="","",IF(A150&gt;=$B$4,C150+E150,MIN($B$8+$B$5,C150+E150)))</f>
        <v/>
      </c>
      <c r="E150" s="15" t="str">
        <f aca="false">IF(A150="","",ROUND(C150*$B$3/100/12,2))</f>
        <v/>
      </c>
      <c r="F150" s="15" t="str">
        <f aca="false">IF(A150="","",D150-E150)</f>
        <v/>
      </c>
      <c r="G150" s="15" t="str">
        <f aca="false">IF(A150="","",ROUND(C150-F150,2))</f>
        <v/>
      </c>
    </row>
    <row r="151" customFormat="false" ht="15" hidden="false" customHeight="false" outlineLevel="0" collapsed="false">
      <c r="A151" s="20" t="str">
        <f aca="false">IF(A150="","",IF(G150&lt;=0.005,"",A150+1))</f>
        <v/>
      </c>
      <c r="B151" s="21" t="str">
        <f aca="false">IF(A151="","",EDATE($B$6,A151-1))</f>
        <v/>
      </c>
      <c r="C151" s="15" t="str">
        <f aca="false">IF(A151="","",G150)</f>
        <v/>
      </c>
      <c r="D151" s="15" t="str">
        <f aca="false">IF(A151="","",IF(A151&gt;=$B$4,C151+E151,MIN($B$8+$B$5,C151+E151)))</f>
        <v/>
      </c>
      <c r="E151" s="15" t="str">
        <f aca="false">IF(A151="","",ROUND(C151*$B$3/100/12,2))</f>
        <v/>
      </c>
      <c r="F151" s="15" t="str">
        <f aca="false">IF(A151="","",D151-E151)</f>
        <v/>
      </c>
      <c r="G151" s="15" t="str">
        <f aca="false">IF(A151="","",ROUND(C151-F151,2))</f>
        <v/>
      </c>
    </row>
    <row r="152" customFormat="false" ht="15" hidden="false" customHeight="false" outlineLevel="0" collapsed="false">
      <c r="A152" s="20" t="str">
        <f aca="false">IF(A151="","",IF(G151&lt;=0.005,"",A151+1))</f>
        <v/>
      </c>
      <c r="B152" s="21" t="str">
        <f aca="false">IF(A152="","",EDATE($B$6,A152-1))</f>
        <v/>
      </c>
      <c r="C152" s="15" t="str">
        <f aca="false">IF(A152="","",G151)</f>
        <v/>
      </c>
      <c r="D152" s="15" t="str">
        <f aca="false">IF(A152="","",IF(A152&gt;=$B$4,C152+E152,MIN($B$8+$B$5,C152+E152)))</f>
        <v/>
      </c>
      <c r="E152" s="15" t="str">
        <f aca="false">IF(A152="","",ROUND(C152*$B$3/100/12,2))</f>
        <v/>
      </c>
      <c r="F152" s="15" t="str">
        <f aca="false">IF(A152="","",D152-E152)</f>
        <v/>
      </c>
      <c r="G152" s="15" t="str">
        <f aca="false">IF(A152="","",ROUND(C152-F152,2))</f>
        <v/>
      </c>
    </row>
    <row r="153" customFormat="false" ht="15" hidden="false" customHeight="false" outlineLevel="0" collapsed="false">
      <c r="A153" s="20" t="str">
        <f aca="false">IF(A152="","",IF(G152&lt;=0.005,"",A152+1))</f>
        <v/>
      </c>
      <c r="B153" s="21" t="str">
        <f aca="false">IF(A153="","",EDATE($B$6,A153-1))</f>
        <v/>
      </c>
      <c r="C153" s="15" t="str">
        <f aca="false">IF(A153="","",G152)</f>
        <v/>
      </c>
      <c r="D153" s="15" t="str">
        <f aca="false">IF(A153="","",IF(A153&gt;=$B$4,C153+E153,MIN($B$8+$B$5,C153+E153)))</f>
        <v/>
      </c>
      <c r="E153" s="15" t="str">
        <f aca="false">IF(A153="","",ROUND(C153*$B$3/100/12,2))</f>
        <v/>
      </c>
      <c r="F153" s="15" t="str">
        <f aca="false">IF(A153="","",D153-E153)</f>
        <v/>
      </c>
      <c r="G153" s="15" t="str">
        <f aca="false">IF(A153="","",ROUND(C153-F153,2))</f>
        <v/>
      </c>
    </row>
    <row r="154" customFormat="false" ht="15" hidden="false" customHeight="false" outlineLevel="0" collapsed="false">
      <c r="A154" s="20" t="str">
        <f aca="false">IF(A153="","",IF(G153&lt;=0.005,"",A153+1))</f>
        <v/>
      </c>
      <c r="B154" s="21" t="str">
        <f aca="false">IF(A154="","",EDATE($B$6,A154-1))</f>
        <v/>
      </c>
      <c r="C154" s="15" t="str">
        <f aca="false">IF(A154="","",G153)</f>
        <v/>
      </c>
      <c r="D154" s="15" t="str">
        <f aca="false">IF(A154="","",IF(A154&gt;=$B$4,C154+E154,MIN($B$8+$B$5,C154+E154)))</f>
        <v/>
      </c>
      <c r="E154" s="15" t="str">
        <f aca="false">IF(A154="","",ROUND(C154*$B$3/100/12,2))</f>
        <v/>
      </c>
      <c r="F154" s="15" t="str">
        <f aca="false">IF(A154="","",D154-E154)</f>
        <v/>
      </c>
      <c r="G154" s="15" t="str">
        <f aca="false">IF(A154="","",ROUND(C154-F154,2))</f>
        <v/>
      </c>
    </row>
    <row r="155" customFormat="false" ht="15" hidden="false" customHeight="false" outlineLevel="0" collapsed="false">
      <c r="A155" s="20" t="str">
        <f aca="false">IF(A154="","",IF(G154&lt;=0.005,"",A154+1))</f>
        <v/>
      </c>
      <c r="B155" s="21" t="str">
        <f aca="false">IF(A155="","",EDATE($B$6,A155-1))</f>
        <v/>
      </c>
      <c r="C155" s="15" t="str">
        <f aca="false">IF(A155="","",G154)</f>
        <v/>
      </c>
      <c r="D155" s="15" t="str">
        <f aca="false">IF(A155="","",IF(A155&gt;=$B$4,C155+E155,MIN($B$8+$B$5,C155+E155)))</f>
        <v/>
      </c>
      <c r="E155" s="15" t="str">
        <f aca="false">IF(A155="","",ROUND(C155*$B$3/100/12,2))</f>
        <v/>
      </c>
      <c r="F155" s="15" t="str">
        <f aca="false">IF(A155="","",D155-E155)</f>
        <v/>
      </c>
      <c r="G155" s="15" t="str">
        <f aca="false">IF(A155="","",ROUND(C155-F155,2))</f>
        <v/>
      </c>
    </row>
    <row r="156" customFormat="false" ht="15" hidden="false" customHeight="false" outlineLevel="0" collapsed="false">
      <c r="A156" s="20" t="str">
        <f aca="false">IF(A155="","",IF(G155&lt;=0.005,"",A155+1))</f>
        <v/>
      </c>
      <c r="B156" s="21" t="str">
        <f aca="false">IF(A156="","",EDATE($B$6,A156-1))</f>
        <v/>
      </c>
      <c r="C156" s="15" t="str">
        <f aca="false">IF(A156="","",G155)</f>
        <v/>
      </c>
      <c r="D156" s="15" t="str">
        <f aca="false">IF(A156="","",IF(A156&gt;=$B$4,C156+E156,MIN($B$8+$B$5,C156+E156)))</f>
        <v/>
      </c>
      <c r="E156" s="15" t="str">
        <f aca="false">IF(A156="","",ROUND(C156*$B$3/100/12,2))</f>
        <v/>
      </c>
      <c r="F156" s="15" t="str">
        <f aca="false">IF(A156="","",D156-E156)</f>
        <v/>
      </c>
      <c r="G156" s="15" t="str">
        <f aca="false">IF(A156="","",ROUND(C156-F156,2))</f>
        <v/>
      </c>
    </row>
    <row r="157" customFormat="false" ht="15" hidden="false" customHeight="false" outlineLevel="0" collapsed="false">
      <c r="A157" s="20" t="str">
        <f aca="false">IF(A156="","",IF(G156&lt;=0.005,"",A156+1))</f>
        <v/>
      </c>
      <c r="B157" s="21" t="str">
        <f aca="false">IF(A157="","",EDATE($B$6,A157-1))</f>
        <v/>
      </c>
      <c r="C157" s="15" t="str">
        <f aca="false">IF(A157="","",G156)</f>
        <v/>
      </c>
      <c r="D157" s="15" t="str">
        <f aca="false">IF(A157="","",IF(A157&gt;=$B$4,C157+E157,MIN($B$8+$B$5,C157+E157)))</f>
        <v/>
      </c>
      <c r="E157" s="15" t="str">
        <f aca="false">IF(A157="","",ROUND(C157*$B$3/100/12,2))</f>
        <v/>
      </c>
      <c r="F157" s="15" t="str">
        <f aca="false">IF(A157="","",D157-E157)</f>
        <v/>
      </c>
      <c r="G157" s="15" t="str">
        <f aca="false">IF(A157="","",ROUND(C157-F157,2))</f>
        <v/>
      </c>
    </row>
    <row r="158" customFormat="false" ht="15" hidden="false" customHeight="false" outlineLevel="0" collapsed="false">
      <c r="A158" s="20" t="str">
        <f aca="false">IF(A157="","",IF(G157&lt;=0.005,"",A157+1))</f>
        <v/>
      </c>
      <c r="B158" s="21" t="str">
        <f aca="false">IF(A158="","",EDATE($B$6,A158-1))</f>
        <v/>
      </c>
      <c r="C158" s="15" t="str">
        <f aca="false">IF(A158="","",G157)</f>
        <v/>
      </c>
      <c r="D158" s="15" t="str">
        <f aca="false">IF(A158="","",IF(A158&gt;=$B$4,C158+E158,MIN($B$8+$B$5,C158+E158)))</f>
        <v/>
      </c>
      <c r="E158" s="15" t="str">
        <f aca="false">IF(A158="","",ROUND(C158*$B$3/100/12,2))</f>
        <v/>
      </c>
      <c r="F158" s="15" t="str">
        <f aca="false">IF(A158="","",D158-E158)</f>
        <v/>
      </c>
      <c r="G158" s="15" t="str">
        <f aca="false">IF(A158="","",ROUND(C158-F158,2))</f>
        <v/>
      </c>
    </row>
    <row r="159" customFormat="false" ht="15" hidden="false" customHeight="false" outlineLevel="0" collapsed="false">
      <c r="A159" s="20" t="str">
        <f aca="false">IF(A158="","",IF(G158&lt;=0.005,"",A158+1))</f>
        <v/>
      </c>
      <c r="B159" s="21" t="str">
        <f aca="false">IF(A159="","",EDATE($B$6,A159-1))</f>
        <v/>
      </c>
      <c r="C159" s="15" t="str">
        <f aca="false">IF(A159="","",G158)</f>
        <v/>
      </c>
      <c r="D159" s="15" t="str">
        <f aca="false">IF(A159="","",IF(A159&gt;=$B$4,C159+E159,MIN($B$8+$B$5,C159+E159)))</f>
        <v/>
      </c>
      <c r="E159" s="15" t="str">
        <f aca="false">IF(A159="","",ROUND(C159*$B$3/100/12,2))</f>
        <v/>
      </c>
      <c r="F159" s="15" t="str">
        <f aca="false">IF(A159="","",D159-E159)</f>
        <v/>
      </c>
      <c r="G159" s="15" t="str">
        <f aca="false">IF(A159="","",ROUND(C159-F159,2))</f>
        <v/>
      </c>
    </row>
    <row r="160" customFormat="false" ht="15" hidden="false" customHeight="false" outlineLevel="0" collapsed="false">
      <c r="A160" s="20" t="str">
        <f aca="false">IF(A159="","",IF(G159&lt;=0.005,"",A159+1))</f>
        <v/>
      </c>
      <c r="B160" s="21" t="str">
        <f aca="false">IF(A160="","",EDATE($B$6,A160-1))</f>
        <v/>
      </c>
      <c r="C160" s="15" t="str">
        <f aca="false">IF(A160="","",G159)</f>
        <v/>
      </c>
      <c r="D160" s="15" t="str">
        <f aca="false">IF(A160="","",IF(A160&gt;=$B$4,C160+E160,MIN($B$8+$B$5,C160+E160)))</f>
        <v/>
      </c>
      <c r="E160" s="15" t="str">
        <f aca="false">IF(A160="","",ROUND(C160*$B$3/100/12,2))</f>
        <v/>
      </c>
      <c r="F160" s="15" t="str">
        <f aca="false">IF(A160="","",D160-E160)</f>
        <v/>
      </c>
      <c r="G160" s="15" t="str">
        <f aca="false">IF(A160="","",ROUND(C160-F160,2))</f>
        <v/>
      </c>
    </row>
    <row r="161" customFormat="false" ht="15" hidden="false" customHeight="false" outlineLevel="0" collapsed="false">
      <c r="A161" s="20" t="str">
        <f aca="false">IF(A160="","",IF(G160&lt;=0.005,"",A160+1))</f>
        <v/>
      </c>
      <c r="B161" s="21" t="str">
        <f aca="false">IF(A161="","",EDATE($B$6,A161-1))</f>
        <v/>
      </c>
      <c r="C161" s="15" t="str">
        <f aca="false">IF(A161="","",G160)</f>
        <v/>
      </c>
      <c r="D161" s="15" t="str">
        <f aca="false">IF(A161="","",IF(A161&gt;=$B$4,C161+E161,MIN($B$8+$B$5,C161+E161)))</f>
        <v/>
      </c>
      <c r="E161" s="15" t="str">
        <f aca="false">IF(A161="","",ROUND(C161*$B$3/100/12,2))</f>
        <v/>
      </c>
      <c r="F161" s="15" t="str">
        <f aca="false">IF(A161="","",D161-E161)</f>
        <v/>
      </c>
      <c r="G161" s="15" t="str">
        <f aca="false">IF(A161="","",ROUND(C161-F161,2))</f>
        <v/>
      </c>
    </row>
    <row r="162" customFormat="false" ht="15" hidden="false" customHeight="false" outlineLevel="0" collapsed="false">
      <c r="A162" s="20" t="str">
        <f aca="false">IF(A161="","",IF(G161&lt;=0.005,"",A161+1))</f>
        <v/>
      </c>
      <c r="B162" s="21" t="str">
        <f aca="false">IF(A162="","",EDATE($B$6,A162-1))</f>
        <v/>
      </c>
      <c r="C162" s="15" t="str">
        <f aca="false">IF(A162="","",G161)</f>
        <v/>
      </c>
      <c r="D162" s="15" t="str">
        <f aca="false">IF(A162="","",IF(A162&gt;=$B$4,C162+E162,MIN($B$8+$B$5,C162+E162)))</f>
        <v/>
      </c>
      <c r="E162" s="15" t="str">
        <f aca="false">IF(A162="","",ROUND(C162*$B$3/100/12,2))</f>
        <v/>
      </c>
      <c r="F162" s="15" t="str">
        <f aca="false">IF(A162="","",D162-E162)</f>
        <v/>
      </c>
      <c r="G162" s="15" t="str">
        <f aca="false">IF(A162="","",ROUND(C162-F162,2))</f>
        <v/>
      </c>
    </row>
    <row r="163" customFormat="false" ht="15" hidden="false" customHeight="false" outlineLevel="0" collapsed="false">
      <c r="A163" s="20" t="str">
        <f aca="false">IF(A162="","",IF(G162&lt;=0.005,"",A162+1))</f>
        <v/>
      </c>
      <c r="B163" s="21" t="str">
        <f aca="false">IF(A163="","",EDATE($B$6,A163-1))</f>
        <v/>
      </c>
      <c r="C163" s="15" t="str">
        <f aca="false">IF(A163="","",G162)</f>
        <v/>
      </c>
      <c r="D163" s="15" t="str">
        <f aca="false">IF(A163="","",IF(A163&gt;=$B$4,C163+E163,MIN($B$8+$B$5,C163+E163)))</f>
        <v/>
      </c>
      <c r="E163" s="15" t="str">
        <f aca="false">IF(A163="","",ROUND(C163*$B$3/100/12,2))</f>
        <v/>
      </c>
      <c r="F163" s="15" t="str">
        <f aca="false">IF(A163="","",D163-E163)</f>
        <v/>
      </c>
      <c r="G163" s="15" t="str">
        <f aca="false">IF(A163="","",ROUND(C163-F163,2))</f>
        <v/>
      </c>
    </row>
    <row r="164" customFormat="false" ht="15" hidden="false" customHeight="false" outlineLevel="0" collapsed="false">
      <c r="A164" s="20" t="str">
        <f aca="false">IF(A163="","",IF(G163&lt;=0.005,"",A163+1))</f>
        <v/>
      </c>
      <c r="B164" s="21" t="str">
        <f aca="false">IF(A164="","",EDATE($B$6,A164-1))</f>
        <v/>
      </c>
      <c r="C164" s="15" t="str">
        <f aca="false">IF(A164="","",G163)</f>
        <v/>
      </c>
      <c r="D164" s="15" t="str">
        <f aca="false">IF(A164="","",IF(A164&gt;=$B$4,C164+E164,MIN($B$8+$B$5,C164+E164)))</f>
        <v/>
      </c>
      <c r="E164" s="15" t="str">
        <f aca="false">IF(A164="","",ROUND(C164*$B$3/100/12,2))</f>
        <v/>
      </c>
      <c r="F164" s="15" t="str">
        <f aca="false">IF(A164="","",D164-E164)</f>
        <v/>
      </c>
      <c r="G164" s="15" t="str">
        <f aca="false">IF(A164="","",ROUND(C164-F164,2))</f>
        <v/>
      </c>
    </row>
    <row r="165" customFormat="false" ht="15" hidden="false" customHeight="false" outlineLevel="0" collapsed="false">
      <c r="A165" s="20" t="str">
        <f aca="false">IF(A164="","",IF(G164&lt;=0.005,"",A164+1))</f>
        <v/>
      </c>
      <c r="B165" s="21" t="str">
        <f aca="false">IF(A165="","",EDATE($B$6,A165-1))</f>
        <v/>
      </c>
      <c r="C165" s="15" t="str">
        <f aca="false">IF(A165="","",G164)</f>
        <v/>
      </c>
      <c r="D165" s="15" t="str">
        <f aca="false">IF(A165="","",IF(A165&gt;=$B$4,C165+E165,MIN($B$8+$B$5,C165+E165)))</f>
        <v/>
      </c>
      <c r="E165" s="15" t="str">
        <f aca="false">IF(A165="","",ROUND(C165*$B$3/100/12,2))</f>
        <v/>
      </c>
      <c r="F165" s="15" t="str">
        <f aca="false">IF(A165="","",D165-E165)</f>
        <v/>
      </c>
      <c r="G165" s="15" t="str">
        <f aca="false">IF(A165="","",ROUND(C165-F165,2))</f>
        <v/>
      </c>
    </row>
    <row r="166" customFormat="false" ht="15" hidden="false" customHeight="false" outlineLevel="0" collapsed="false">
      <c r="A166" s="20" t="str">
        <f aca="false">IF(A165="","",IF(G165&lt;=0.005,"",A165+1))</f>
        <v/>
      </c>
      <c r="B166" s="21" t="str">
        <f aca="false">IF(A166="","",EDATE($B$6,A166-1))</f>
        <v/>
      </c>
      <c r="C166" s="15" t="str">
        <f aca="false">IF(A166="","",G165)</f>
        <v/>
      </c>
      <c r="D166" s="15" t="str">
        <f aca="false">IF(A166="","",IF(A166&gt;=$B$4,C166+E166,MIN($B$8+$B$5,C166+E166)))</f>
        <v/>
      </c>
      <c r="E166" s="15" t="str">
        <f aca="false">IF(A166="","",ROUND(C166*$B$3/100/12,2))</f>
        <v/>
      </c>
      <c r="F166" s="15" t="str">
        <f aca="false">IF(A166="","",D166-E166)</f>
        <v/>
      </c>
      <c r="G166" s="15" t="str">
        <f aca="false">IF(A166="","",ROUND(C166-F166,2))</f>
        <v/>
      </c>
    </row>
    <row r="167" customFormat="false" ht="15" hidden="false" customHeight="false" outlineLevel="0" collapsed="false">
      <c r="A167" s="20" t="str">
        <f aca="false">IF(A166="","",IF(G166&lt;=0.005,"",A166+1))</f>
        <v/>
      </c>
      <c r="B167" s="21" t="str">
        <f aca="false">IF(A167="","",EDATE($B$6,A167-1))</f>
        <v/>
      </c>
      <c r="C167" s="15" t="str">
        <f aca="false">IF(A167="","",G166)</f>
        <v/>
      </c>
      <c r="D167" s="15" t="str">
        <f aca="false">IF(A167="","",IF(A167&gt;=$B$4,C167+E167,MIN($B$8+$B$5,C167+E167)))</f>
        <v/>
      </c>
      <c r="E167" s="15" t="str">
        <f aca="false">IF(A167="","",ROUND(C167*$B$3/100/12,2))</f>
        <v/>
      </c>
      <c r="F167" s="15" t="str">
        <f aca="false">IF(A167="","",D167-E167)</f>
        <v/>
      </c>
      <c r="G167" s="15" t="str">
        <f aca="false">IF(A167="","",ROUND(C167-F167,2))</f>
        <v/>
      </c>
    </row>
    <row r="168" customFormat="false" ht="15" hidden="false" customHeight="false" outlineLevel="0" collapsed="false">
      <c r="A168" s="20" t="str">
        <f aca="false">IF(A167="","",IF(G167&lt;=0.005,"",A167+1))</f>
        <v/>
      </c>
      <c r="B168" s="21" t="str">
        <f aca="false">IF(A168="","",EDATE($B$6,A168-1))</f>
        <v/>
      </c>
      <c r="C168" s="15" t="str">
        <f aca="false">IF(A168="","",G167)</f>
        <v/>
      </c>
      <c r="D168" s="15" t="str">
        <f aca="false">IF(A168="","",IF(A168&gt;=$B$4,C168+E168,MIN($B$8+$B$5,C168+E168)))</f>
        <v/>
      </c>
      <c r="E168" s="15" t="str">
        <f aca="false">IF(A168="","",ROUND(C168*$B$3/100/12,2))</f>
        <v/>
      </c>
      <c r="F168" s="15" t="str">
        <f aca="false">IF(A168="","",D168-E168)</f>
        <v/>
      </c>
      <c r="G168" s="15" t="str">
        <f aca="false">IF(A168="","",ROUND(C168-F168,2))</f>
        <v/>
      </c>
    </row>
    <row r="169" customFormat="false" ht="15" hidden="false" customHeight="false" outlineLevel="0" collapsed="false">
      <c r="A169" s="20" t="str">
        <f aca="false">IF(A168="","",IF(G168&lt;=0.005,"",A168+1))</f>
        <v/>
      </c>
      <c r="B169" s="21" t="str">
        <f aca="false">IF(A169="","",EDATE($B$6,A169-1))</f>
        <v/>
      </c>
      <c r="C169" s="15" t="str">
        <f aca="false">IF(A169="","",G168)</f>
        <v/>
      </c>
      <c r="D169" s="15" t="str">
        <f aca="false">IF(A169="","",IF(A169&gt;=$B$4,C169+E169,MIN($B$8+$B$5,C169+E169)))</f>
        <v/>
      </c>
      <c r="E169" s="15" t="str">
        <f aca="false">IF(A169="","",ROUND(C169*$B$3/100/12,2))</f>
        <v/>
      </c>
      <c r="F169" s="15" t="str">
        <f aca="false">IF(A169="","",D169-E169)</f>
        <v/>
      </c>
      <c r="G169" s="15" t="str">
        <f aca="false">IF(A169="","",ROUND(C169-F169,2))</f>
        <v/>
      </c>
    </row>
    <row r="170" customFormat="false" ht="15" hidden="false" customHeight="false" outlineLevel="0" collapsed="false">
      <c r="A170" s="20" t="str">
        <f aca="false">IF(A169="","",IF(G169&lt;=0.005,"",A169+1))</f>
        <v/>
      </c>
      <c r="B170" s="21" t="str">
        <f aca="false">IF(A170="","",EDATE($B$6,A170-1))</f>
        <v/>
      </c>
      <c r="C170" s="15" t="str">
        <f aca="false">IF(A170="","",G169)</f>
        <v/>
      </c>
      <c r="D170" s="15" t="str">
        <f aca="false">IF(A170="","",IF(A170&gt;=$B$4,C170+E170,MIN($B$8+$B$5,C170+E170)))</f>
        <v/>
      </c>
      <c r="E170" s="15" t="str">
        <f aca="false">IF(A170="","",ROUND(C170*$B$3/100/12,2))</f>
        <v/>
      </c>
      <c r="F170" s="15" t="str">
        <f aca="false">IF(A170="","",D170-E170)</f>
        <v/>
      </c>
      <c r="G170" s="15" t="str">
        <f aca="false">IF(A170="","",ROUND(C170-F170,2))</f>
        <v/>
      </c>
    </row>
    <row r="171" customFormat="false" ht="15" hidden="false" customHeight="false" outlineLevel="0" collapsed="false">
      <c r="A171" s="20" t="str">
        <f aca="false">IF(A170="","",IF(G170&lt;=0.005,"",A170+1))</f>
        <v/>
      </c>
      <c r="B171" s="21" t="str">
        <f aca="false">IF(A171="","",EDATE($B$6,A171-1))</f>
        <v/>
      </c>
      <c r="C171" s="15" t="str">
        <f aca="false">IF(A171="","",G170)</f>
        <v/>
      </c>
      <c r="D171" s="15" t="str">
        <f aca="false">IF(A171="","",IF(A171&gt;=$B$4,C171+E171,MIN($B$8+$B$5,C171+E171)))</f>
        <v/>
      </c>
      <c r="E171" s="15" t="str">
        <f aca="false">IF(A171="","",ROUND(C171*$B$3/100/12,2))</f>
        <v/>
      </c>
      <c r="F171" s="15" t="str">
        <f aca="false">IF(A171="","",D171-E171)</f>
        <v/>
      </c>
      <c r="G171" s="15" t="str">
        <f aca="false">IF(A171="","",ROUND(C171-F171,2))</f>
        <v/>
      </c>
    </row>
    <row r="172" customFormat="false" ht="15" hidden="false" customHeight="false" outlineLevel="0" collapsed="false">
      <c r="A172" s="20" t="str">
        <f aca="false">IF(A171="","",IF(G171&lt;=0.005,"",A171+1))</f>
        <v/>
      </c>
      <c r="B172" s="21" t="str">
        <f aca="false">IF(A172="","",EDATE($B$6,A172-1))</f>
        <v/>
      </c>
      <c r="C172" s="15" t="str">
        <f aca="false">IF(A172="","",G171)</f>
        <v/>
      </c>
      <c r="D172" s="15" t="str">
        <f aca="false">IF(A172="","",IF(A172&gt;=$B$4,C172+E172,MIN($B$8+$B$5,C172+E172)))</f>
        <v/>
      </c>
      <c r="E172" s="15" t="str">
        <f aca="false">IF(A172="","",ROUND(C172*$B$3/100/12,2))</f>
        <v/>
      </c>
      <c r="F172" s="15" t="str">
        <f aca="false">IF(A172="","",D172-E172)</f>
        <v/>
      </c>
      <c r="G172" s="15" t="str">
        <f aca="false">IF(A172="","",ROUND(C172-F172,2))</f>
        <v/>
      </c>
    </row>
    <row r="173" customFormat="false" ht="15" hidden="false" customHeight="false" outlineLevel="0" collapsed="false">
      <c r="A173" s="20" t="str">
        <f aca="false">IF(A172="","",IF(G172&lt;=0.005,"",A172+1))</f>
        <v/>
      </c>
      <c r="B173" s="21" t="str">
        <f aca="false">IF(A173="","",EDATE($B$6,A173-1))</f>
        <v/>
      </c>
      <c r="C173" s="15" t="str">
        <f aca="false">IF(A173="","",G172)</f>
        <v/>
      </c>
      <c r="D173" s="15" t="str">
        <f aca="false">IF(A173="","",IF(A173&gt;=$B$4,C173+E173,MIN($B$8+$B$5,C173+E173)))</f>
        <v/>
      </c>
      <c r="E173" s="15" t="str">
        <f aca="false">IF(A173="","",ROUND(C173*$B$3/100/12,2))</f>
        <v/>
      </c>
      <c r="F173" s="15" t="str">
        <f aca="false">IF(A173="","",D173-E173)</f>
        <v/>
      </c>
      <c r="G173" s="15" t="str">
        <f aca="false">IF(A173="","",ROUND(C173-F173,2))</f>
        <v/>
      </c>
    </row>
    <row r="174" customFormat="false" ht="15" hidden="false" customHeight="false" outlineLevel="0" collapsed="false">
      <c r="A174" s="20" t="str">
        <f aca="false">IF(A173="","",IF(G173&lt;=0.005,"",A173+1))</f>
        <v/>
      </c>
      <c r="B174" s="21" t="str">
        <f aca="false">IF(A174="","",EDATE($B$6,A174-1))</f>
        <v/>
      </c>
      <c r="C174" s="15" t="str">
        <f aca="false">IF(A174="","",G173)</f>
        <v/>
      </c>
      <c r="D174" s="15" t="str">
        <f aca="false">IF(A174="","",IF(A174&gt;=$B$4,C174+E174,MIN($B$8+$B$5,C174+E174)))</f>
        <v/>
      </c>
      <c r="E174" s="15" t="str">
        <f aca="false">IF(A174="","",ROUND(C174*$B$3/100/12,2))</f>
        <v/>
      </c>
      <c r="F174" s="15" t="str">
        <f aca="false">IF(A174="","",D174-E174)</f>
        <v/>
      </c>
      <c r="G174" s="15" t="str">
        <f aca="false">IF(A174="","",ROUND(C174-F174,2))</f>
        <v/>
      </c>
    </row>
    <row r="175" customFormat="false" ht="15" hidden="false" customHeight="false" outlineLevel="0" collapsed="false">
      <c r="A175" s="20" t="str">
        <f aca="false">IF(A174="","",IF(G174&lt;=0.005,"",A174+1))</f>
        <v/>
      </c>
      <c r="B175" s="21" t="str">
        <f aca="false">IF(A175="","",EDATE($B$6,A175-1))</f>
        <v/>
      </c>
      <c r="C175" s="15" t="str">
        <f aca="false">IF(A175="","",G174)</f>
        <v/>
      </c>
      <c r="D175" s="15" t="str">
        <f aca="false">IF(A175="","",IF(A175&gt;=$B$4,C175+E175,MIN($B$8+$B$5,C175+E175)))</f>
        <v/>
      </c>
      <c r="E175" s="15" t="str">
        <f aca="false">IF(A175="","",ROUND(C175*$B$3/100/12,2))</f>
        <v/>
      </c>
      <c r="F175" s="15" t="str">
        <f aca="false">IF(A175="","",D175-E175)</f>
        <v/>
      </c>
      <c r="G175" s="15" t="str">
        <f aca="false">IF(A175="","",ROUND(C175-F175,2))</f>
        <v/>
      </c>
    </row>
    <row r="176" customFormat="false" ht="15" hidden="false" customHeight="false" outlineLevel="0" collapsed="false">
      <c r="A176" s="20" t="str">
        <f aca="false">IF(A175="","",IF(G175&lt;=0.005,"",A175+1))</f>
        <v/>
      </c>
      <c r="B176" s="21" t="str">
        <f aca="false">IF(A176="","",EDATE($B$6,A176-1))</f>
        <v/>
      </c>
      <c r="C176" s="15" t="str">
        <f aca="false">IF(A176="","",G175)</f>
        <v/>
      </c>
      <c r="D176" s="15" t="str">
        <f aca="false">IF(A176="","",IF(A176&gt;=$B$4,C176+E176,MIN($B$8+$B$5,C176+E176)))</f>
        <v/>
      </c>
      <c r="E176" s="15" t="str">
        <f aca="false">IF(A176="","",ROUND(C176*$B$3/100/12,2))</f>
        <v/>
      </c>
      <c r="F176" s="15" t="str">
        <f aca="false">IF(A176="","",D176-E176)</f>
        <v/>
      </c>
      <c r="G176" s="15" t="str">
        <f aca="false">IF(A176="","",ROUND(C176-F176,2))</f>
        <v/>
      </c>
    </row>
    <row r="177" customFormat="false" ht="15" hidden="false" customHeight="false" outlineLevel="0" collapsed="false">
      <c r="A177" s="20" t="str">
        <f aca="false">IF(A176="","",IF(G176&lt;=0.005,"",A176+1))</f>
        <v/>
      </c>
      <c r="B177" s="21" t="str">
        <f aca="false">IF(A177="","",EDATE($B$6,A177-1))</f>
        <v/>
      </c>
      <c r="C177" s="15" t="str">
        <f aca="false">IF(A177="","",G176)</f>
        <v/>
      </c>
      <c r="D177" s="15" t="str">
        <f aca="false">IF(A177="","",IF(A177&gt;=$B$4,C177+E177,MIN($B$8+$B$5,C177+E177)))</f>
        <v/>
      </c>
      <c r="E177" s="15" t="str">
        <f aca="false">IF(A177="","",ROUND(C177*$B$3/100/12,2))</f>
        <v/>
      </c>
      <c r="F177" s="15" t="str">
        <f aca="false">IF(A177="","",D177-E177)</f>
        <v/>
      </c>
      <c r="G177" s="15" t="str">
        <f aca="false">IF(A177="","",ROUND(C177-F177,2))</f>
        <v/>
      </c>
    </row>
    <row r="178" customFormat="false" ht="15" hidden="false" customHeight="false" outlineLevel="0" collapsed="false">
      <c r="A178" s="20" t="str">
        <f aca="false">IF(A177="","",IF(G177&lt;=0.005,"",A177+1))</f>
        <v/>
      </c>
      <c r="B178" s="21" t="str">
        <f aca="false">IF(A178="","",EDATE($B$6,A178-1))</f>
        <v/>
      </c>
      <c r="C178" s="15" t="str">
        <f aca="false">IF(A178="","",G177)</f>
        <v/>
      </c>
      <c r="D178" s="15" t="str">
        <f aca="false">IF(A178="","",IF(A178&gt;=$B$4,C178+E178,MIN($B$8+$B$5,C178+E178)))</f>
        <v/>
      </c>
      <c r="E178" s="15" t="str">
        <f aca="false">IF(A178="","",ROUND(C178*$B$3/100/12,2))</f>
        <v/>
      </c>
      <c r="F178" s="15" t="str">
        <f aca="false">IF(A178="","",D178-E178)</f>
        <v/>
      </c>
      <c r="G178" s="15" t="str">
        <f aca="false">IF(A178="","",ROUND(C178-F178,2))</f>
        <v/>
      </c>
    </row>
    <row r="179" customFormat="false" ht="15" hidden="false" customHeight="false" outlineLevel="0" collapsed="false">
      <c r="A179" s="20" t="str">
        <f aca="false">IF(A178="","",IF(G178&lt;=0.005,"",A178+1))</f>
        <v/>
      </c>
      <c r="B179" s="21" t="str">
        <f aca="false">IF(A179="","",EDATE($B$6,A179-1))</f>
        <v/>
      </c>
      <c r="C179" s="15" t="str">
        <f aca="false">IF(A179="","",G178)</f>
        <v/>
      </c>
      <c r="D179" s="15" t="str">
        <f aca="false">IF(A179="","",IF(A179&gt;=$B$4,C179+E179,MIN($B$8+$B$5,C179+E179)))</f>
        <v/>
      </c>
      <c r="E179" s="15" t="str">
        <f aca="false">IF(A179="","",ROUND(C179*$B$3/100/12,2))</f>
        <v/>
      </c>
      <c r="F179" s="15" t="str">
        <f aca="false">IF(A179="","",D179-E179)</f>
        <v/>
      </c>
      <c r="G179" s="15" t="str">
        <f aca="false">IF(A179="","",ROUND(C179-F179,2))</f>
        <v/>
      </c>
    </row>
    <row r="180" customFormat="false" ht="15" hidden="false" customHeight="false" outlineLevel="0" collapsed="false">
      <c r="A180" s="20" t="str">
        <f aca="false">IF(A179="","",IF(G179&lt;=0.005,"",A179+1))</f>
        <v/>
      </c>
      <c r="B180" s="21" t="str">
        <f aca="false">IF(A180="","",EDATE($B$6,A180-1))</f>
        <v/>
      </c>
      <c r="C180" s="15" t="str">
        <f aca="false">IF(A180="","",G179)</f>
        <v/>
      </c>
      <c r="D180" s="15" t="str">
        <f aca="false">IF(A180="","",IF(A180&gt;=$B$4,C180+E180,MIN($B$8+$B$5,C180+E180)))</f>
        <v/>
      </c>
      <c r="E180" s="15" t="str">
        <f aca="false">IF(A180="","",ROUND(C180*$B$3/100/12,2))</f>
        <v/>
      </c>
      <c r="F180" s="15" t="str">
        <f aca="false">IF(A180="","",D180-E180)</f>
        <v/>
      </c>
      <c r="G180" s="15" t="str">
        <f aca="false">IF(A180="","",ROUND(C180-F180,2))</f>
        <v/>
      </c>
    </row>
    <row r="181" customFormat="false" ht="15" hidden="false" customHeight="false" outlineLevel="0" collapsed="false">
      <c r="A181" s="20" t="str">
        <f aca="false">IF(A180="","",IF(G180&lt;=0.005,"",A180+1))</f>
        <v/>
      </c>
      <c r="B181" s="21" t="str">
        <f aca="false">IF(A181="","",EDATE($B$6,A181-1))</f>
        <v/>
      </c>
      <c r="C181" s="15" t="str">
        <f aca="false">IF(A181="","",G180)</f>
        <v/>
      </c>
      <c r="D181" s="15" t="str">
        <f aca="false">IF(A181="","",IF(A181&gt;=$B$4,C181+E181,MIN($B$8+$B$5,C181+E181)))</f>
        <v/>
      </c>
      <c r="E181" s="15" t="str">
        <f aca="false">IF(A181="","",ROUND(C181*$B$3/100/12,2))</f>
        <v/>
      </c>
      <c r="F181" s="15" t="str">
        <f aca="false">IF(A181="","",D181-E181)</f>
        <v/>
      </c>
      <c r="G181" s="15" t="str">
        <f aca="false">IF(A181="","",ROUND(C181-F181,2))</f>
        <v/>
      </c>
    </row>
    <row r="182" customFormat="false" ht="15" hidden="false" customHeight="false" outlineLevel="0" collapsed="false">
      <c r="A182" s="20" t="str">
        <f aca="false">IF(A181="","",IF(G181&lt;=0.005,"",A181+1))</f>
        <v/>
      </c>
      <c r="B182" s="21" t="str">
        <f aca="false">IF(A182="","",EDATE($B$6,A182-1))</f>
        <v/>
      </c>
      <c r="C182" s="15" t="str">
        <f aca="false">IF(A182="","",G181)</f>
        <v/>
      </c>
      <c r="D182" s="15" t="str">
        <f aca="false">IF(A182="","",IF(A182&gt;=$B$4,C182+E182,MIN($B$8+$B$5,C182+E182)))</f>
        <v/>
      </c>
      <c r="E182" s="15" t="str">
        <f aca="false">IF(A182="","",ROUND(C182*$B$3/100/12,2))</f>
        <v/>
      </c>
      <c r="F182" s="15" t="str">
        <f aca="false">IF(A182="","",D182-E182)</f>
        <v/>
      </c>
      <c r="G182" s="15" t="str">
        <f aca="false">IF(A182="","",ROUND(C182-F182,2))</f>
        <v/>
      </c>
    </row>
    <row r="183" customFormat="false" ht="15" hidden="false" customHeight="false" outlineLevel="0" collapsed="false">
      <c r="A183" s="20" t="str">
        <f aca="false">IF(A182="","",IF(G182&lt;=0.005,"",A182+1))</f>
        <v/>
      </c>
      <c r="B183" s="21" t="str">
        <f aca="false">IF(A183="","",EDATE($B$6,A183-1))</f>
        <v/>
      </c>
      <c r="C183" s="15" t="str">
        <f aca="false">IF(A183="","",G182)</f>
        <v/>
      </c>
      <c r="D183" s="15" t="str">
        <f aca="false">IF(A183="","",IF(A183&gt;=$B$4,C183+E183,MIN($B$8+$B$5,C183+E183)))</f>
        <v/>
      </c>
      <c r="E183" s="15" t="str">
        <f aca="false">IF(A183="","",ROUND(C183*$B$3/100/12,2))</f>
        <v/>
      </c>
      <c r="F183" s="15" t="str">
        <f aca="false">IF(A183="","",D183-E183)</f>
        <v/>
      </c>
      <c r="G183" s="15" t="str">
        <f aca="false">IF(A183="","",ROUND(C183-F183,2))</f>
        <v/>
      </c>
    </row>
    <row r="184" customFormat="false" ht="15" hidden="false" customHeight="false" outlineLevel="0" collapsed="false">
      <c r="A184" s="20" t="str">
        <f aca="false">IF(A183="","",IF(G183&lt;=0.005,"",A183+1))</f>
        <v/>
      </c>
      <c r="B184" s="21" t="str">
        <f aca="false">IF(A184="","",EDATE($B$6,A184-1))</f>
        <v/>
      </c>
      <c r="C184" s="15" t="str">
        <f aca="false">IF(A184="","",G183)</f>
        <v/>
      </c>
      <c r="D184" s="15" t="str">
        <f aca="false">IF(A184="","",IF(A184&gt;=$B$4,C184+E184,MIN($B$8+$B$5,C184+E184)))</f>
        <v/>
      </c>
      <c r="E184" s="15" t="str">
        <f aca="false">IF(A184="","",ROUND(C184*$B$3/100/12,2))</f>
        <v/>
      </c>
      <c r="F184" s="15" t="str">
        <f aca="false">IF(A184="","",D184-E184)</f>
        <v/>
      </c>
      <c r="G184" s="15" t="str">
        <f aca="false">IF(A184="","",ROUND(C184-F184,2))</f>
        <v/>
      </c>
    </row>
    <row r="185" customFormat="false" ht="15" hidden="false" customHeight="false" outlineLevel="0" collapsed="false">
      <c r="A185" s="20" t="str">
        <f aca="false">IF(A184="","",IF(G184&lt;=0.005,"",A184+1))</f>
        <v/>
      </c>
      <c r="B185" s="21" t="str">
        <f aca="false">IF(A185="","",EDATE($B$6,A185-1))</f>
        <v/>
      </c>
      <c r="C185" s="15" t="str">
        <f aca="false">IF(A185="","",G184)</f>
        <v/>
      </c>
      <c r="D185" s="15" t="str">
        <f aca="false">IF(A185="","",IF(A185&gt;=$B$4,C185+E185,MIN($B$8+$B$5,C185+E185)))</f>
        <v/>
      </c>
      <c r="E185" s="15" t="str">
        <f aca="false">IF(A185="","",ROUND(C185*$B$3/100/12,2))</f>
        <v/>
      </c>
      <c r="F185" s="15" t="str">
        <f aca="false">IF(A185="","",D185-E185)</f>
        <v/>
      </c>
      <c r="G185" s="15" t="str">
        <f aca="false">IF(A185="","",ROUND(C185-F185,2))</f>
        <v/>
      </c>
    </row>
    <row r="186" customFormat="false" ht="15" hidden="false" customHeight="false" outlineLevel="0" collapsed="false">
      <c r="A186" s="20" t="str">
        <f aca="false">IF(A185="","",IF(G185&lt;=0.005,"",A185+1))</f>
        <v/>
      </c>
      <c r="B186" s="21" t="str">
        <f aca="false">IF(A186="","",EDATE($B$6,A186-1))</f>
        <v/>
      </c>
      <c r="C186" s="15" t="str">
        <f aca="false">IF(A186="","",G185)</f>
        <v/>
      </c>
      <c r="D186" s="15" t="str">
        <f aca="false">IF(A186="","",IF(A186&gt;=$B$4,C186+E186,MIN($B$8+$B$5,C186+E186)))</f>
        <v/>
      </c>
      <c r="E186" s="15" t="str">
        <f aca="false">IF(A186="","",ROUND(C186*$B$3/100/12,2))</f>
        <v/>
      </c>
      <c r="F186" s="15" t="str">
        <f aca="false">IF(A186="","",D186-E186)</f>
        <v/>
      </c>
      <c r="G186" s="15" t="str">
        <f aca="false">IF(A186="","",ROUND(C186-F186,2))</f>
        <v/>
      </c>
    </row>
    <row r="187" customFormat="false" ht="15" hidden="false" customHeight="false" outlineLevel="0" collapsed="false">
      <c r="A187" s="20" t="str">
        <f aca="false">IF(A186="","",IF(G186&lt;=0.005,"",A186+1))</f>
        <v/>
      </c>
      <c r="B187" s="21" t="str">
        <f aca="false">IF(A187="","",EDATE($B$6,A187-1))</f>
        <v/>
      </c>
      <c r="C187" s="15" t="str">
        <f aca="false">IF(A187="","",G186)</f>
        <v/>
      </c>
      <c r="D187" s="15" t="str">
        <f aca="false">IF(A187="","",IF(A187&gt;=$B$4,C187+E187,MIN($B$8+$B$5,C187+E187)))</f>
        <v/>
      </c>
      <c r="E187" s="15" t="str">
        <f aca="false">IF(A187="","",ROUND(C187*$B$3/100/12,2))</f>
        <v/>
      </c>
      <c r="F187" s="15" t="str">
        <f aca="false">IF(A187="","",D187-E187)</f>
        <v/>
      </c>
      <c r="G187" s="15" t="str">
        <f aca="false">IF(A187="","",ROUND(C187-F187,2))</f>
        <v/>
      </c>
    </row>
    <row r="188" customFormat="false" ht="15" hidden="false" customHeight="false" outlineLevel="0" collapsed="false">
      <c r="A188" s="20" t="str">
        <f aca="false">IF(A187="","",IF(G187&lt;=0.005,"",A187+1))</f>
        <v/>
      </c>
      <c r="B188" s="21" t="str">
        <f aca="false">IF(A188="","",EDATE($B$6,A188-1))</f>
        <v/>
      </c>
      <c r="C188" s="15" t="str">
        <f aca="false">IF(A188="","",G187)</f>
        <v/>
      </c>
      <c r="D188" s="15" t="str">
        <f aca="false">IF(A188="","",IF(A188&gt;=$B$4,C188+E188,MIN($B$8+$B$5,C188+E188)))</f>
        <v/>
      </c>
      <c r="E188" s="15" t="str">
        <f aca="false">IF(A188="","",ROUND(C188*$B$3/100/12,2))</f>
        <v/>
      </c>
      <c r="F188" s="15" t="str">
        <f aca="false">IF(A188="","",D188-E188)</f>
        <v/>
      </c>
      <c r="G188" s="15" t="str">
        <f aca="false">IF(A188="","",ROUND(C188-F188,2))</f>
        <v/>
      </c>
    </row>
    <row r="189" customFormat="false" ht="15" hidden="false" customHeight="false" outlineLevel="0" collapsed="false">
      <c r="A189" s="20" t="str">
        <f aca="false">IF(A188="","",IF(G188&lt;=0.005,"",A188+1))</f>
        <v/>
      </c>
      <c r="B189" s="21" t="str">
        <f aca="false">IF(A189="","",EDATE($B$6,A189-1))</f>
        <v/>
      </c>
      <c r="C189" s="15" t="str">
        <f aca="false">IF(A189="","",G188)</f>
        <v/>
      </c>
      <c r="D189" s="15" t="str">
        <f aca="false">IF(A189="","",IF(A189&gt;=$B$4,C189+E189,MIN($B$8+$B$5,C189+E189)))</f>
        <v/>
      </c>
      <c r="E189" s="15" t="str">
        <f aca="false">IF(A189="","",ROUND(C189*$B$3/100/12,2))</f>
        <v/>
      </c>
      <c r="F189" s="15" t="str">
        <f aca="false">IF(A189="","",D189-E189)</f>
        <v/>
      </c>
      <c r="G189" s="15" t="str">
        <f aca="false">IF(A189="","",ROUND(C189-F189,2))</f>
        <v/>
      </c>
    </row>
    <row r="190" customFormat="false" ht="15" hidden="false" customHeight="false" outlineLevel="0" collapsed="false">
      <c r="A190" s="20" t="str">
        <f aca="false">IF(A189="","",IF(G189&lt;=0.005,"",A189+1))</f>
        <v/>
      </c>
      <c r="B190" s="21" t="str">
        <f aca="false">IF(A190="","",EDATE($B$6,A190-1))</f>
        <v/>
      </c>
      <c r="C190" s="15" t="str">
        <f aca="false">IF(A190="","",G189)</f>
        <v/>
      </c>
      <c r="D190" s="15" t="str">
        <f aca="false">IF(A190="","",IF(A190&gt;=$B$4,C190+E190,MIN($B$8+$B$5,C190+E190)))</f>
        <v/>
      </c>
      <c r="E190" s="15" t="str">
        <f aca="false">IF(A190="","",ROUND(C190*$B$3/100/12,2))</f>
        <v/>
      </c>
      <c r="F190" s="15" t="str">
        <f aca="false">IF(A190="","",D190-E190)</f>
        <v/>
      </c>
      <c r="G190" s="15" t="str">
        <f aca="false">IF(A190="","",ROUND(C190-F190,2))</f>
        <v/>
      </c>
    </row>
    <row r="191" customFormat="false" ht="15" hidden="false" customHeight="false" outlineLevel="0" collapsed="false">
      <c r="A191" s="20" t="str">
        <f aca="false">IF(A190="","",IF(G190&lt;=0.005,"",A190+1))</f>
        <v/>
      </c>
      <c r="B191" s="21" t="str">
        <f aca="false">IF(A191="","",EDATE($B$6,A191-1))</f>
        <v/>
      </c>
      <c r="C191" s="15" t="str">
        <f aca="false">IF(A191="","",G190)</f>
        <v/>
      </c>
      <c r="D191" s="15" t="str">
        <f aca="false">IF(A191="","",IF(A191&gt;=$B$4,C191+E191,MIN($B$8+$B$5,C191+E191)))</f>
        <v/>
      </c>
      <c r="E191" s="15" t="str">
        <f aca="false">IF(A191="","",ROUND(C191*$B$3/100/12,2))</f>
        <v/>
      </c>
      <c r="F191" s="15" t="str">
        <f aca="false">IF(A191="","",D191-E191)</f>
        <v/>
      </c>
      <c r="G191" s="15" t="str">
        <f aca="false">IF(A191="","",ROUND(C191-F191,2))</f>
        <v/>
      </c>
    </row>
    <row r="192" customFormat="false" ht="15" hidden="false" customHeight="false" outlineLevel="0" collapsed="false">
      <c r="A192" s="20" t="str">
        <f aca="false">IF(A191="","",IF(G191&lt;=0.005,"",A191+1))</f>
        <v/>
      </c>
      <c r="B192" s="21" t="str">
        <f aca="false">IF(A192="","",EDATE($B$6,A192-1))</f>
        <v/>
      </c>
      <c r="C192" s="15" t="str">
        <f aca="false">IF(A192="","",G191)</f>
        <v/>
      </c>
      <c r="D192" s="15" t="str">
        <f aca="false">IF(A192="","",IF(A192&gt;=$B$4,C192+E192,MIN($B$8+$B$5,C192+E192)))</f>
        <v/>
      </c>
      <c r="E192" s="15" t="str">
        <f aca="false">IF(A192="","",ROUND(C192*$B$3/100/12,2))</f>
        <v/>
      </c>
      <c r="F192" s="15" t="str">
        <f aca="false">IF(A192="","",D192-E192)</f>
        <v/>
      </c>
      <c r="G192" s="15" t="str">
        <f aca="false">IF(A192="","",ROUND(C192-F192,2))</f>
        <v/>
      </c>
    </row>
    <row r="193" customFormat="false" ht="15" hidden="false" customHeight="false" outlineLevel="0" collapsed="false">
      <c r="A193" s="20" t="str">
        <f aca="false">IF(A192="","",IF(G192&lt;=0.005,"",A192+1))</f>
        <v/>
      </c>
      <c r="B193" s="21" t="str">
        <f aca="false">IF(A193="","",EDATE($B$6,A193-1))</f>
        <v/>
      </c>
      <c r="C193" s="15" t="str">
        <f aca="false">IF(A193="","",G192)</f>
        <v/>
      </c>
      <c r="D193" s="15" t="str">
        <f aca="false">IF(A193="","",IF(A193&gt;=$B$4,C193+E193,MIN($B$8+$B$5,C193+E193)))</f>
        <v/>
      </c>
      <c r="E193" s="15" t="str">
        <f aca="false">IF(A193="","",ROUND(C193*$B$3/100/12,2))</f>
        <v/>
      </c>
      <c r="F193" s="15" t="str">
        <f aca="false">IF(A193="","",D193-E193)</f>
        <v/>
      </c>
      <c r="G193" s="15" t="str">
        <f aca="false">IF(A193="","",ROUND(C193-F193,2))</f>
        <v/>
      </c>
    </row>
    <row r="194" customFormat="false" ht="15" hidden="false" customHeight="false" outlineLevel="0" collapsed="false">
      <c r="A194" s="20" t="str">
        <f aca="false">IF(A193="","",IF(G193&lt;=0.005,"",A193+1))</f>
        <v/>
      </c>
      <c r="B194" s="21" t="str">
        <f aca="false">IF(A194="","",EDATE($B$6,A194-1))</f>
        <v/>
      </c>
      <c r="C194" s="15" t="str">
        <f aca="false">IF(A194="","",G193)</f>
        <v/>
      </c>
      <c r="D194" s="15" t="str">
        <f aca="false">IF(A194="","",IF(A194&gt;=$B$4,C194+E194,MIN($B$8+$B$5,C194+E194)))</f>
        <v/>
      </c>
      <c r="E194" s="15" t="str">
        <f aca="false">IF(A194="","",ROUND(C194*$B$3/100/12,2))</f>
        <v/>
      </c>
      <c r="F194" s="15" t="str">
        <f aca="false">IF(A194="","",D194-E194)</f>
        <v/>
      </c>
      <c r="G194" s="15" t="str">
        <f aca="false">IF(A194="","",ROUND(C194-F194,2))</f>
        <v/>
      </c>
    </row>
    <row r="195" customFormat="false" ht="15" hidden="false" customHeight="false" outlineLevel="0" collapsed="false">
      <c r="A195" s="20" t="str">
        <f aca="false">IF(A194="","",IF(G194&lt;=0.005,"",A194+1))</f>
        <v/>
      </c>
      <c r="B195" s="21" t="str">
        <f aca="false">IF(A195="","",EDATE($B$6,A195-1))</f>
        <v/>
      </c>
      <c r="C195" s="15" t="str">
        <f aca="false">IF(A195="","",G194)</f>
        <v/>
      </c>
      <c r="D195" s="15" t="str">
        <f aca="false">IF(A195="","",IF(A195&gt;=$B$4,C195+E195,MIN($B$8+$B$5,C195+E195)))</f>
        <v/>
      </c>
      <c r="E195" s="15" t="str">
        <f aca="false">IF(A195="","",ROUND(C195*$B$3/100/12,2))</f>
        <v/>
      </c>
      <c r="F195" s="15" t="str">
        <f aca="false">IF(A195="","",D195-E195)</f>
        <v/>
      </c>
      <c r="G195" s="15" t="str">
        <f aca="false">IF(A195="","",ROUND(C195-F195,2))</f>
        <v/>
      </c>
    </row>
    <row r="196" customFormat="false" ht="15" hidden="false" customHeight="false" outlineLevel="0" collapsed="false">
      <c r="A196" s="20" t="str">
        <f aca="false">IF(A195="","",IF(G195&lt;=0.005,"",A195+1))</f>
        <v/>
      </c>
      <c r="B196" s="21" t="str">
        <f aca="false">IF(A196="","",EDATE($B$6,A196-1))</f>
        <v/>
      </c>
      <c r="C196" s="15" t="str">
        <f aca="false">IF(A196="","",G195)</f>
        <v/>
      </c>
      <c r="D196" s="15" t="str">
        <f aca="false">IF(A196="","",IF(A196&gt;=$B$4,C196+E196,MIN($B$8+$B$5,C196+E196)))</f>
        <v/>
      </c>
      <c r="E196" s="15" t="str">
        <f aca="false">IF(A196="","",ROUND(C196*$B$3/100/12,2))</f>
        <v/>
      </c>
      <c r="F196" s="15" t="str">
        <f aca="false">IF(A196="","",D196-E196)</f>
        <v/>
      </c>
      <c r="G196" s="15" t="str">
        <f aca="false">IF(A196="","",ROUND(C196-F196,2))</f>
        <v/>
      </c>
    </row>
    <row r="197" customFormat="false" ht="15" hidden="false" customHeight="false" outlineLevel="0" collapsed="false">
      <c r="A197" s="20" t="str">
        <f aca="false">IF(A196="","",IF(G196&lt;=0.005,"",A196+1))</f>
        <v/>
      </c>
      <c r="B197" s="21" t="str">
        <f aca="false">IF(A197="","",EDATE($B$6,A197-1))</f>
        <v/>
      </c>
      <c r="C197" s="15" t="str">
        <f aca="false">IF(A197="","",G196)</f>
        <v/>
      </c>
      <c r="D197" s="15" t="str">
        <f aca="false">IF(A197="","",IF(A197&gt;=$B$4,C197+E197,MIN($B$8+$B$5,C197+E197)))</f>
        <v/>
      </c>
      <c r="E197" s="15" t="str">
        <f aca="false">IF(A197="","",ROUND(C197*$B$3/100/12,2))</f>
        <v/>
      </c>
      <c r="F197" s="15" t="str">
        <f aca="false">IF(A197="","",D197-E197)</f>
        <v/>
      </c>
      <c r="G197" s="15" t="str">
        <f aca="false">IF(A197="","",ROUND(C197-F197,2))</f>
        <v/>
      </c>
    </row>
    <row r="198" customFormat="false" ht="15" hidden="false" customHeight="false" outlineLevel="0" collapsed="false">
      <c r="A198" s="20" t="str">
        <f aca="false">IF(A197="","",IF(G197&lt;=0.005,"",A197+1))</f>
        <v/>
      </c>
      <c r="B198" s="21" t="str">
        <f aca="false">IF(A198="","",EDATE($B$6,A198-1))</f>
        <v/>
      </c>
      <c r="C198" s="15" t="str">
        <f aca="false">IF(A198="","",G197)</f>
        <v/>
      </c>
      <c r="D198" s="15" t="str">
        <f aca="false">IF(A198="","",IF(A198&gt;=$B$4,C198+E198,MIN($B$8+$B$5,C198+E198)))</f>
        <v/>
      </c>
      <c r="E198" s="15" t="str">
        <f aca="false">IF(A198="","",ROUND(C198*$B$3/100/12,2))</f>
        <v/>
      </c>
      <c r="F198" s="15" t="str">
        <f aca="false">IF(A198="","",D198-E198)</f>
        <v/>
      </c>
      <c r="G198" s="15" t="str">
        <f aca="false">IF(A198="","",ROUND(C198-F198,2))</f>
        <v/>
      </c>
    </row>
    <row r="199" customFormat="false" ht="15" hidden="false" customHeight="false" outlineLevel="0" collapsed="false">
      <c r="A199" s="20" t="str">
        <f aca="false">IF(A198="","",IF(G198&lt;=0.005,"",A198+1))</f>
        <v/>
      </c>
      <c r="B199" s="21" t="str">
        <f aca="false">IF(A199="","",EDATE($B$6,A199-1))</f>
        <v/>
      </c>
      <c r="C199" s="15" t="str">
        <f aca="false">IF(A199="","",G198)</f>
        <v/>
      </c>
      <c r="D199" s="15" t="str">
        <f aca="false">IF(A199="","",IF(A199&gt;=$B$4,C199+E199,MIN($B$8+$B$5,C199+E199)))</f>
        <v/>
      </c>
      <c r="E199" s="15" t="str">
        <f aca="false">IF(A199="","",ROUND(C199*$B$3/100/12,2))</f>
        <v/>
      </c>
      <c r="F199" s="15" t="str">
        <f aca="false">IF(A199="","",D199-E199)</f>
        <v/>
      </c>
      <c r="G199" s="15" t="str">
        <f aca="false">IF(A199="","",ROUND(C199-F199,2))</f>
        <v/>
      </c>
    </row>
    <row r="200" customFormat="false" ht="15" hidden="false" customHeight="false" outlineLevel="0" collapsed="false">
      <c r="A200" s="20" t="str">
        <f aca="false">IF(A199="","",IF(G199&lt;=0.005,"",A199+1))</f>
        <v/>
      </c>
      <c r="B200" s="21" t="str">
        <f aca="false">IF(A200="","",EDATE($B$6,A200-1))</f>
        <v/>
      </c>
      <c r="C200" s="15" t="str">
        <f aca="false">IF(A200="","",G199)</f>
        <v/>
      </c>
      <c r="D200" s="15" t="str">
        <f aca="false">IF(A200="","",IF(A200&gt;=$B$4,C200+E200,MIN($B$8+$B$5,C200+E200)))</f>
        <v/>
      </c>
      <c r="E200" s="15" t="str">
        <f aca="false">IF(A200="","",ROUND(C200*$B$3/100/12,2))</f>
        <v/>
      </c>
      <c r="F200" s="15" t="str">
        <f aca="false">IF(A200="","",D200-E200)</f>
        <v/>
      </c>
      <c r="G200" s="15" t="str">
        <f aca="false">IF(A200="","",ROUND(C200-F200,2))</f>
        <v/>
      </c>
    </row>
    <row r="201" customFormat="false" ht="15" hidden="false" customHeight="false" outlineLevel="0" collapsed="false">
      <c r="A201" s="20" t="str">
        <f aca="false">IF(A200="","",IF(G200&lt;=0.005,"",A200+1))</f>
        <v/>
      </c>
      <c r="B201" s="21" t="str">
        <f aca="false">IF(A201="","",EDATE($B$6,A201-1))</f>
        <v/>
      </c>
      <c r="C201" s="15" t="str">
        <f aca="false">IF(A201="","",G200)</f>
        <v/>
      </c>
      <c r="D201" s="15" t="str">
        <f aca="false">IF(A201="","",IF(A201&gt;=$B$4,C201+E201,MIN($B$8+$B$5,C201+E201)))</f>
        <v/>
      </c>
      <c r="E201" s="15" t="str">
        <f aca="false">IF(A201="","",ROUND(C201*$B$3/100/12,2))</f>
        <v/>
      </c>
      <c r="F201" s="15" t="str">
        <f aca="false">IF(A201="","",D201-E201)</f>
        <v/>
      </c>
      <c r="G201" s="15" t="str">
        <f aca="false">IF(A201="","",ROUND(C201-F201,2))</f>
        <v/>
      </c>
    </row>
    <row r="202" customFormat="false" ht="15" hidden="false" customHeight="false" outlineLevel="0" collapsed="false">
      <c r="A202" s="20" t="str">
        <f aca="false">IF(A201="","",IF(G201&lt;=0.005,"",A201+1))</f>
        <v/>
      </c>
      <c r="B202" s="21" t="str">
        <f aca="false">IF(A202="","",EDATE($B$6,A202-1))</f>
        <v/>
      </c>
      <c r="C202" s="15" t="str">
        <f aca="false">IF(A202="","",G201)</f>
        <v/>
      </c>
      <c r="D202" s="15" t="str">
        <f aca="false">IF(A202="","",IF(A202&gt;=$B$4,C202+E202,MIN($B$8+$B$5,C202+E202)))</f>
        <v/>
      </c>
      <c r="E202" s="15" t="str">
        <f aca="false">IF(A202="","",ROUND(C202*$B$3/100/12,2))</f>
        <v/>
      </c>
      <c r="F202" s="15" t="str">
        <f aca="false">IF(A202="","",D202-E202)</f>
        <v/>
      </c>
      <c r="G202" s="15" t="str">
        <f aca="false">IF(A202="","",ROUND(C202-F202,2))</f>
        <v/>
      </c>
    </row>
    <row r="203" customFormat="false" ht="15" hidden="false" customHeight="false" outlineLevel="0" collapsed="false">
      <c r="A203" s="20" t="str">
        <f aca="false">IF(A202="","",IF(G202&lt;=0.005,"",A202+1))</f>
        <v/>
      </c>
      <c r="B203" s="21" t="str">
        <f aca="false">IF(A203="","",EDATE($B$6,A203-1))</f>
        <v/>
      </c>
      <c r="C203" s="15" t="str">
        <f aca="false">IF(A203="","",G202)</f>
        <v/>
      </c>
      <c r="D203" s="15" t="str">
        <f aca="false">IF(A203="","",IF(A203&gt;=$B$4,C203+E203,MIN($B$8+$B$5,C203+E203)))</f>
        <v/>
      </c>
      <c r="E203" s="15" t="str">
        <f aca="false">IF(A203="","",ROUND(C203*$B$3/100/12,2))</f>
        <v/>
      </c>
      <c r="F203" s="15" t="str">
        <f aca="false">IF(A203="","",D203-E203)</f>
        <v/>
      </c>
      <c r="G203" s="15" t="str">
        <f aca="false">IF(A203="","",ROUND(C203-F203,2))</f>
        <v/>
      </c>
    </row>
    <row r="204" customFormat="false" ht="15" hidden="false" customHeight="false" outlineLevel="0" collapsed="false">
      <c r="A204" s="20" t="str">
        <f aca="false">IF(A203="","",IF(G203&lt;=0.005,"",A203+1))</f>
        <v/>
      </c>
      <c r="B204" s="21" t="str">
        <f aca="false">IF(A204="","",EDATE($B$6,A204-1))</f>
        <v/>
      </c>
      <c r="C204" s="15" t="str">
        <f aca="false">IF(A204="","",G203)</f>
        <v/>
      </c>
      <c r="D204" s="15" t="str">
        <f aca="false">IF(A204="","",IF(A204&gt;=$B$4,C204+E204,MIN($B$8+$B$5,C204+E204)))</f>
        <v/>
      </c>
      <c r="E204" s="15" t="str">
        <f aca="false">IF(A204="","",ROUND(C204*$B$3/100/12,2))</f>
        <v/>
      </c>
      <c r="F204" s="15" t="str">
        <f aca="false">IF(A204="","",D204-E204)</f>
        <v/>
      </c>
      <c r="G204" s="15" t="str">
        <f aca="false">IF(A204="","",ROUND(C204-F204,2))</f>
        <v/>
      </c>
    </row>
    <row r="205" customFormat="false" ht="15" hidden="false" customHeight="false" outlineLevel="0" collapsed="false">
      <c r="A205" s="20" t="str">
        <f aca="false">IF(A204="","",IF(G204&lt;=0.005,"",A204+1))</f>
        <v/>
      </c>
      <c r="B205" s="21" t="str">
        <f aca="false">IF(A205="","",EDATE($B$6,A205-1))</f>
        <v/>
      </c>
      <c r="C205" s="15" t="str">
        <f aca="false">IF(A205="","",G204)</f>
        <v/>
      </c>
      <c r="D205" s="15" t="str">
        <f aca="false">IF(A205="","",IF(A205&gt;=$B$4,C205+E205,MIN($B$8+$B$5,C205+E205)))</f>
        <v/>
      </c>
      <c r="E205" s="15" t="str">
        <f aca="false">IF(A205="","",ROUND(C205*$B$3/100/12,2))</f>
        <v/>
      </c>
      <c r="F205" s="15" t="str">
        <f aca="false">IF(A205="","",D205-E205)</f>
        <v/>
      </c>
      <c r="G205" s="15" t="str">
        <f aca="false">IF(A205="","",ROUND(C205-F205,2))</f>
        <v/>
      </c>
    </row>
    <row r="206" customFormat="false" ht="15" hidden="false" customHeight="false" outlineLevel="0" collapsed="false">
      <c r="A206" s="20" t="str">
        <f aca="false">IF(A205="","",IF(G205&lt;=0.005,"",A205+1))</f>
        <v/>
      </c>
      <c r="B206" s="21" t="str">
        <f aca="false">IF(A206="","",EDATE($B$6,A206-1))</f>
        <v/>
      </c>
      <c r="C206" s="15" t="str">
        <f aca="false">IF(A206="","",G205)</f>
        <v/>
      </c>
      <c r="D206" s="15" t="str">
        <f aca="false">IF(A206="","",IF(A206&gt;=$B$4,C206+E206,MIN($B$8+$B$5,C206+E206)))</f>
        <v/>
      </c>
      <c r="E206" s="15" t="str">
        <f aca="false">IF(A206="","",ROUND(C206*$B$3/100/12,2))</f>
        <v/>
      </c>
      <c r="F206" s="15" t="str">
        <f aca="false">IF(A206="","",D206-E206)</f>
        <v/>
      </c>
      <c r="G206" s="15" t="str">
        <f aca="false">IF(A206="","",ROUND(C206-F206,2))</f>
        <v/>
      </c>
    </row>
    <row r="207" customFormat="false" ht="15" hidden="false" customHeight="false" outlineLevel="0" collapsed="false">
      <c r="A207" s="20" t="str">
        <f aca="false">IF(A206="","",IF(G206&lt;=0.005,"",A206+1))</f>
        <v/>
      </c>
      <c r="B207" s="21" t="str">
        <f aca="false">IF(A207="","",EDATE($B$6,A207-1))</f>
        <v/>
      </c>
      <c r="C207" s="15" t="str">
        <f aca="false">IF(A207="","",G206)</f>
        <v/>
      </c>
      <c r="D207" s="15" t="str">
        <f aca="false">IF(A207="","",IF(A207&gt;=$B$4,C207+E207,MIN($B$8+$B$5,C207+E207)))</f>
        <v/>
      </c>
      <c r="E207" s="15" t="str">
        <f aca="false">IF(A207="","",ROUND(C207*$B$3/100/12,2))</f>
        <v/>
      </c>
      <c r="F207" s="15" t="str">
        <f aca="false">IF(A207="","",D207-E207)</f>
        <v/>
      </c>
      <c r="G207" s="15" t="str">
        <f aca="false">IF(A207="","",ROUND(C207-F207,2))</f>
        <v/>
      </c>
    </row>
    <row r="208" customFormat="false" ht="15" hidden="false" customHeight="false" outlineLevel="0" collapsed="false">
      <c r="A208" s="20" t="str">
        <f aca="false">IF(A207="","",IF(G207&lt;=0.005,"",A207+1))</f>
        <v/>
      </c>
      <c r="B208" s="21" t="str">
        <f aca="false">IF(A208="","",EDATE($B$6,A208-1))</f>
        <v/>
      </c>
      <c r="C208" s="15" t="str">
        <f aca="false">IF(A208="","",G207)</f>
        <v/>
      </c>
      <c r="D208" s="15" t="str">
        <f aca="false">IF(A208="","",IF(A208&gt;=$B$4,C208+E208,MIN($B$8+$B$5,C208+E208)))</f>
        <v/>
      </c>
      <c r="E208" s="15" t="str">
        <f aca="false">IF(A208="","",ROUND(C208*$B$3/100/12,2))</f>
        <v/>
      </c>
      <c r="F208" s="15" t="str">
        <f aca="false">IF(A208="","",D208-E208)</f>
        <v/>
      </c>
      <c r="G208" s="15" t="str">
        <f aca="false">IF(A208="","",ROUND(C208-F208,2))</f>
        <v/>
      </c>
    </row>
    <row r="209" customFormat="false" ht="15" hidden="false" customHeight="false" outlineLevel="0" collapsed="false">
      <c r="A209" s="20" t="str">
        <f aca="false">IF(A208="","",IF(G208&lt;=0.005,"",A208+1))</f>
        <v/>
      </c>
      <c r="B209" s="21" t="str">
        <f aca="false">IF(A209="","",EDATE($B$6,A209-1))</f>
        <v/>
      </c>
      <c r="C209" s="15" t="str">
        <f aca="false">IF(A209="","",G208)</f>
        <v/>
      </c>
      <c r="D209" s="15" t="str">
        <f aca="false">IF(A209="","",IF(A209&gt;=$B$4,C209+E209,MIN($B$8+$B$5,C209+E209)))</f>
        <v/>
      </c>
      <c r="E209" s="15" t="str">
        <f aca="false">IF(A209="","",ROUND(C209*$B$3/100/12,2))</f>
        <v/>
      </c>
      <c r="F209" s="15" t="str">
        <f aca="false">IF(A209="","",D209-E209)</f>
        <v/>
      </c>
      <c r="G209" s="15" t="str">
        <f aca="false">IF(A209="","",ROUND(C209-F209,2))</f>
        <v/>
      </c>
    </row>
    <row r="210" customFormat="false" ht="15" hidden="false" customHeight="false" outlineLevel="0" collapsed="false">
      <c r="A210" s="20" t="str">
        <f aca="false">IF(A209="","",IF(G209&lt;=0.005,"",A209+1))</f>
        <v/>
      </c>
      <c r="B210" s="21" t="str">
        <f aca="false">IF(A210="","",EDATE($B$6,A210-1))</f>
        <v/>
      </c>
      <c r="C210" s="15" t="str">
        <f aca="false">IF(A210="","",G209)</f>
        <v/>
      </c>
      <c r="D210" s="15" t="str">
        <f aca="false">IF(A210="","",IF(A210&gt;=$B$4,C210+E210,MIN($B$8+$B$5,C210+E210)))</f>
        <v/>
      </c>
      <c r="E210" s="15" t="str">
        <f aca="false">IF(A210="","",ROUND(C210*$B$3/100/12,2))</f>
        <v/>
      </c>
      <c r="F210" s="15" t="str">
        <f aca="false">IF(A210="","",D210-E210)</f>
        <v/>
      </c>
      <c r="G210" s="15" t="str">
        <f aca="false">IF(A210="","",ROUND(C210-F210,2))</f>
        <v/>
      </c>
    </row>
    <row r="211" customFormat="false" ht="15" hidden="false" customHeight="false" outlineLevel="0" collapsed="false">
      <c r="A211" s="20" t="str">
        <f aca="false">IF(A210="","",IF(G210&lt;=0.005,"",A210+1))</f>
        <v/>
      </c>
      <c r="B211" s="21" t="str">
        <f aca="false">IF(A211="","",EDATE($B$6,A211-1))</f>
        <v/>
      </c>
      <c r="C211" s="15" t="str">
        <f aca="false">IF(A211="","",G210)</f>
        <v/>
      </c>
      <c r="D211" s="15" t="str">
        <f aca="false">IF(A211="","",IF(A211&gt;=$B$4,C211+E211,MIN($B$8+$B$5,C211+E211)))</f>
        <v/>
      </c>
      <c r="E211" s="15" t="str">
        <f aca="false">IF(A211="","",ROUND(C211*$B$3/100/12,2))</f>
        <v/>
      </c>
      <c r="F211" s="15" t="str">
        <f aca="false">IF(A211="","",D211-E211)</f>
        <v/>
      </c>
      <c r="G211" s="15" t="str">
        <f aca="false">IF(A211="","",ROUND(C211-F211,2))</f>
        <v/>
      </c>
    </row>
    <row r="212" customFormat="false" ht="15" hidden="false" customHeight="false" outlineLevel="0" collapsed="false">
      <c r="A212" s="20" t="str">
        <f aca="false">IF(A211="","",IF(G211&lt;=0.005,"",A211+1))</f>
        <v/>
      </c>
      <c r="B212" s="21" t="str">
        <f aca="false">IF(A212="","",EDATE($B$6,A212-1))</f>
        <v/>
      </c>
      <c r="C212" s="15" t="str">
        <f aca="false">IF(A212="","",G211)</f>
        <v/>
      </c>
      <c r="D212" s="15" t="str">
        <f aca="false">IF(A212="","",IF(A212&gt;=$B$4,C212+E212,MIN($B$8+$B$5,C212+E212)))</f>
        <v/>
      </c>
      <c r="E212" s="15" t="str">
        <f aca="false">IF(A212="","",ROUND(C212*$B$3/100/12,2))</f>
        <v/>
      </c>
      <c r="F212" s="15" t="str">
        <f aca="false">IF(A212="","",D212-E212)</f>
        <v/>
      </c>
      <c r="G212" s="15" t="str">
        <f aca="false">IF(A212="","",ROUND(C212-F212,2))</f>
        <v/>
      </c>
    </row>
    <row r="213" customFormat="false" ht="15" hidden="false" customHeight="false" outlineLevel="0" collapsed="false">
      <c r="A213" s="20" t="str">
        <f aca="false">IF(A212="","",IF(G212&lt;=0.005,"",A212+1))</f>
        <v/>
      </c>
      <c r="B213" s="21" t="str">
        <f aca="false">IF(A213="","",EDATE($B$6,A213-1))</f>
        <v/>
      </c>
      <c r="C213" s="15" t="str">
        <f aca="false">IF(A213="","",G212)</f>
        <v/>
      </c>
      <c r="D213" s="15" t="str">
        <f aca="false">IF(A213="","",IF(A213&gt;=$B$4,C213+E213,MIN($B$8+$B$5,C213+E213)))</f>
        <v/>
      </c>
      <c r="E213" s="15" t="str">
        <f aca="false">IF(A213="","",ROUND(C213*$B$3/100/12,2))</f>
        <v/>
      </c>
      <c r="F213" s="15" t="str">
        <f aca="false">IF(A213="","",D213-E213)</f>
        <v/>
      </c>
      <c r="G213" s="15" t="str">
        <f aca="false">IF(A213="","",ROUND(C213-F213,2))</f>
        <v/>
      </c>
    </row>
    <row r="214" customFormat="false" ht="15" hidden="false" customHeight="false" outlineLevel="0" collapsed="false">
      <c r="A214" s="20" t="str">
        <f aca="false">IF(A213="","",IF(G213&lt;=0.005,"",A213+1))</f>
        <v/>
      </c>
      <c r="B214" s="21" t="str">
        <f aca="false">IF(A214="","",EDATE($B$6,A214-1))</f>
        <v/>
      </c>
      <c r="C214" s="15" t="str">
        <f aca="false">IF(A214="","",G213)</f>
        <v/>
      </c>
      <c r="D214" s="15" t="str">
        <f aca="false">IF(A214="","",IF(A214&gt;=$B$4,C214+E214,MIN($B$8+$B$5,C214+E214)))</f>
        <v/>
      </c>
      <c r="E214" s="15" t="str">
        <f aca="false">IF(A214="","",ROUND(C214*$B$3/100/12,2))</f>
        <v/>
      </c>
      <c r="F214" s="15" t="str">
        <f aca="false">IF(A214="","",D214-E214)</f>
        <v/>
      </c>
      <c r="G214" s="15" t="str">
        <f aca="false">IF(A214="","",ROUND(C214-F214,2))</f>
        <v/>
      </c>
    </row>
    <row r="215" customFormat="false" ht="15" hidden="false" customHeight="false" outlineLevel="0" collapsed="false">
      <c r="A215" s="20" t="str">
        <f aca="false">IF(A214="","",IF(G214&lt;=0.005,"",A214+1))</f>
        <v/>
      </c>
      <c r="B215" s="21" t="str">
        <f aca="false">IF(A215="","",EDATE($B$6,A215-1))</f>
        <v/>
      </c>
      <c r="C215" s="15" t="str">
        <f aca="false">IF(A215="","",G214)</f>
        <v/>
      </c>
      <c r="D215" s="15" t="str">
        <f aca="false">IF(A215="","",IF(A215&gt;=$B$4,C215+E215,MIN($B$8+$B$5,C215+E215)))</f>
        <v/>
      </c>
      <c r="E215" s="15" t="str">
        <f aca="false">IF(A215="","",ROUND(C215*$B$3/100/12,2))</f>
        <v/>
      </c>
      <c r="F215" s="15" t="str">
        <f aca="false">IF(A215="","",D215-E215)</f>
        <v/>
      </c>
      <c r="G215" s="15" t="str">
        <f aca="false">IF(A215="","",ROUND(C215-F215,2))</f>
        <v/>
      </c>
    </row>
    <row r="216" customFormat="false" ht="15" hidden="false" customHeight="false" outlineLevel="0" collapsed="false">
      <c r="A216" s="20" t="str">
        <f aca="false">IF(A215="","",IF(G215&lt;=0.005,"",A215+1))</f>
        <v/>
      </c>
      <c r="B216" s="21" t="str">
        <f aca="false">IF(A216="","",EDATE($B$6,A216-1))</f>
        <v/>
      </c>
      <c r="C216" s="15" t="str">
        <f aca="false">IF(A216="","",G215)</f>
        <v/>
      </c>
      <c r="D216" s="15" t="str">
        <f aca="false">IF(A216="","",IF(A216&gt;=$B$4,C216+E216,MIN($B$8+$B$5,C216+E216)))</f>
        <v/>
      </c>
      <c r="E216" s="15" t="str">
        <f aca="false">IF(A216="","",ROUND(C216*$B$3/100/12,2))</f>
        <v/>
      </c>
      <c r="F216" s="15" t="str">
        <f aca="false">IF(A216="","",D216-E216)</f>
        <v/>
      </c>
      <c r="G216" s="15" t="str">
        <f aca="false">IF(A216="","",ROUND(C216-F216,2))</f>
        <v/>
      </c>
    </row>
    <row r="217" customFormat="false" ht="15" hidden="false" customHeight="false" outlineLevel="0" collapsed="false">
      <c r="A217" s="20" t="str">
        <f aca="false">IF(A216="","",IF(G216&lt;=0.005,"",A216+1))</f>
        <v/>
      </c>
      <c r="B217" s="21" t="str">
        <f aca="false">IF(A217="","",EDATE($B$6,A217-1))</f>
        <v/>
      </c>
      <c r="C217" s="15" t="str">
        <f aca="false">IF(A217="","",G216)</f>
        <v/>
      </c>
      <c r="D217" s="15" t="str">
        <f aca="false">IF(A217="","",IF(A217&gt;=$B$4,C217+E217,MIN($B$8+$B$5,C217+E217)))</f>
        <v/>
      </c>
      <c r="E217" s="15" t="str">
        <f aca="false">IF(A217="","",ROUND(C217*$B$3/100/12,2))</f>
        <v/>
      </c>
      <c r="F217" s="15" t="str">
        <f aca="false">IF(A217="","",D217-E217)</f>
        <v/>
      </c>
      <c r="G217" s="15" t="str">
        <f aca="false">IF(A217="","",ROUND(C217-F217,2))</f>
        <v/>
      </c>
    </row>
    <row r="218" customFormat="false" ht="15" hidden="false" customHeight="false" outlineLevel="0" collapsed="false">
      <c r="A218" s="20" t="str">
        <f aca="false">IF(A217="","",IF(G217&lt;=0.005,"",A217+1))</f>
        <v/>
      </c>
      <c r="B218" s="21" t="str">
        <f aca="false">IF(A218="","",EDATE($B$6,A218-1))</f>
        <v/>
      </c>
      <c r="C218" s="15" t="str">
        <f aca="false">IF(A218="","",G217)</f>
        <v/>
      </c>
      <c r="D218" s="15" t="str">
        <f aca="false">IF(A218="","",IF(A218&gt;=$B$4,C218+E218,MIN($B$8+$B$5,C218+E218)))</f>
        <v/>
      </c>
      <c r="E218" s="15" t="str">
        <f aca="false">IF(A218="","",ROUND(C218*$B$3/100/12,2))</f>
        <v/>
      </c>
      <c r="F218" s="15" t="str">
        <f aca="false">IF(A218="","",D218-E218)</f>
        <v/>
      </c>
      <c r="G218" s="15" t="str">
        <f aca="false">IF(A218="","",ROUND(C218-F218,2))</f>
        <v/>
      </c>
    </row>
    <row r="219" customFormat="false" ht="15" hidden="false" customHeight="false" outlineLevel="0" collapsed="false">
      <c r="A219" s="20" t="str">
        <f aca="false">IF(A218="","",IF(G218&lt;=0.005,"",A218+1))</f>
        <v/>
      </c>
      <c r="B219" s="21" t="str">
        <f aca="false">IF(A219="","",EDATE($B$6,A219-1))</f>
        <v/>
      </c>
      <c r="C219" s="15" t="str">
        <f aca="false">IF(A219="","",G218)</f>
        <v/>
      </c>
      <c r="D219" s="15" t="str">
        <f aca="false">IF(A219="","",IF(A219&gt;=$B$4,C219+E219,MIN($B$8+$B$5,C219+E219)))</f>
        <v/>
      </c>
      <c r="E219" s="15" t="str">
        <f aca="false">IF(A219="","",ROUND(C219*$B$3/100/12,2))</f>
        <v/>
      </c>
      <c r="F219" s="15" t="str">
        <f aca="false">IF(A219="","",D219-E219)</f>
        <v/>
      </c>
      <c r="G219" s="15" t="str">
        <f aca="false">IF(A219="","",ROUND(C219-F219,2))</f>
        <v/>
      </c>
    </row>
    <row r="220" customFormat="false" ht="15" hidden="false" customHeight="false" outlineLevel="0" collapsed="false">
      <c r="A220" s="20" t="str">
        <f aca="false">IF(A219="","",IF(G219&lt;=0.005,"",A219+1))</f>
        <v/>
      </c>
      <c r="B220" s="21" t="str">
        <f aca="false">IF(A220="","",EDATE($B$6,A220-1))</f>
        <v/>
      </c>
      <c r="C220" s="15" t="str">
        <f aca="false">IF(A220="","",G219)</f>
        <v/>
      </c>
      <c r="D220" s="15" t="str">
        <f aca="false">IF(A220="","",IF(A220&gt;=$B$4,C220+E220,MIN($B$8+$B$5,C220+E220)))</f>
        <v/>
      </c>
      <c r="E220" s="15" t="str">
        <f aca="false">IF(A220="","",ROUND(C220*$B$3/100/12,2))</f>
        <v/>
      </c>
      <c r="F220" s="15" t="str">
        <f aca="false">IF(A220="","",D220-E220)</f>
        <v/>
      </c>
      <c r="G220" s="15" t="str">
        <f aca="false">IF(A220="","",ROUND(C220-F220,2))</f>
        <v/>
      </c>
    </row>
    <row r="221" customFormat="false" ht="15" hidden="false" customHeight="false" outlineLevel="0" collapsed="false">
      <c r="A221" s="20" t="str">
        <f aca="false">IF(A220="","",IF(G220&lt;=0.005,"",A220+1))</f>
        <v/>
      </c>
      <c r="B221" s="21" t="str">
        <f aca="false">IF(A221="","",EDATE($B$6,A221-1))</f>
        <v/>
      </c>
      <c r="C221" s="15" t="str">
        <f aca="false">IF(A221="","",G220)</f>
        <v/>
      </c>
      <c r="D221" s="15" t="str">
        <f aca="false">IF(A221="","",IF(A221&gt;=$B$4,C221+E221,MIN($B$8+$B$5,C221+E221)))</f>
        <v/>
      </c>
      <c r="E221" s="15" t="str">
        <f aca="false">IF(A221="","",ROUND(C221*$B$3/100/12,2))</f>
        <v/>
      </c>
      <c r="F221" s="15" t="str">
        <f aca="false">IF(A221="","",D221-E221)</f>
        <v/>
      </c>
      <c r="G221" s="15" t="str">
        <f aca="false">IF(A221="","",ROUND(C221-F221,2))</f>
        <v/>
      </c>
    </row>
    <row r="222" customFormat="false" ht="15" hidden="false" customHeight="false" outlineLevel="0" collapsed="false">
      <c r="A222" s="20" t="str">
        <f aca="false">IF(A221="","",IF(G221&lt;=0.005,"",A221+1))</f>
        <v/>
      </c>
      <c r="B222" s="21" t="str">
        <f aca="false">IF(A222="","",EDATE($B$6,A222-1))</f>
        <v/>
      </c>
      <c r="C222" s="15" t="str">
        <f aca="false">IF(A222="","",G221)</f>
        <v/>
      </c>
      <c r="D222" s="15" t="str">
        <f aca="false">IF(A222="","",IF(A222&gt;=$B$4,C222+E222,MIN($B$8+$B$5,C222+E222)))</f>
        <v/>
      </c>
      <c r="E222" s="15" t="str">
        <f aca="false">IF(A222="","",ROUND(C222*$B$3/100/12,2))</f>
        <v/>
      </c>
      <c r="F222" s="15" t="str">
        <f aca="false">IF(A222="","",D222-E222)</f>
        <v/>
      </c>
      <c r="G222" s="15" t="str">
        <f aca="false">IF(A222="","",ROUND(C222-F222,2))</f>
        <v/>
      </c>
    </row>
    <row r="223" customFormat="false" ht="15" hidden="false" customHeight="false" outlineLevel="0" collapsed="false">
      <c r="A223" s="20" t="str">
        <f aca="false">IF(A222="","",IF(G222&lt;=0.005,"",A222+1))</f>
        <v/>
      </c>
      <c r="B223" s="21" t="str">
        <f aca="false">IF(A223="","",EDATE($B$6,A223-1))</f>
        <v/>
      </c>
      <c r="C223" s="15" t="str">
        <f aca="false">IF(A223="","",G222)</f>
        <v/>
      </c>
      <c r="D223" s="15" t="str">
        <f aca="false">IF(A223="","",IF(A223&gt;=$B$4,C223+E223,MIN($B$8+$B$5,C223+E223)))</f>
        <v/>
      </c>
      <c r="E223" s="15" t="str">
        <f aca="false">IF(A223="","",ROUND(C223*$B$3/100/12,2))</f>
        <v/>
      </c>
      <c r="F223" s="15" t="str">
        <f aca="false">IF(A223="","",D223-E223)</f>
        <v/>
      </c>
      <c r="G223" s="15" t="str">
        <f aca="false">IF(A223="","",ROUND(C223-F223,2))</f>
        <v/>
      </c>
    </row>
    <row r="224" customFormat="false" ht="15" hidden="false" customHeight="false" outlineLevel="0" collapsed="false">
      <c r="A224" s="20" t="str">
        <f aca="false">IF(A223="","",IF(G223&lt;=0.005,"",A223+1))</f>
        <v/>
      </c>
      <c r="B224" s="21" t="str">
        <f aca="false">IF(A224="","",EDATE($B$6,A224-1))</f>
        <v/>
      </c>
      <c r="C224" s="15" t="str">
        <f aca="false">IF(A224="","",G223)</f>
        <v/>
      </c>
      <c r="D224" s="15" t="str">
        <f aca="false">IF(A224="","",IF(A224&gt;=$B$4,C224+E224,MIN($B$8+$B$5,C224+E224)))</f>
        <v/>
      </c>
      <c r="E224" s="15" t="str">
        <f aca="false">IF(A224="","",ROUND(C224*$B$3/100/12,2))</f>
        <v/>
      </c>
      <c r="F224" s="15" t="str">
        <f aca="false">IF(A224="","",D224-E224)</f>
        <v/>
      </c>
      <c r="G224" s="15" t="str">
        <f aca="false">IF(A224="","",ROUND(C224-F224,2))</f>
        <v/>
      </c>
    </row>
    <row r="225" customFormat="false" ht="15" hidden="false" customHeight="false" outlineLevel="0" collapsed="false">
      <c r="A225" s="20" t="str">
        <f aca="false">IF(A224="","",IF(G224&lt;=0.005,"",A224+1))</f>
        <v/>
      </c>
      <c r="B225" s="21" t="str">
        <f aca="false">IF(A225="","",EDATE($B$6,A225-1))</f>
        <v/>
      </c>
      <c r="C225" s="15" t="str">
        <f aca="false">IF(A225="","",G224)</f>
        <v/>
      </c>
      <c r="D225" s="15" t="str">
        <f aca="false">IF(A225="","",IF(A225&gt;=$B$4,C225+E225,MIN($B$8+$B$5,C225+E225)))</f>
        <v/>
      </c>
      <c r="E225" s="15" t="str">
        <f aca="false">IF(A225="","",ROUND(C225*$B$3/100/12,2))</f>
        <v/>
      </c>
      <c r="F225" s="15" t="str">
        <f aca="false">IF(A225="","",D225-E225)</f>
        <v/>
      </c>
      <c r="G225" s="15" t="str">
        <f aca="false">IF(A225="","",ROUND(C225-F225,2))</f>
        <v/>
      </c>
    </row>
    <row r="226" customFormat="false" ht="15" hidden="false" customHeight="false" outlineLevel="0" collapsed="false">
      <c r="A226" s="20" t="str">
        <f aca="false">IF(A225="","",IF(G225&lt;=0.005,"",A225+1))</f>
        <v/>
      </c>
      <c r="B226" s="21" t="str">
        <f aca="false">IF(A226="","",EDATE($B$6,A226-1))</f>
        <v/>
      </c>
      <c r="C226" s="15" t="str">
        <f aca="false">IF(A226="","",G225)</f>
        <v/>
      </c>
      <c r="D226" s="15" t="str">
        <f aca="false">IF(A226="","",IF(A226&gt;=$B$4,C226+E226,MIN($B$8+$B$5,C226+E226)))</f>
        <v/>
      </c>
      <c r="E226" s="15" t="str">
        <f aca="false">IF(A226="","",ROUND(C226*$B$3/100/12,2))</f>
        <v/>
      </c>
      <c r="F226" s="15" t="str">
        <f aca="false">IF(A226="","",D226-E226)</f>
        <v/>
      </c>
      <c r="G226" s="15" t="str">
        <f aca="false">IF(A226="","",ROUND(C226-F226,2))</f>
        <v/>
      </c>
    </row>
    <row r="227" customFormat="false" ht="15" hidden="false" customHeight="false" outlineLevel="0" collapsed="false">
      <c r="A227" s="20" t="str">
        <f aca="false">IF(A226="","",IF(G226&lt;=0.005,"",A226+1))</f>
        <v/>
      </c>
      <c r="B227" s="21" t="str">
        <f aca="false">IF(A227="","",EDATE($B$6,A227-1))</f>
        <v/>
      </c>
      <c r="C227" s="15" t="str">
        <f aca="false">IF(A227="","",G226)</f>
        <v/>
      </c>
      <c r="D227" s="15" t="str">
        <f aca="false">IF(A227="","",IF(A227&gt;=$B$4,C227+E227,MIN($B$8+$B$5,C227+E227)))</f>
        <v/>
      </c>
      <c r="E227" s="15" t="str">
        <f aca="false">IF(A227="","",ROUND(C227*$B$3/100/12,2))</f>
        <v/>
      </c>
      <c r="F227" s="15" t="str">
        <f aca="false">IF(A227="","",D227-E227)</f>
        <v/>
      </c>
      <c r="G227" s="15" t="str">
        <f aca="false">IF(A227="","",ROUND(C227-F227,2))</f>
        <v/>
      </c>
    </row>
    <row r="228" customFormat="false" ht="15" hidden="false" customHeight="false" outlineLevel="0" collapsed="false">
      <c r="A228" s="20" t="str">
        <f aca="false">IF(A227="","",IF(G227&lt;=0.005,"",A227+1))</f>
        <v/>
      </c>
      <c r="B228" s="21" t="str">
        <f aca="false">IF(A228="","",EDATE($B$6,A228-1))</f>
        <v/>
      </c>
      <c r="C228" s="15" t="str">
        <f aca="false">IF(A228="","",G227)</f>
        <v/>
      </c>
      <c r="D228" s="15" t="str">
        <f aca="false">IF(A228="","",IF(A228&gt;=$B$4,C228+E228,MIN($B$8+$B$5,C228+E228)))</f>
        <v/>
      </c>
      <c r="E228" s="15" t="str">
        <f aca="false">IF(A228="","",ROUND(C228*$B$3/100/12,2))</f>
        <v/>
      </c>
      <c r="F228" s="15" t="str">
        <f aca="false">IF(A228="","",D228-E228)</f>
        <v/>
      </c>
      <c r="G228" s="15" t="str">
        <f aca="false">IF(A228="","",ROUND(C228-F228,2))</f>
        <v/>
      </c>
    </row>
    <row r="229" customFormat="false" ht="15" hidden="false" customHeight="false" outlineLevel="0" collapsed="false">
      <c r="A229" s="20" t="str">
        <f aca="false">IF(A228="","",IF(G228&lt;=0.005,"",A228+1))</f>
        <v/>
      </c>
      <c r="B229" s="21" t="str">
        <f aca="false">IF(A229="","",EDATE($B$6,A229-1))</f>
        <v/>
      </c>
      <c r="C229" s="15" t="str">
        <f aca="false">IF(A229="","",G228)</f>
        <v/>
      </c>
      <c r="D229" s="15" t="str">
        <f aca="false">IF(A229="","",IF(A229&gt;=$B$4,C229+E229,MIN($B$8+$B$5,C229+E229)))</f>
        <v/>
      </c>
      <c r="E229" s="15" t="str">
        <f aca="false">IF(A229="","",ROUND(C229*$B$3/100/12,2))</f>
        <v/>
      </c>
      <c r="F229" s="15" t="str">
        <f aca="false">IF(A229="","",D229-E229)</f>
        <v/>
      </c>
      <c r="G229" s="15" t="str">
        <f aca="false">IF(A229="","",ROUND(C229-F229,2))</f>
        <v/>
      </c>
    </row>
    <row r="230" customFormat="false" ht="15" hidden="false" customHeight="false" outlineLevel="0" collapsed="false">
      <c r="A230" s="20" t="str">
        <f aca="false">IF(A229="","",IF(G229&lt;=0.005,"",A229+1))</f>
        <v/>
      </c>
      <c r="B230" s="21" t="str">
        <f aca="false">IF(A230="","",EDATE($B$6,A230-1))</f>
        <v/>
      </c>
      <c r="C230" s="15" t="str">
        <f aca="false">IF(A230="","",G229)</f>
        <v/>
      </c>
      <c r="D230" s="15" t="str">
        <f aca="false">IF(A230="","",IF(A230&gt;=$B$4,C230+E230,MIN($B$8+$B$5,C230+E230)))</f>
        <v/>
      </c>
      <c r="E230" s="15" t="str">
        <f aca="false">IF(A230="","",ROUND(C230*$B$3/100/12,2))</f>
        <v/>
      </c>
      <c r="F230" s="15" t="str">
        <f aca="false">IF(A230="","",D230-E230)</f>
        <v/>
      </c>
      <c r="G230" s="15" t="str">
        <f aca="false">IF(A230="","",ROUND(C230-F230,2))</f>
        <v/>
      </c>
    </row>
    <row r="231" customFormat="false" ht="15" hidden="false" customHeight="false" outlineLevel="0" collapsed="false">
      <c r="A231" s="20" t="str">
        <f aca="false">IF(A230="","",IF(G230&lt;=0.005,"",A230+1))</f>
        <v/>
      </c>
      <c r="B231" s="21" t="str">
        <f aca="false">IF(A231="","",EDATE($B$6,A231-1))</f>
        <v/>
      </c>
      <c r="C231" s="15" t="str">
        <f aca="false">IF(A231="","",G230)</f>
        <v/>
      </c>
      <c r="D231" s="15" t="str">
        <f aca="false">IF(A231="","",IF(A231&gt;=$B$4,C231+E231,MIN($B$8+$B$5,C231+E231)))</f>
        <v/>
      </c>
      <c r="E231" s="15" t="str">
        <f aca="false">IF(A231="","",ROUND(C231*$B$3/100/12,2))</f>
        <v/>
      </c>
      <c r="F231" s="15" t="str">
        <f aca="false">IF(A231="","",D231-E231)</f>
        <v/>
      </c>
      <c r="G231" s="15" t="str">
        <f aca="false">IF(A231="","",ROUND(C231-F231,2))</f>
        <v/>
      </c>
    </row>
    <row r="232" customFormat="false" ht="15" hidden="false" customHeight="false" outlineLevel="0" collapsed="false">
      <c r="A232" s="20" t="str">
        <f aca="false">IF(A231="","",IF(G231&lt;=0.005,"",A231+1))</f>
        <v/>
      </c>
      <c r="B232" s="21" t="str">
        <f aca="false">IF(A232="","",EDATE($B$6,A232-1))</f>
        <v/>
      </c>
      <c r="C232" s="15" t="str">
        <f aca="false">IF(A232="","",G231)</f>
        <v/>
      </c>
      <c r="D232" s="15" t="str">
        <f aca="false">IF(A232="","",IF(A232&gt;=$B$4,C232+E232,MIN($B$8+$B$5,C232+E232)))</f>
        <v/>
      </c>
      <c r="E232" s="15" t="str">
        <f aca="false">IF(A232="","",ROUND(C232*$B$3/100/12,2))</f>
        <v/>
      </c>
      <c r="F232" s="15" t="str">
        <f aca="false">IF(A232="","",D232-E232)</f>
        <v/>
      </c>
      <c r="G232" s="15" t="str">
        <f aca="false">IF(A232="","",ROUND(C232-F232,2))</f>
        <v/>
      </c>
    </row>
    <row r="233" customFormat="false" ht="15" hidden="false" customHeight="false" outlineLevel="0" collapsed="false">
      <c r="A233" s="20" t="str">
        <f aca="false">IF(A232="","",IF(G232&lt;=0.005,"",A232+1))</f>
        <v/>
      </c>
      <c r="B233" s="21" t="str">
        <f aca="false">IF(A233="","",EDATE($B$6,A233-1))</f>
        <v/>
      </c>
      <c r="C233" s="15" t="str">
        <f aca="false">IF(A233="","",G232)</f>
        <v/>
      </c>
      <c r="D233" s="15" t="str">
        <f aca="false">IF(A233="","",IF(A233&gt;=$B$4,C233+E233,MIN($B$8+$B$5,C233+E233)))</f>
        <v/>
      </c>
      <c r="E233" s="15" t="str">
        <f aca="false">IF(A233="","",ROUND(C233*$B$3/100/12,2))</f>
        <v/>
      </c>
      <c r="F233" s="15" t="str">
        <f aca="false">IF(A233="","",D233-E233)</f>
        <v/>
      </c>
      <c r="G233" s="15" t="str">
        <f aca="false">IF(A233="","",ROUND(C233-F233,2))</f>
        <v/>
      </c>
    </row>
    <row r="234" customFormat="false" ht="15" hidden="false" customHeight="false" outlineLevel="0" collapsed="false">
      <c r="A234" s="20" t="str">
        <f aca="false">IF(A233="","",IF(G233&lt;=0.005,"",A233+1))</f>
        <v/>
      </c>
      <c r="B234" s="21" t="str">
        <f aca="false">IF(A234="","",EDATE($B$6,A234-1))</f>
        <v/>
      </c>
      <c r="C234" s="15" t="str">
        <f aca="false">IF(A234="","",G233)</f>
        <v/>
      </c>
      <c r="D234" s="15" t="str">
        <f aca="false">IF(A234="","",IF(A234&gt;=$B$4,C234+E234,MIN($B$8+$B$5,C234+E234)))</f>
        <v/>
      </c>
      <c r="E234" s="15" t="str">
        <f aca="false">IF(A234="","",ROUND(C234*$B$3/100/12,2))</f>
        <v/>
      </c>
      <c r="F234" s="15" t="str">
        <f aca="false">IF(A234="","",D234-E234)</f>
        <v/>
      </c>
      <c r="G234" s="15" t="str">
        <f aca="false">IF(A234="","",ROUND(C234-F234,2))</f>
        <v/>
      </c>
    </row>
    <row r="235" customFormat="false" ht="15" hidden="false" customHeight="false" outlineLevel="0" collapsed="false">
      <c r="A235" s="20" t="str">
        <f aca="false">IF(A234="","",IF(G234&lt;=0.005,"",A234+1))</f>
        <v/>
      </c>
      <c r="B235" s="21" t="str">
        <f aca="false">IF(A235="","",EDATE($B$6,A235-1))</f>
        <v/>
      </c>
      <c r="C235" s="15" t="str">
        <f aca="false">IF(A235="","",G234)</f>
        <v/>
      </c>
      <c r="D235" s="15" t="str">
        <f aca="false">IF(A235="","",IF(A235&gt;=$B$4,C235+E235,MIN($B$8+$B$5,C235+E235)))</f>
        <v/>
      </c>
      <c r="E235" s="15" t="str">
        <f aca="false">IF(A235="","",ROUND(C235*$B$3/100/12,2))</f>
        <v/>
      </c>
      <c r="F235" s="15" t="str">
        <f aca="false">IF(A235="","",D235-E235)</f>
        <v/>
      </c>
      <c r="G235" s="15" t="str">
        <f aca="false">IF(A235="","",ROUND(C235-F235,2))</f>
        <v/>
      </c>
    </row>
    <row r="236" customFormat="false" ht="15" hidden="false" customHeight="false" outlineLevel="0" collapsed="false">
      <c r="A236" s="20" t="str">
        <f aca="false">IF(A235="","",IF(G235&lt;=0.005,"",A235+1))</f>
        <v/>
      </c>
      <c r="B236" s="21" t="str">
        <f aca="false">IF(A236="","",EDATE($B$6,A236-1))</f>
        <v/>
      </c>
      <c r="C236" s="15" t="str">
        <f aca="false">IF(A236="","",G235)</f>
        <v/>
      </c>
      <c r="D236" s="15" t="str">
        <f aca="false">IF(A236="","",IF(A236&gt;=$B$4,C236+E236,MIN($B$8+$B$5,C236+E236)))</f>
        <v/>
      </c>
      <c r="E236" s="15" t="str">
        <f aca="false">IF(A236="","",ROUND(C236*$B$3/100/12,2))</f>
        <v/>
      </c>
      <c r="F236" s="15" t="str">
        <f aca="false">IF(A236="","",D236-E236)</f>
        <v/>
      </c>
      <c r="G236" s="15" t="str">
        <f aca="false">IF(A236="","",ROUND(C236-F236,2))</f>
        <v/>
      </c>
    </row>
    <row r="237" customFormat="false" ht="15" hidden="false" customHeight="false" outlineLevel="0" collapsed="false">
      <c r="A237" s="20" t="str">
        <f aca="false">IF(A236="","",IF(G236&lt;=0.005,"",A236+1))</f>
        <v/>
      </c>
      <c r="B237" s="21" t="str">
        <f aca="false">IF(A237="","",EDATE($B$6,A237-1))</f>
        <v/>
      </c>
      <c r="C237" s="15" t="str">
        <f aca="false">IF(A237="","",G236)</f>
        <v/>
      </c>
      <c r="D237" s="15" t="str">
        <f aca="false">IF(A237="","",IF(A237&gt;=$B$4,C237+E237,MIN($B$8+$B$5,C237+E237)))</f>
        <v/>
      </c>
      <c r="E237" s="15" t="str">
        <f aca="false">IF(A237="","",ROUND(C237*$B$3/100/12,2))</f>
        <v/>
      </c>
      <c r="F237" s="15" t="str">
        <f aca="false">IF(A237="","",D237-E237)</f>
        <v/>
      </c>
      <c r="G237" s="15" t="str">
        <f aca="false">IF(A237="","",ROUND(C237-F237,2))</f>
        <v/>
      </c>
    </row>
    <row r="238" customFormat="false" ht="15" hidden="false" customHeight="false" outlineLevel="0" collapsed="false">
      <c r="A238" s="20" t="str">
        <f aca="false">IF(A237="","",IF(G237&lt;=0.005,"",A237+1))</f>
        <v/>
      </c>
      <c r="B238" s="21" t="str">
        <f aca="false">IF(A238="","",EDATE($B$6,A238-1))</f>
        <v/>
      </c>
      <c r="C238" s="15" t="str">
        <f aca="false">IF(A238="","",G237)</f>
        <v/>
      </c>
      <c r="D238" s="15" t="str">
        <f aca="false">IF(A238="","",IF(A238&gt;=$B$4,C238+E238,MIN($B$8+$B$5,C238+E238)))</f>
        <v/>
      </c>
      <c r="E238" s="15" t="str">
        <f aca="false">IF(A238="","",ROUND(C238*$B$3/100/12,2))</f>
        <v/>
      </c>
      <c r="F238" s="15" t="str">
        <f aca="false">IF(A238="","",D238-E238)</f>
        <v/>
      </c>
      <c r="G238" s="15" t="str">
        <f aca="false">IF(A238="","",ROUND(C238-F238,2))</f>
        <v/>
      </c>
    </row>
    <row r="239" customFormat="false" ht="15" hidden="false" customHeight="false" outlineLevel="0" collapsed="false">
      <c r="A239" s="20" t="str">
        <f aca="false">IF(A238="","",IF(G238&lt;=0.005,"",A238+1))</f>
        <v/>
      </c>
      <c r="B239" s="21" t="str">
        <f aca="false">IF(A239="","",EDATE($B$6,A239-1))</f>
        <v/>
      </c>
      <c r="C239" s="15" t="str">
        <f aca="false">IF(A239="","",G238)</f>
        <v/>
      </c>
      <c r="D239" s="15" t="str">
        <f aca="false">IF(A239="","",IF(A239&gt;=$B$4,C239+E239,MIN($B$8+$B$5,C239+E239)))</f>
        <v/>
      </c>
      <c r="E239" s="15" t="str">
        <f aca="false">IF(A239="","",ROUND(C239*$B$3/100/12,2))</f>
        <v/>
      </c>
      <c r="F239" s="15" t="str">
        <f aca="false">IF(A239="","",D239-E239)</f>
        <v/>
      </c>
      <c r="G239" s="15" t="str">
        <f aca="false">IF(A239="","",ROUND(C239-F239,2))</f>
        <v/>
      </c>
    </row>
    <row r="240" customFormat="false" ht="15" hidden="false" customHeight="false" outlineLevel="0" collapsed="false">
      <c r="A240" s="20" t="str">
        <f aca="false">IF(A239="","",IF(G239&lt;=0.005,"",A239+1))</f>
        <v/>
      </c>
      <c r="B240" s="21" t="str">
        <f aca="false">IF(A240="","",EDATE($B$6,A240-1))</f>
        <v/>
      </c>
      <c r="C240" s="15" t="str">
        <f aca="false">IF(A240="","",G239)</f>
        <v/>
      </c>
      <c r="D240" s="15" t="str">
        <f aca="false">IF(A240="","",IF(A240&gt;=$B$4,C240+E240,MIN($B$8+$B$5,C240+E240)))</f>
        <v/>
      </c>
      <c r="E240" s="15" t="str">
        <f aca="false">IF(A240="","",ROUND(C240*$B$3/100/12,2))</f>
        <v/>
      </c>
      <c r="F240" s="15" t="str">
        <f aca="false">IF(A240="","",D240-E240)</f>
        <v/>
      </c>
      <c r="G240" s="15" t="str">
        <f aca="false">IF(A240="","",ROUND(C240-F240,2))</f>
        <v/>
      </c>
    </row>
    <row r="241" customFormat="false" ht="15" hidden="false" customHeight="false" outlineLevel="0" collapsed="false">
      <c r="A241" s="20" t="str">
        <f aca="false">IF(A240="","",IF(G240&lt;=0.005,"",A240+1))</f>
        <v/>
      </c>
      <c r="B241" s="21" t="str">
        <f aca="false">IF(A241="","",EDATE($B$6,A241-1))</f>
        <v/>
      </c>
      <c r="C241" s="15" t="str">
        <f aca="false">IF(A241="","",G240)</f>
        <v/>
      </c>
      <c r="D241" s="15" t="str">
        <f aca="false">IF(A241="","",IF(A241&gt;=$B$4,C241+E241,MIN($B$8+$B$5,C241+E241)))</f>
        <v/>
      </c>
      <c r="E241" s="15" t="str">
        <f aca="false">IF(A241="","",ROUND(C241*$B$3/100/12,2))</f>
        <v/>
      </c>
      <c r="F241" s="15" t="str">
        <f aca="false">IF(A241="","",D241-E241)</f>
        <v/>
      </c>
      <c r="G241" s="15" t="str">
        <f aca="false">IF(A241="","",ROUND(C241-F241,2))</f>
        <v/>
      </c>
    </row>
    <row r="242" customFormat="false" ht="15" hidden="false" customHeight="false" outlineLevel="0" collapsed="false">
      <c r="A242" s="20" t="str">
        <f aca="false">IF(A241="","",IF(G241&lt;=0.005,"",A241+1))</f>
        <v/>
      </c>
      <c r="B242" s="21" t="str">
        <f aca="false">IF(A242="","",EDATE($B$6,A242-1))</f>
        <v/>
      </c>
      <c r="C242" s="15" t="str">
        <f aca="false">IF(A242="","",G241)</f>
        <v/>
      </c>
      <c r="D242" s="15" t="str">
        <f aca="false">IF(A242="","",IF(A242&gt;=$B$4,C242+E242,MIN($B$8+$B$5,C242+E242)))</f>
        <v/>
      </c>
      <c r="E242" s="15" t="str">
        <f aca="false">IF(A242="","",ROUND(C242*$B$3/100/12,2))</f>
        <v/>
      </c>
      <c r="F242" s="15" t="str">
        <f aca="false">IF(A242="","",D242-E242)</f>
        <v/>
      </c>
      <c r="G242" s="15" t="str">
        <f aca="false">IF(A242="","",ROUND(C242-F242,2))</f>
        <v/>
      </c>
    </row>
    <row r="243" customFormat="false" ht="15" hidden="false" customHeight="false" outlineLevel="0" collapsed="false">
      <c r="A243" s="20" t="str">
        <f aca="false">IF(A242="","",IF(G242&lt;=0.005,"",A242+1))</f>
        <v/>
      </c>
      <c r="B243" s="21" t="str">
        <f aca="false">IF(A243="","",EDATE($B$6,A243-1))</f>
        <v/>
      </c>
      <c r="C243" s="15" t="str">
        <f aca="false">IF(A243="","",G242)</f>
        <v/>
      </c>
      <c r="D243" s="15" t="str">
        <f aca="false">IF(A243="","",IF(A243&gt;=$B$4,C243+E243,MIN($B$8+$B$5,C243+E243)))</f>
        <v/>
      </c>
      <c r="E243" s="15" t="str">
        <f aca="false">IF(A243="","",ROUND(C243*$B$3/100/12,2))</f>
        <v/>
      </c>
      <c r="F243" s="15" t="str">
        <f aca="false">IF(A243="","",D243-E243)</f>
        <v/>
      </c>
      <c r="G243" s="15" t="str">
        <f aca="false">IF(A243="","",ROUND(C243-F243,2))</f>
        <v/>
      </c>
    </row>
    <row r="244" customFormat="false" ht="15" hidden="false" customHeight="false" outlineLevel="0" collapsed="false">
      <c r="A244" s="20" t="str">
        <f aca="false">IF(A243="","",IF(G243&lt;=0.005,"",A243+1))</f>
        <v/>
      </c>
      <c r="B244" s="21" t="str">
        <f aca="false">IF(A244="","",EDATE($B$6,A244-1))</f>
        <v/>
      </c>
      <c r="C244" s="15" t="str">
        <f aca="false">IF(A244="","",G243)</f>
        <v/>
      </c>
      <c r="D244" s="15" t="str">
        <f aca="false">IF(A244="","",IF(A244&gt;=$B$4,C244+E244,MIN($B$8+$B$5,C244+E244)))</f>
        <v/>
      </c>
      <c r="E244" s="15" t="str">
        <f aca="false">IF(A244="","",ROUND(C244*$B$3/100/12,2))</f>
        <v/>
      </c>
      <c r="F244" s="15" t="str">
        <f aca="false">IF(A244="","",D244-E244)</f>
        <v/>
      </c>
      <c r="G244" s="15" t="str">
        <f aca="false">IF(A244="","",ROUND(C244-F244,2))</f>
        <v/>
      </c>
    </row>
    <row r="245" customFormat="false" ht="15" hidden="false" customHeight="false" outlineLevel="0" collapsed="false">
      <c r="A245" s="20" t="str">
        <f aca="false">IF(A244="","",IF(G244&lt;=0.005,"",A244+1))</f>
        <v/>
      </c>
      <c r="B245" s="21" t="str">
        <f aca="false">IF(A245="","",EDATE($B$6,A245-1))</f>
        <v/>
      </c>
      <c r="C245" s="15" t="str">
        <f aca="false">IF(A245="","",G244)</f>
        <v/>
      </c>
      <c r="D245" s="15" t="str">
        <f aca="false">IF(A245="","",IF(A245&gt;=$B$4,C245+E245,MIN($B$8+$B$5,C245+E245)))</f>
        <v/>
      </c>
      <c r="E245" s="15" t="str">
        <f aca="false">IF(A245="","",ROUND(C245*$B$3/100/12,2))</f>
        <v/>
      </c>
      <c r="F245" s="15" t="str">
        <f aca="false">IF(A245="","",D245-E245)</f>
        <v/>
      </c>
      <c r="G245" s="15" t="str">
        <f aca="false">IF(A245="","",ROUND(C245-F245,2))</f>
        <v/>
      </c>
    </row>
    <row r="246" customFormat="false" ht="15" hidden="false" customHeight="false" outlineLevel="0" collapsed="false">
      <c r="A246" s="20" t="str">
        <f aca="false">IF(A245="","",IF(G245&lt;=0.005,"",A245+1))</f>
        <v/>
      </c>
      <c r="B246" s="21" t="str">
        <f aca="false">IF(A246="","",EDATE($B$6,A246-1))</f>
        <v/>
      </c>
      <c r="C246" s="15" t="str">
        <f aca="false">IF(A246="","",G245)</f>
        <v/>
      </c>
      <c r="D246" s="15" t="str">
        <f aca="false">IF(A246="","",IF(A246&gt;=$B$4,C246+E246,MIN($B$8+$B$5,C246+E246)))</f>
        <v/>
      </c>
      <c r="E246" s="15" t="str">
        <f aca="false">IF(A246="","",ROUND(C246*$B$3/100/12,2))</f>
        <v/>
      </c>
      <c r="F246" s="15" t="str">
        <f aca="false">IF(A246="","",D246-E246)</f>
        <v/>
      </c>
      <c r="G246" s="15" t="str">
        <f aca="false">IF(A246="","",ROUND(C246-F246,2))</f>
        <v/>
      </c>
    </row>
    <row r="247" customFormat="false" ht="15" hidden="false" customHeight="false" outlineLevel="0" collapsed="false">
      <c r="A247" s="20" t="str">
        <f aca="false">IF(A246="","",IF(G246&lt;=0.005,"",A246+1))</f>
        <v/>
      </c>
      <c r="B247" s="21" t="str">
        <f aca="false">IF(A247="","",EDATE($B$6,A247-1))</f>
        <v/>
      </c>
      <c r="C247" s="15" t="str">
        <f aca="false">IF(A247="","",G246)</f>
        <v/>
      </c>
      <c r="D247" s="15" t="str">
        <f aca="false">IF(A247="","",IF(A247&gt;=$B$4,C247+E247,MIN($B$8+$B$5,C247+E247)))</f>
        <v/>
      </c>
      <c r="E247" s="15" t="str">
        <f aca="false">IF(A247="","",ROUND(C247*$B$3/100/12,2))</f>
        <v/>
      </c>
      <c r="F247" s="15" t="str">
        <f aca="false">IF(A247="","",D247-E247)</f>
        <v/>
      </c>
      <c r="G247" s="15" t="str">
        <f aca="false">IF(A247="","",ROUND(C247-F247,2))</f>
        <v/>
      </c>
    </row>
    <row r="248" customFormat="false" ht="15" hidden="false" customHeight="false" outlineLevel="0" collapsed="false">
      <c r="A248" s="20" t="str">
        <f aca="false">IF(A247="","",IF(G247&lt;=0.005,"",A247+1))</f>
        <v/>
      </c>
      <c r="B248" s="21" t="str">
        <f aca="false">IF(A248="","",EDATE($B$6,A248-1))</f>
        <v/>
      </c>
      <c r="C248" s="15" t="str">
        <f aca="false">IF(A248="","",G247)</f>
        <v/>
      </c>
      <c r="D248" s="15" t="str">
        <f aca="false">IF(A248="","",IF(A248&gt;=$B$4,C248+E248,MIN($B$8+$B$5,C248+E248)))</f>
        <v/>
      </c>
      <c r="E248" s="15" t="str">
        <f aca="false">IF(A248="","",ROUND(C248*$B$3/100/12,2))</f>
        <v/>
      </c>
      <c r="F248" s="15" t="str">
        <f aca="false">IF(A248="","",D248-E248)</f>
        <v/>
      </c>
      <c r="G248" s="15" t="str">
        <f aca="false">IF(A248="","",ROUND(C248-F248,2))</f>
        <v/>
      </c>
    </row>
    <row r="249" customFormat="false" ht="15" hidden="false" customHeight="false" outlineLevel="0" collapsed="false">
      <c r="A249" s="20" t="str">
        <f aca="false">IF(A248="","",IF(G248&lt;=0.005,"",A248+1))</f>
        <v/>
      </c>
      <c r="B249" s="21" t="str">
        <f aca="false">IF(A249="","",EDATE($B$6,A249-1))</f>
        <v/>
      </c>
      <c r="C249" s="15" t="str">
        <f aca="false">IF(A249="","",G248)</f>
        <v/>
      </c>
      <c r="D249" s="15" t="str">
        <f aca="false">IF(A249="","",IF(A249&gt;=$B$4,C249+E249,MIN($B$8+$B$5,C249+E249)))</f>
        <v/>
      </c>
      <c r="E249" s="15" t="str">
        <f aca="false">IF(A249="","",ROUND(C249*$B$3/100/12,2))</f>
        <v/>
      </c>
      <c r="F249" s="15" t="str">
        <f aca="false">IF(A249="","",D249-E249)</f>
        <v/>
      </c>
      <c r="G249" s="15" t="str">
        <f aca="false">IF(A249="","",ROUND(C249-F249,2))</f>
        <v/>
      </c>
    </row>
    <row r="250" customFormat="false" ht="15" hidden="false" customHeight="false" outlineLevel="0" collapsed="false">
      <c r="A250" s="20" t="str">
        <f aca="false">IF(A249="","",IF(G249&lt;=0.005,"",A249+1))</f>
        <v/>
      </c>
      <c r="B250" s="21" t="str">
        <f aca="false">IF(A250="","",EDATE($B$6,A250-1))</f>
        <v/>
      </c>
      <c r="C250" s="15" t="str">
        <f aca="false">IF(A250="","",G249)</f>
        <v/>
      </c>
      <c r="D250" s="15" t="str">
        <f aca="false">IF(A250="","",IF(A250&gt;=$B$4,C250+E250,MIN($B$8+$B$5,C250+E250)))</f>
        <v/>
      </c>
      <c r="E250" s="15" t="str">
        <f aca="false">IF(A250="","",ROUND(C250*$B$3/100/12,2))</f>
        <v/>
      </c>
      <c r="F250" s="15" t="str">
        <f aca="false">IF(A250="","",D250-E250)</f>
        <v/>
      </c>
      <c r="G250" s="15" t="str">
        <f aca="false">IF(A250="","",ROUND(C250-F250,2))</f>
        <v/>
      </c>
    </row>
    <row r="251" customFormat="false" ht="15" hidden="false" customHeight="false" outlineLevel="0" collapsed="false">
      <c r="A251" s="20" t="str">
        <f aca="false">IF(A250="","",IF(G250&lt;=0.005,"",A250+1))</f>
        <v/>
      </c>
      <c r="B251" s="21" t="str">
        <f aca="false">IF(A251="","",EDATE($B$6,A251-1))</f>
        <v/>
      </c>
      <c r="C251" s="15" t="str">
        <f aca="false">IF(A251="","",G250)</f>
        <v/>
      </c>
      <c r="D251" s="15" t="str">
        <f aca="false">IF(A251="","",IF(A251&gt;=$B$4,C251+E251,MIN($B$8+$B$5,C251+E251)))</f>
        <v/>
      </c>
      <c r="E251" s="15" t="str">
        <f aca="false">IF(A251="","",ROUND(C251*$B$3/100/12,2))</f>
        <v/>
      </c>
      <c r="F251" s="15" t="str">
        <f aca="false">IF(A251="","",D251-E251)</f>
        <v/>
      </c>
      <c r="G251" s="15" t="str">
        <f aca="false">IF(A251="","",ROUND(C251-F251,2))</f>
        <v/>
      </c>
    </row>
    <row r="252" customFormat="false" ht="15" hidden="false" customHeight="false" outlineLevel="0" collapsed="false">
      <c r="A252" s="20" t="str">
        <f aca="false">IF(A251="","",IF(G251&lt;=0.005,"",A251+1))</f>
        <v/>
      </c>
      <c r="B252" s="21" t="str">
        <f aca="false">IF(A252="","",EDATE($B$6,A252-1))</f>
        <v/>
      </c>
      <c r="C252" s="15" t="str">
        <f aca="false">IF(A252="","",G251)</f>
        <v/>
      </c>
      <c r="D252" s="15" t="str">
        <f aca="false">IF(A252="","",IF(A252&gt;=$B$4,C252+E252,MIN($B$8+$B$5,C252+E252)))</f>
        <v/>
      </c>
      <c r="E252" s="15" t="str">
        <f aca="false">IF(A252="","",ROUND(C252*$B$3/100/12,2))</f>
        <v/>
      </c>
      <c r="F252" s="15" t="str">
        <f aca="false">IF(A252="","",D252-E252)</f>
        <v/>
      </c>
      <c r="G252" s="15" t="str">
        <f aca="false">IF(A252="","",ROUND(C252-F252,2))</f>
        <v/>
      </c>
    </row>
    <row r="253" customFormat="false" ht="15" hidden="false" customHeight="false" outlineLevel="0" collapsed="false">
      <c r="A253" s="20" t="str">
        <f aca="false">IF(A252="","",IF(G252&lt;=0.005,"",A252+1))</f>
        <v/>
      </c>
      <c r="B253" s="21" t="str">
        <f aca="false">IF(A253="","",EDATE($B$6,A253-1))</f>
        <v/>
      </c>
      <c r="C253" s="15" t="str">
        <f aca="false">IF(A253="","",G252)</f>
        <v/>
      </c>
      <c r="D253" s="15" t="str">
        <f aca="false">IF(A253="","",IF(A253&gt;=$B$4,C253+E253,MIN($B$8+$B$5,C253+E253)))</f>
        <v/>
      </c>
      <c r="E253" s="15" t="str">
        <f aca="false">IF(A253="","",ROUND(C253*$B$3/100/12,2))</f>
        <v/>
      </c>
      <c r="F253" s="15" t="str">
        <f aca="false">IF(A253="","",D253-E253)</f>
        <v/>
      </c>
      <c r="G253" s="15" t="str">
        <f aca="false">IF(A253="","",ROUND(C253-F253,2))</f>
        <v/>
      </c>
    </row>
    <row r="254" customFormat="false" ht="15" hidden="false" customHeight="false" outlineLevel="0" collapsed="false">
      <c r="A254" s="20" t="str">
        <f aca="false">IF(A253="","",IF(G253&lt;=0.005,"",A253+1))</f>
        <v/>
      </c>
      <c r="B254" s="21" t="str">
        <f aca="false">IF(A254="","",EDATE($B$6,A254-1))</f>
        <v/>
      </c>
      <c r="C254" s="15" t="str">
        <f aca="false">IF(A254="","",G253)</f>
        <v/>
      </c>
      <c r="D254" s="15" t="str">
        <f aca="false">IF(A254="","",IF(A254&gt;=$B$4,C254+E254,MIN($B$8+$B$5,C254+E254)))</f>
        <v/>
      </c>
      <c r="E254" s="15" t="str">
        <f aca="false">IF(A254="","",ROUND(C254*$B$3/100/12,2))</f>
        <v/>
      </c>
      <c r="F254" s="15" t="str">
        <f aca="false">IF(A254="","",D254-E254)</f>
        <v/>
      </c>
      <c r="G254" s="15" t="str">
        <f aca="false">IF(A254="","",ROUND(C254-F254,2))</f>
        <v/>
      </c>
    </row>
    <row r="255" customFormat="false" ht="15" hidden="false" customHeight="false" outlineLevel="0" collapsed="false">
      <c r="A255" s="20" t="str">
        <f aca="false">IF(A254="","",IF(G254&lt;=0.005,"",A254+1))</f>
        <v/>
      </c>
      <c r="B255" s="21" t="str">
        <f aca="false">IF(A255="","",EDATE($B$6,A255-1))</f>
        <v/>
      </c>
      <c r="C255" s="15" t="str">
        <f aca="false">IF(A255="","",G254)</f>
        <v/>
      </c>
      <c r="D255" s="15" t="str">
        <f aca="false">IF(A255="","",IF(A255&gt;=$B$4,C255+E255,MIN($B$8+$B$5,C255+E255)))</f>
        <v/>
      </c>
      <c r="E255" s="15" t="str">
        <f aca="false">IF(A255="","",ROUND(C255*$B$3/100/12,2))</f>
        <v/>
      </c>
      <c r="F255" s="15" t="str">
        <f aca="false">IF(A255="","",D255-E255)</f>
        <v/>
      </c>
      <c r="G255" s="15" t="str">
        <f aca="false">IF(A255="","",ROUND(C255-F255,2))</f>
        <v/>
      </c>
    </row>
    <row r="256" customFormat="false" ht="15" hidden="false" customHeight="false" outlineLevel="0" collapsed="false">
      <c r="A256" s="20" t="str">
        <f aca="false">IF(A255="","",IF(G255&lt;=0.005,"",A255+1))</f>
        <v/>
      </c>
      <c r="B256" s="21" t="str">
        <f aca="false">IF(A256="","",EDATE($B$6,A256-1))</f>
        <v/>
      </c>
      <c r="C256" s="15" t="str">
        <f aca="false">IF(A256="","",G255)</f>
        <v/>
      </c>
      <c r="D256" s="15" t="str">
        <f aca="false">IF(A256="","",IF(A256&gt;=$B$4,C256+E256,MIN($B$8+$B$5,C256+E256)))</f>
        <v/>
      </c>
      <c r="E256" s="15" t="str">
        <f aca="false">IF(A256="","",ROUND(C256*$B$3/100/12,2))</f>
        <v/>
      </c>
      <c r="F256" s="15" t="str">
        <f aca="false">IF(A256="","",D256-E256)</f>
        <v/>
      </c>
      <c r="G256" s="15" t="str">
        <f aca="false">IF(A256="","",ROUND(C256-F256,2))</f>
        <v/>
      </c>
    </row>
    <row r="257" customFormat="false" ht="15" hidden="false" customHeight="false" outlineLevel="0" collapsed="false">
      <c r="A257" s="20" t="str">
        <f aca="false">IF(A256="","",IF(G256&lt;=0.005,"",A256+1))</f>
        <v/>
      </c>
      <c r="B257" s="21" t="str">
        <f aca="false">IF(A257="","",EDATE($B$6,A257-1))</f>
        <v/>
      </c>
      <c r="C257" s="15" t="str">
        <f aca="false">IF(A257="","",G256)</f>
        <v/>
      </c>
      <c r="D257" s="15" t="str">
        <f aca="false">IF(A257="","",IF(A257&gt;=$B$4,C257+E257,MIN($B$8+$B$5,C257+E257)))</f>
        <v/>
      </c>
      <c r="E257" s="15" t="str">
        <f aca="false">IF(A257="","",ROUND(C257*$B$3/100/12,2))</f>
        <v/>
      </c>
      <c r="F257" s="15" t="str">
        <f aca="false">IF(A257="","",D257-E257)</f>
        <v/>
      </c>
      <c r="G257" s="15" t="str">
        <f aca="false">IF(A257="","",ROUND(C257-F257,2))</f>
        <v/>
      </c>
    </row>
    <row r="258" customFormat="false" ht="15" hidden="false" customHeight="false" outlineLevel="0" collapsed="false">
      <c r="A258" s="20" t="str">
        <f aca="false">IF(A257="","",IF(G257&lt;=0.005,"",A257+1))</f>
        <v/>
      </c>
      <c r="B258" s="21" t="str">
        <f aca="false">IF(A258="","",EDATE($B$6,A258-1))</f>
        <v/>
      </c>
      <c r="C258" s="15" t="str">
        <f aca="false">IF(A258="","",G257)</f>
        <v/>
      </c>
      <c r="D258" s="15" t="str">
        <f aca="false">IF(A258="","",IF(A258&gt;=$B$4,C258+E258,MIN($B$8+$B$5,C258+E258)))</f>
        <v/>
      </c>
      <c r="E258" s="15" t="str">
        <f aca="false">IF(A258="","",ROUND(C258*$B$3/100/12,2))</f>
        <v/>
      </c>
      <c r="F258" s="15" t="str">
        <f aca="false">IF(A258="","",D258-E258)</f>
        <v/>
      </c>
      <c r="G258" s="15" t="str">
        <f aca="false">IF(A258="","",ROUND(C258-F258,2))</f>
        <v/>
      </c>
    </row>
    <row r="259" customFormat="false" ht="15" hidden="false" customHeight="false" outlineLevel="0" collapsed="false">
      <c r="A259" s="20" t="str">
        <f aca="false">IF(A258="","",IF(G258&lt;=0.005,"",A258+1))</f>
        <v/>
      </c>
      <c r="B259" s="21" t="str">
        <f aca="false">IF(A259="","",EDATE($B$6,A259-1))</f>
        <v/>
      </c>
      <c r="C259" s="15" t="str">
        <f aca="false">IF(A259="","",G258)</f>
        <v/>
      </c>
      <c r="D259" s="15" t="str">
        <f aca="false">IF(A259="","",IF(A259&gt;=$B$4,C259+E259,MIN($B$8+$B$5,C259+E259)))</f>
        <v/>
      </c>
      <c r="E259" s="15" t="str">
        <f aca="false">IF(A259="","",ROUND(C259*$B$3/100/12,2))</f>
        <v/>
      </c>
      <c r="F259" s="15" t="str">
        <f aca="false">IF(A259="","",D259-E259)</f>
        <v/>
      </c>
      <c r="G259" s="15" t="str">
        <f aca="false">IF(A259="","",ROUND(C259-F259,2))</f>
        <v/>
      </c>
    </row>
    <row r="260" customFormat="false" ht="15" hidden="false" customHeight="false" outlineLevel="0" collapsed="false">
      <c r="A260" s="20" t="str">
        <f aca="false">IF(A259="","",IF(G259&lt;=0.005,"",A259+1))</f>
        <v/>
      </c>
      <c r="B260" s="21" t="str">
        <f aca="false">IF(A260="","",EDATE($B$6,A260-1))</f>
        <v/>
      </c>
      <c r="C260" s="15" t="str">
        <f aca="false">IF(A260="","",G259)</f>
        <v/>
      </c>
      <c r="D260" s="15" t="str">
        <f aca="false">IF(A260="","",IF(A260&gt;=$B$4,C260+E260,MIN($B$8+$B$5,C260+E260)))</f>
        <v/>
      </c>
      <c r="E260" s="15" t="str">
        <f aca="false">IF(A260="","",ROUND(C260*$B$3/100/12,2))</f>
        <v/>
      </c>
      <c r="F260" s="15" t="str">
        <f aca="false">IF(A260="","",D260-E260)</f>
        <v/>
      </c>
      <c r="G260" s="15" t="str">
        <f aca="false">IF(A260="","",ROUND(C260-F260,2))</f>
        <v/>
      </c>
    </row>
    <row r="261" customFormat="false" ht="15" hidden="false" customHeight="false" outlineLevel="0" collapsed="false">
      <c r="A261" s="20" t="str">
        <f aca="false">IF(A260="","",IF(G260&lt;=0.005,"",A260+1))</f>
        <v/>
      </c>
      <c r="B261" s="21" t="str">
        <f aca="false">IF(A261="","",EDATE($B$6,A261-1))</f>
        <v/>
      </c>
      <c r="C261" s="15" t="str">
        <f aca="false">IF(A261="","",G260)</f>
        <v/>
      </c>
      <c r="D261" s="15" t="str">
        <f aca="false">IF(A261="","",IF(A261&gt;=$B$4,C261+E261,MIN($B$8+$B$5,C261+E261)))</f>
        <v/>
      </c>
      <c r="E261" s="15" t="str">
        <f aca="false">IF(A261="","",ROUND(C261*$B$3/100/12,2))</f>
        <v/>
      </c>
      <c r="F261" s="15" t="str">
        <f aca="false">IF(A261="","",D261-E261)</f>
        <v/>
      </c>
      <c r="G261" s="15" t="str">
        <f aca="false">IF(A261="","",ROUND(C261-F261,2))</f>
        <v/>
      </c>
    </row>
    <row r="262" customFormat="false" ht="15" hidden="false" customHeight="false" outlineLevel="0" collapsed="false">
      <c r="A262" s="20" t="str">
        <f aca="false">IF(A261="","",IF(G261&lt;=0.005,"",A261+1))</f>
        <v/>
      </c>
      <c r="B262" s="21" t="str">
        <f aca="false">IF(A262="","",EDATE($B$6,A262-1))</f>
        <v/>
      </c>
      <c r="C262" s="15" t="str">
        <f aca="false">IF(A262="","",G261)</f>
        <v/>
      </c>
      <c r="D262" s="15" t="str">
        <f aca="false">IF(A262="","",IF(A262&gt;=$B$4,C262+E262,MIN($B$8+$B$5,C262+E262)))</f>
        <v/>
      </c>
      <c r="E262" s="15" t="str">
        <f aca="false">IF(A262="","",ROUND(C262*$B$3/100/12,2))</f>
        <v/>
      </c>
      <c r="F262" s="15" t="str">
        <f aca="false">IF(A262="","",D262-E262)</f>
        <v/>
      </c>
      <c r="G262" s="15" t="str">
        <f aca="false">IF(A262="","",ROUND(C262-F262,2))</f>
        <v/>
      </c>
    </row>
    <row r="263" customFormat="false" ht="15" hidden="false" customHeight="false" outlineLevel="0" collapsed="false">
      <c r="A263" s="20" t="str">
        <f aca="false">IF(A262="","",IF(G262&lt;=0.005,"",A262+1))</f>
        <v/>
      </c>
      <c r="B263" s="21" t="str">
        <f aca="false">IF(A263="","",EDATE($B$6,A263-1))</f>
        <v/>
      </c>
      <c r="C263" s="15" t="str">
        <f aca="false">IF(A263="","",G262)</f>
        <v/>
      </c>
      <c r="D263" s="15" t="str">
        <f aca="false">IF(A263="","",IF(A263&gt;=$B$4,C263+E263,MIN($B$8+$B$5,C263+E263)))</f>
        <v/>
      </c>
      <c r="E263" s="15" t="str">
        <f aca="false">IF(A263="","",ROUND(C263*$B$3/100/12,2))</f>
        <v/>
      </c>
      <c r="F263" s="15" t="str">
        <f aca="false">IF(A263="","",D263-E263)</f>
        <v/>
      </c>
      <c r="G263" s="15" t="str">
        <f aca="false">IF(A263="","",ROUND(C263-F263,2))</f>
        <v/>
      </c>
    </row>
    <row r="264" customFormat="false" ht="15" hidden="false" customHeight="false" outlineLevel="0" collapsed="false">
      <c r="A264" s="20" t="str">
        <f aca="false">IF(A263="","",IF(G263&lt;=0.005,"",A263+1))</f>
        <v/>
      </c>
      <c r="B264" s="21" t="str">
        <f aca="false">IF(A264="","",EDATE($B$6,A264-1))</f>
        <v/>
      </c>
      <c r="C264" s="15" t="str">
        <f aca="false">IF(A264="","",G263)</f>
        <v/>
      </c>
      <c r="D264" s="15" t="str">
        <f aca="false">IF(A264="","",IF(A264&gt;=$B$4,C264+E264,MIN($B$8+$B$5,C264+E264)))</f>
        <v/>
      </c>
      <c r="E264" s="15" t="str">
        <f aca="false">IF(A264="","",ROUND(C264*$B$3/100/12,2))</f>
        <v/>
      </c>
      <c r="F264" s="15" t="str">
        <f aca="false">IF(A264="","",D264-E264)</f>
        <v/>
      </c>
      <c r="G264" s="15" t="str">
        <f aca="false">IF(A264="","",ROUND(C264-F264,2))</f>
        <v/>
      </c>
    </row>
    <row r="265" customFormat="false" ht="15" hidden="false" customHeight="false" outlineLevel="0" collapsed="false">
      <c r="A265" s="20" t="str">
        <f aca="false">IF(A264="","",IF(G264&lt;=0.005,"",A264+1))</f>
        <v/>
      </c>
      <c r="B265" s="21" t="str">
        <f aca="false">IF(A265="","",EDATE($B$6,A265-1))</f>
        <v/>
      </c>
      <c r="C265" s="15" t="str">
        <f aca="false">IF(A265="","",G264)</f>
        <v/>
      </c>
      <c r="D265" s="15" t="str">
        <f aca="false">IF(A265="","",IF(A265&gt;=$B$4,C265+E265,MIN($B$8+$B$5,C265+E265)))</f>
        <v/>
      </c>
      <c r="E265" s="15" t="str">
        <f aca="false">IF(A265="","",ROUND(C265*$B$3/100/12,2))</f>
        <v/>
      </c>
      <c r="F265" s="15" t="str">
        <f aca="false">IF(A265="","",D265-E265)</f>
        <v/>
      </c>
      <c r="G265" s="15" t="str">
        <f aca="false">IF(A265="","",ROUND(C265-F265,2))</f>
        <v/>
      </c>
    </row>
    <row r="266" customFormat="false" ht="15" hidden="false" customHeight="false" outlineLevel="0" collapsed="false">
      <c r="A266" s="20" t="str">
        <f aca="false">IF(A265="","",IF(G265&lt;=0.005,"",A265+1))</f>
        <v/>
      </c>
      <c r="B266" s="21" t="str">
        <f aca="false">IF(A266="","",EDATE($B$6,A266-1))</f>
        <v/>
      </c>
      <c r="C266" s="15" t="str">
        <f aca="false">IF(A266="","",G265)</f>
        <v/>
      </c>
      <c r="D266" s="15" t="str">
        <f aca="false">IF(A266="","",IF(A266&gt;=$B$4,C266+E266,MIN($B$8+$B$5,C266+E266)))</f>
        <v/>
      </c>
      <c r="E266" s="15" t="str">
        <f aca="false">IF(A266="","",ROUND(C266*$B$3/100/12,2))</f>
        <v/>
      </c>
      <c r="F266" s="15" t="str">
        <f aca="false">IF(A266="","",D266-E266)</f>
        <v/>
      </c>
      <c r="G266" s="15" t="str">
        <f aca="false">IF(A266="","",ROUND(C266-F266,2))</f>
        <v/>
      </c>
    </row>
    <row r="267" customFormat="false" ht="15" hidden="false" customHeight="false" outlineLevel="0" collapsed="false">
      <c r="A267" s="20" t="str">
        <f aca="false">IF(A266="","",IF(G266&lt;=0.005,"",A266+1))</f>
        <v/>
      </c>
      <c r="B267" s="21" t="str">
        <f aca="false">IF(A267="","",EDATE($B$6,A267-1))</f>
        <v/>
      </c>
      <c r="C267" s="15" t="str">
        <f aca="false">IF(A267="","",G266)</f>
        <v/>
      </c>
      <c r="D267" s="15" t="str">
        <f aca="false">IF(A267="","",IF(A267&gt;=$B$4,C267+E267,MIN($B$8+$B$5,C267+E267)))</f>
        <v/>
      </c>
      <c r="E267" s="15" t="str">
        <f aca="false">IF(A267="","",ROUND(C267*$B$3/100/12,2))</f>
        <v/>
      </c>
      <c r="F267" s="15" t="str">
        <f aca="false">IF(A267="","",D267-E267)</f>
        <v/>
      </c>
      <c r="G267" s="15" t="str">
        <f aca="false">IF(A267="","",ROUND(C267-F267,2))</f>
        <v/>
      </c>
    </row>
    <row r="268" customFormat="false" ht="15" hidden="false" customHeight="false" outlineLevel="0" collapsed="false">
      <c r="A268" s="20" t="str">
        <f aca="false">IF(A267="","",IF(G267&lt;=0.005,"",A267+1))</f>
        <v/>
      </c>
      <c r="B268" s="21" t="str">
        <f aca="false">IF(A268="","",EDATE($B$6,A268-1))</f>
        <v/>
      </c>
      <c r="C268" s="15" t="str">
        <f aca="false">IF(A268="","",G267)</f>
        <v/>
      </c>
      <c r="D268" s="15" t="str">
        <f aca="false">IF(A268="","",IF(A268&gt;=$B$4,C268+E268,MIN($B$8+$B$5,C268+E268)))</f>
        <v/>
      </c>
      <c r="E268" s="15" t="str">
        <f aca="false">IF(A268="","",ROUND(C268*$B$3/100/12,2))</f>
        <v/>
      </c>
      <c r="F268" s="15" t="str">
        <f aca="false">IF(A268="","",D268-E268)</f>
        <v/>
      </c>
      <c r="G268" s="15" t="str">
        <f aca="false">IF(A268="","",ROUND(C268-F268,2))</f>
        <v/>
      </c>
    </row>
    <row r="269" customFormat="false" ht="15" hidden="false" customHeight="false" outlineLevel="0" collapsed="false">
      <c r="A269" s="20" t="str">
        <f aca="false">IF(A268="","",IF(G268&lt;=0.005,"",A268+1))</f>
        <v/>
      </c>
      <c r="B269" s="21" t="str">
        <f aca="false">IF(A269="","",EDATE($B$6,A269-1))</f>
        <v/>
      </c>
      <c r="C269" s="15" t="str">
        <f aca="false">IF(A269="","",G268)</f>
        <v/>
      </c>
      <c r="D269" s="15" t="str">
        <f aca="false">IF(A269="","",IF(A269&gt;=$B$4,C269+E269,MIN($B$8+$B$5,C269+E269)))</f>
        <v/>
      </c>
      <c r="E269" s="15" t="str">
        <f aca="false">IF(A269="","",ROUND(C269*$B$3/100/12,2))</f>
        <v/>
      </c>
      <c r="F269" s="15" t="str">
        <f aca="false">IF(A269="","",D269-E269)</f>
        <v/>
      </c>
      <c r="G269" s="15" t="str">
        <f aca="false">IF(A269="","",ROUND(C269-F269,2))</f>
        <v/>
      </c>
    </row>
    <row r="270" customFormat="false" ht="15" hidden="false" customHeight="false" outlineLevel="0" collapsed="false">
      <c r="A270" s="20" t="str">
        <f aca="false">IF(A269="","",IF(G269&lt;=0.005,"",A269+1))</f>
        <v/>
      </c>
      <c r="B270" s="21" t="str">
        <f aca="false">IF(A270="","",EDATE($B$6,A270-1))</f>
        <v/>
      </c>
      <c r="C270" s="15" t="str">
        <f aca="false">IF(A270="","",G269)</f>
        <v/>
      </c>
      <c r="D270" s="15" t="str">
        <f aca="false">IF(A270="","",IF(A270&gt;=$B$4,C270+E270,MIN($B$8+$B$5,C270+E270)))</f>
        <v/>
      </c>
      <c r="E270" s="15" t="str">
        <f aca="false">IF(A270="","",ROUND(C270*$B$3/100/12,2))</f>
        <v/>
      </c>
      <c r="F270" s="15" t="str">
        <f aca="false">IF(A270="","",D270-E270)</f>
        <v/>
      </c>
      <c r="G270" s="15" t="str">
        <f aca="false">IF(A270="","",ROUND(C270-F270,2))</f>
        <v/>
      </c>
    </row>
    <row r="271" customFormat="false" ht="15" hidden="false" customHeight="false" outlineLevel="0" collapsed="false">
      <c r="A271" s="20" t="str">
        <f aca="false">IF(A270="","",IF(G270&lt;=0.005,"",A270+1))</f>
        <v/>
      </c>
      <c r="B271" s="21" t="str">
        <f aca="false">IF(A271="","",EDATE($B$6,A271-1))</f>
        <v/>
      </c>
      <c r="C271" s="15" t="str">
        <f aca="false">IF(A271="","",G270)</f>
        <v/>
      </c>
      <c r="D271" s="15" t="str">
        <f aca="false">IF(A271="","",IF(A271&gt;=$B$4,C271+E271,MIN($B$8+$B$5,C271+E271)))</f>
        <v/>
      </c>
      <c r="E271" s="15" t="str">
        <f aca="false">IF(A271="","",ROUND(C271*$B$3/100/12,2))</f>
        <v/>
      </c>
      <c r="F271" s="15" t="str">
        <f aca="false">IF(A271="","",D271-E271)</f>
        <v/>
      </c>
      <c r="G271" s="15" t="str">
        <f aca="false">IF(A271="","",ROUND(C271-F271,2))</f>
        <v/>
      </c>
    </row>
    <row r="272" customFormat="false" ht="15" hidden="false" customHeight="false" outlineLevel="0" collapsed="false">
      <c r="A272" s="20" t="str">
        <f aca="false">IF(A271="","",IF(G271&lt;=0.005,"",A271+1))</f>
        <v/>
      </c>
      <c r="B272" s="21" t="str">
        <f aca="false">IF(A272="","",EDATE($B$6,A272-1))</f>
        <v/>
      </c>
      <c r="C272" s="15" t="str">
        <f aca="false">IF(A272="","",G271)</f>
        <v/>
      </c>
      <c r="D272" s="15" t="str">
        <f aca="false">IF(A272="","",IF(A272&gt;=$B$4,C272+E272,MIN($B$8+$B$5,C272+E272)))</f>
        <v/>
      </c>
      <c r="E272" s="15" t="str">
        <f aca="false">IF(A272="","",ROUND(C272*$B$3/100/12,2))</f>
        <v/>
      </c>
      <c r="F272" s="15" t="str">
        <f aca="false">IF(A272="","",D272-E272)</f>
        <v/>
      </c>
      <c r="G272" s="15" t="str">
        <f aca="false">IF(A272="","",ROUND(C272-F272,2))</f>
        <v/>
      </c>
    </row>
    <row r="273" customFormat="false" ht="15" hidden="false" customHeight="false" outlineLevel="0" collapsed="false">
      <c r="A273" s="20" t="str">
        <f aca="false">IF(A272="","",IF(G272&lt;=0.005,"",A272+1))</f>
        <v/>
      </c>
      <c r="B273" s="21" t="str">
        <f aca="false">IF(A273="","",EDATE($B$6,A273-1))</f>
        <v/>
      </c>
      <c r="C273" s="15" t="str">
        <f aca="false">IF(A273="","",G272)</f>
        <v/>
      </c>
      <c r="D273" s="15" t="str">
        <f aca="false">IF(A273="","",IF(A273&gt;=$B$4,C273+E273,MIN($B$8+$B$5,C273+E273)))</f>
        <v/>
      </c>
      <c r="E273" s="15" t="str">
        <f aca="false">IF(A273="","",ROUND(C273*$B$3/100/12,2))</f>
        <v/>
      </c>
      <c r="F273" s="15" t="str">
        <f aca="false">IF(A273="","",D273-E273)</f>
        <v/>
      </c>
      <c r="G273" s="15" t="str">
        <f aca="false">IF(A273="","",ROUND(C273-F273,2))</f>
        <v/>
      </c>
    </row>
    <row r="274" customFormat="false" ht="15" hidden="false" customHeight="false" outlineLevel="0" collapsed="false">
      <c r="A274" s="20" t="str">
        <f aca="false">IF(A273="","",IF(G273&lt;=0.005,"",A273+1))</f>
        <v/>
      </c>
      <c r="B274" s="21" t="str">
        <f aca="false">IF(A274="","",EDATE($B$6,A274-1))</f>
        <v/>
      </c>
      <c r="C274" s="15" t="str">
        <f aca="false">IF(A274="","",G273)</f>
        <v/>
      </c>
      <c r="D274" s="15" t="str">
        <f aca="false">IF(A274="","",IF(A274&gt;=$B$4,C274+E274,MIN($B$8+$B$5,C274+E274)))</f>
        <v/>
      </c>
      <c r="E274" s="15" t="str">
        <f aca="false">IF(A274="","",ROUND(C274*$B$3/100/12,2))</f>
        <v/>
      </c>
      <c r="F274" s="15" t="str">
        <f aca="false">IF(A274="","",D274-E274)</f>
        <v/>
      </c>
      <c r="G274" s="15" t="str">
        <f aca="false">IF(A274="","",ROUND(C274-F274,2))</f>
        <v/>
      </c>
    </row>
    <row r="275" customFormat="false" ht="15" hidden="false" customHeight="false" outlineLevel="0" collapsed="false">
      <c r="A275" s="20" t="str">
        <f aca="false">IF(A274="","",IF(G274&lt;=0.005,"",A274+1))</f>
        <v/>
      </c>
      <c r="B275" s="21" t="str">
        <f aca="false">IF(A275="","",EDATE($B$6,A275-1))</f>
        <v/>
      </c>
      <c r="C275" s="15" t="str">
        <f aca="false">IF(A275="","",G274)</f>
        <v/>
      </c>
      <c r="D275" s="15" t="str">
        <f aca="false">IF(A275="","",IF(A275&gt;=$B$4,C275+E275,MIN($B$8+$B$5,C275+E275)))</f>
        <v/>
      </c>
      <c r="E275" s="15" t="str">
        <f aca="false">IF(A275="","",ROUND(C275*$B$3/100/12,2))</f>
        <v/>
      </c>
      <c r="F275" s="15" t="str">
        <f aca="false">IF(A275="","",D275-E275)</f>
        <v/>
      </c>
      <c r="G275" s="15" t="str">
        <f aca="false">IF(A275="","",ROUND(C275-F275,2))</f>
        <v/>
      </c>
    </row>
    <row r="276" customFormat="false" ht="15" hidden="false" customHeight="false" outlineLevel="0" collapsed="false">
      <c r="A276" s="20" t="str">
        <f aca="false">IF(A275="","",IF(G275&lt;=0.005,"",A275+1))</f>
        <v/>
      </c>
      <c r="B276" s="21" t="str">
        <f aca="false">IF(A276="","",EDATE($B$6,A276-1))</f>
        <v/>
      </c>
      <c r="C276" s="15" t="str">
        <f aca="false">IF(A276="","",G275)</f>
        <v/>
      </c>
      <c r="D276" s="15" t="str">
        <f aca="false">IF(A276="","",IF(A276&gt;=$B$4,C276+E276,MIN($B$8+$B$5,C276+E276)))</f>
        <v/>
      </c>
      <c r="E276" s="15" t="str">
        <f aca="false">IF(A276="","",ROUND(C276*$B$3/100/12,2))</f>
        <v/>
      </c>
      <c r="F276" s="15" t="str">
        <f aca="false">IF(A276="","",D276-E276)</f>
        <v/>
      </c>
      <c r="G276" s="15" t="str">
        <f aca="false">IF(A276="","",ROUND(C276-F276,2))</f>
        <v/>
      </c>
    </row>
    <row r="277" customFormat="false" ht="15" hidden="false" customHeight="false" outlineLevel="0" collapsed="false">
      <c r="A277" s="20" t="str">
        <f aca="false">IF(A276="","",IF(G276&lt;=0.005,"",A276+1))</f>
        <v/>
      </c>
      <c r="B277" s="21" t="str">
        <f aca="false">IF(A277="","",EDATE($B$6,A277-1))</f>
        <v/>
      </c>
      <c r="C277" s="15" t="str">
        <f aca="false">IF(A277="","",G276)</f>
        <v/>
      </c>
      <c r="D277" s="15" t="str">
        <f aca="false">IF(A277="","",IF(A277&gt;=$B$4,C277+E277,MIN($B$8+$B$5,C277+E277)))</f>
        <v/>
      </c>
      <c r="E277" s="15" t="str">
        <f aca="false">IF(A277="","",ROUND(C277*$B$3/100/12,2))</f>
        <v/>
      </c>
      <c r="F277" s="15" t="str">
        <f aca="false">IF(A277="","",D277-E277)</f>
        <v/>
      </c>
      <c r="G277" s="15" t="str">
        <f aca="false">IF(A277="","",ROUND(C277-F277,2))</f>
        <v/>
      </c>
    </row>
    <row r="278" customFormat="false" ht="15" hidden="false" customHeight="false" outlineLevel="0" collapsed="false">
      <c r="A278" s="20" t="str">
        <f aca="false">IF(A277="","",IF(G277&lt;=0.005,"",A277+1))</f>
        <v/>
      </c>
      <c r="B278" s="21" t="str">
        <f aca="false">IF(A278="","",EDATE($B$6,A278-1))</f>
        <v/>
      </c>
      <c r="C278" s="15" t="str">
        <f aca="false">IF(A278="","",G277)</f>
        <v/>
      </c>
      <c r="D278" s="15" t="str">
        <f aca="false">IF(A278="","",IF(A278&gt;=$B$4,C278+E278,MIN($B$8+$B$5,C278+E278)))</f>
        <v/>
      </c>
      <c r="E278" s="15" t="str">
        <f aca="false">IF(A278="","",ROUND(C278*$B$3/100/12,2))</f>
        <v/>
      </c>
      <c r="F278" s="15" t="str">
        <f aca="false">IF(A278="","",D278-E278)</f>
        <v/>
      </c>
      <c r="G278" s="15" t="str">
        <f aca="false">IF(A278="","",ROUND(C278-F278,2))</f>
        <v/>
      </c>
    </row>
    <row r="279" customFormat="false" ht="15" hidden="false" customHeight="false" outlineLevel="0" collapsed="false">
      <c r="A279" s="20" t="str">
        <f aca="false">IF(A278="","",IF(G278&lt;=0.005,"",A278+1))</f>
        <v/>
      </c>
      <c r="B279" s="21" t="str">
        <f aca="false">IF(A279="","",EDATE($B$6,A279-1))</f>
        <v/>
      </c>
      <c r="C279" s="15" t="str">
        <f aca="false">IF(A279="","",G278)</f>
        <v/>
      </c>
      <c r="D279" s="15" t="str">
        <f aca="false">IF(A279="","",IF(A279&gt;=$B$4,C279+E279,MIN($B$8+$B$5,C279+E279)))</f>
        <v/>
      </c>
      <c r="E279" s="15" t="str">
        <f aca="false">IF(A279="","",ROUND(C279*$B$3/100/12,2))</f>
        <v/>
      </c>
      <c r="F279" s="15" t="str">
        <f aca="false">IF(A279="","",D279-E279)</f>
        <v/>
      </c>
      <c r="G279" s="15" t="str">
        <f aca="false">IF(A279="","",ROUND(C279-F279,2))</f>
        <v/>
      </c>
    </row>
    <row r="280" customFormat="false" ht="15" hidden="false" customHeight="false" outlineLevel="0" collapsed="false">
      <c r="A280" s="20" t="str">
        <f aca="false">IF(A279="","",IF(G279&lt;=0.005,"",A279+1))</f>
        <v/>
      </c>
      <c r="B280" s="21" t="str">
        <f aca="false">IF(A280="","",EDATE($B$6,A280-1))</f>
        <v/>
      </c>
      <c r="C280" s="15" t="str">
        <f aca="false">IF(A280="","",G279)</f>
        <v/>
      </c>
      <c r="D280" s="15" t="str">
        <f aca="false">IF(A280="","",IF(A280&gt;=$B$4,C280+E280,MIN($B$8+$B$5,C280+E280)))</f>
        <v/>
      </c>
      <c r="E280" s="15" t="str">
        <f aca="false">IF(A280="","",ROUND(C280*$B$3/100/12,2))</f>
        <v/>
      </c>
      <c r="F280" s="15" t="str">
        <f aca="false">IF(A280="","",D280-E280)</f>
        <v/>
      </c>
      <c r="G280" s="15" t="str">
        <f aca="false">IF(A280="","",ROUND(C280-F280,2))</f>
        <v/>
      </c>
    </row>
    <row r="281" customFormat="false" ht="15" hidden="false" customHeight="false" outlineLevel="0" collapsed="false">
      <c r="A281" s="20" t="str">
        <f aca="false">IF(A280="","",IF(G280&lt;=0.005,"",A280+1))</f>
        <v/>
      </c>
      <c r="B281" s="21" t="str">
        <f aca="false">IF(A281="","",EDATE($B$6,A281-1))</f>
        <v/>
      </c>
      <c r="C281" s="15" t="str">
        <f aca="false">IF(A281="","",G280)</f>
        <v/>
      </c>
      <c r="D281" s="15" t="str">
        <f aca="false">IF(A281="","",IF(A281&gt;=$B$4,C281+E281,MIN($B$8+$B$5,C281+E281)))</f>
        <v/>
      </c>
      <c r="E281" s="15" t="str">
        <f aca="false">IF(A281="","",ROUND(C281*$B$3/100/12,2))</f>
        <v/>
      </c>
      <c r="F281" s="15" t="str">
        <f aca="false">IF(A281="","",D281-E281)</f>
        <v/>
      </c>
      <c r="G281" s="15" t="str">
        <f aca="false">IF(A281="","",ROUND(C281-F281,2))</f>
        <v/>
      </c>
    </row>
    <row r="282" customFormat="false" ht="15" hidden="false" customHeight="false" outlineLevel="0" collapsed="false">
      <c r="A282" s="20" t="str">
        <f aca="false">IF(A281="","",IF(G281&lt;=0.005,"",A281+1))</f>
        <v/>
      </c>
      <c r="B282" s="21" t="str">
        <f aca="false">IF(A282="","",EDATE($B$6,A282-1))</f>
        <v/>
      </c>
      <c r="C282" s="15" t="str">
        <f aca="false">IF(A282="","",G281)</f>
        <v/>
      </c>
      <c r="D282" s="15" t="str">
        <f aca="false">IF(A282="","",IF(A282&gt;=$B$4,C282+E282,MIN($B$8+$B$5,C282+E282)))</f>
        <v/>
      </c>
      <c r="E282" s="15" t="str">
        <f aca="false">IF(A282="","",ROUND(C282*$B$3/100/12,2))</f>
        <v/>
      </c>
      <c r="F282" s="15" t="str">
        <f aca="false">IF(A282="","",D282-E282)</f>
        <v/>
      </c>
      <c r="G282" s="15" t="str">
        <f aca="false">IF(A282="","",ROUND(C282-F282,2))</f>
        <v/>
      </c>
    </row>
    <row r="283" customFormat="false" ht="15" hidden="false" customHeight="false" outlineLevel="0" collapsed="false">
      <c r="A283" s="20" t="str">
        <f aca="false">IF(A282="","",IF(G282&lt;=0.005,"",A282+1))</f>
        <v/>
      </c>
      <c r="B283" s="21" t="str">
        <f aca="false">IF(A283="","",EDATE($B$6,A283-1))</f>
        <v/>
      </c>
      <c r="C283" s="15" t="str">
        <f aca="false">IF(A283="","",G282)</f>
        <v/>
      </c>
      <c r="D283" s="15" t="str">
        <f aca="false">IF(A283="","",IF(A283&gt;=$B$4,C283+E283,MIN($B$8+$B$5,C283+E283)))</f>
        <v/>
      </c>
      <c r="E283" s="15" t="str">
        <f aca="false">IF(A283="","",ROUND(C283*$B$3/100/12,2))</f>
        <v/>
      </c>
      <c r="F283" s="15" t="str">
        <f aca="false">IF(A283="","",D283-E283)</f>
        <v/>
      </c>
      <c r="G283" s="15" t="str">
        <f aca="false">IF(A283="","",ROUND(C283-F283,2))</f>
        <v/>
      </c>
    </row>
    <row r="284" customFormat="false" ht="15" hidden="false" customHeight="false" outlineLevel="0" collapsed="false">
      <c r="A284" s="20" t="str">
        <f aca="false">IF(A283="","",IF(G283&lt;=0.005,"",A283+1))</f>
        <v/>
      </c>
      <c r="B284" s="21" t="str">
        <f aca="false">IF(A284="","",EDATE($B$6,A284-1))</f>
        <v/>
      </c>
      <c r="C284" s="15" t="str">
        <f aca="false">IF(A284="","",G283)</f>
        <v/>
      </c>
      <c r="D284" s="15" t="str">
        <f aca="false">IF(A284="","",IF(A284&gt;=$B$4,C284+E284,MIN($B$8+$B$5,C284+E284)))</f>
        <v/>
      </c>
      <c r="E284" s="15" t="str">
        <f aca="false">IF(A284="","",ROUND(C284*$B$3/100/12,2))</f>
        <v/>
      </c>
      <c r="F284" s="15" t="str">
        <f aca="false">IF(A284="","",D284-E284)</f>
        <v/>
      </c>
      <c r="G284" s="15" t="str">
        <f aca="false">IF(A284="","",ROUND(C284-F284,2))</f>
        <v/>
      </c>
    </row>
    <row r="285" customFormat="false" ht="15" hidden="false" customHeight="false" outlineLevel="0" collapsed="false">
      <c r="A285" s="20" t="str">
        <f aca="false">IF(A284="","",IF(G284&lt;=0.005,"",A284+1))</f>
        <v/>
      </c>
      <c r="B285" s="21" t="str">
        <f aca="false">IF(A285="","",EDATE($B$6,A285-1))</f>
        <v/>
      </c>
      <c r="C285" s="15" t="str">
        <f aca="false">IF(A285="","",G284)</f>
        <v/>
      </c>
      <c r="D285" s="15" t="str">
        <f aca="false">IF(A285="","",IF(A285&gt;=$B$4,C285+E285,MIN($B$8+$B$5,C285+E285)))</f>
        <v/>
      </c>
      <c r="E285" s="15" t="str">
        <f aca="false">IF(A285="","",ROUND(C285*$B$3/100/12,2))</f>
        <v/>
      </c>
      <c r="F285" s="15" t="str">
        <f aca="false">IF(A285="","",D285-E285)</f>
        <v/>
      </c>
      <c r="G285" s="15" t="str">
        <f aca="false">IF(A285="","",ROUND(C285-F285,2))</f>
        <v/>
      </c>
    </row>
    <row r="286" customFormat="false" ht="15" hidden="false" customHeight="false" outlineLevel="0" collapsed="false">
      <c r="A286" s="20" t="str">
        <f aca="false">IF(A285="","",IF(G285&lt;=0.005,"",A285+1))</f>
        <v/>
      </c>
      <c r="B286" s="21" t="str">
        <f aca="false">IF(A286="","",EDATE($B$6,A286-1))</f>
        <v/>
      </c>
      <c r="C286" s="15" t="str">
        <f aca="false">IF(A286="","",G285)</f>
        <v/>
      </c>
      <c r="D286" s="15" t="str">
        <f aca="false">IF(A286="","",IF(A286&gt;=$B$4,C286+E286,MIN($B$8+$B$5,C286+E286)))</f>
        <v/>
      </c>
      <c r="E286" s="15" t="str">
        <f aca="false">IF(A286="","",ROUND(C286*$B$3/100/12,2))</f>
        <v/>
      </c>
      <c r="F286" s="15" t="str">
        <f aca="false">IF(A286="","",D286-E286)</f>
        <v/>
      </c>
      <c r="G286" s="15" t="str">
        <f aca="false">IF(A286="","",ROUND(C286-F286,2))</f>
        <v/>
      </c>
    </row>
    <row r="287" customFormat="false" ht="15" hidden="false" customHeight="false" outlineLevel="0" collapsed="false">
      <c r="A287" s="20" t="str">
        <f aca="false">IF(A286="","",IF(G286&lt;=0.005,"",A286+1))</f>
        <v/>
      </c>
      <c r="B287" s="21" t="str">
        <f aca="false">IF(A287="","",EDATE($B$6,A287-1))</f>
        <v/>
      </c>
      <c r="C287" s="15" t="str">
        <f aca="false">IF(A287="","",G286)</f>
        <v/>
      </c>
      <c r="D287" s="15" t="str">
        <f aca="false">IF(A287="","",IF(A287&gt;=$B$4,C287+E287,MIN($B$8+$B$5,C287+E287)))</f>
        <v/>
      </c>
      <c r="E287" s="15" t="str">
        <f aca="false">IF(A287="","",ROUND(C287*$B$3/100/12,2))</f>
        <v/>
      </c>
      <c r="F287" s="15" t="str">
        <f aca="false">IF(A287="","",D287-E287)</f>
        <v/>
      </c>
      <c r="G287" s="15" t="str">
        <f aca="false">IF(A287="","",ROUND(C287-F287,2))</f>
        <v/>
      </c>
    </row>
    <row r="288" customFormat="false" ht="15" hidden="false" customHeight="false" outlineLevel="0" collapsed="false">
      <c r="A288" s="20" t="str">
        <f aca="false">IF(A287="","",IF(G287&lt;=0.005,"",A287+1))</f>
        <v/>
      </c>
      <c r="B288" s="21" t="str">
        <f aca="false">IF(A288="","",EDATE($B$6,A288-1))</f>
        <v/>
      </c>
      <c r="C288" s="15" t="str">
        <f aca="false">IF(A288="","",G287)</f>
        <v/>
      </c>
      <c r="D288" s="15" t="str">
        <f aca="false">IF(A288="","",IF(A288&gt;=$B$4,C288+E288,MIN($B$8+$B$5,C288+E288)))</f>
        <v/>
      </c>
      <c r="E288" s="15" t="str">
        <f aca="false">IF(A288="","",ROUND(C288*$B$3/100/12,2))</f>
        <v/>
      </c>
      <c r="F288" s="15" t="str">
        <f aca="false">IF(A288="","",D288-E288)</f>
        <v/>
      </c>
      <c r="G288" s="15" t="str">
        <f aca="false">IF(A288="","",ROUND(C288-F288,2))</f>
        <v/>
      </c>
    </row>
    <row r="289" customFormat="false" ht="15" hidden="false" customHeight="false" outlineLevel="0" collapsed="false">
      <c r="A289" s="20" t="str">
        <f aca="false">IF(A288="","",IF(G288&lt;=0.005,"",A288+1))</f>
        <v/>
      </c>
      <c r="B289" s="21" t="str">
        <f aca="false">IF(A289="","",EDATE($B$6,A289-1))</f>
        <v/>
      </c>
      <c r="C289" s="15" t="str">
        <f aca="false">IF(A289="","",G288)</f>
        <v/>
      </c>
      <c r="D289" s="15" t="str">
        <f aca="false">IF(A289="","",IF(A289&gt;=$B$4,C289+E289,MIN($B$8+$B$5,C289+E289)))</f>
        <v/>
      </c>
      <c r="E289" s="15" t="str">
        <f aca="false">IF(A289="","",ROUND(C289*$B$3/100/12,2))</f>
        <v/>
      </c>
      <c r="F289" s="15" t="str">
        <f aca="false">IF(A289="","",D289-E289)</f>
        <v/>
      </c>
      <c r="G289" s="15" t="str">
        <f aca="false">IF(A289="","",ROUND(C289-F289,2))</f>
        <v/>
      </c>
    </row>
    <row r="290" customFormat="false" ht="15" hidden="false" customHeight="false" outlineLevel="0" collapsed="false">
      <c r="A290" s="20" t="str">
        <f aca="false">IF(A289="","",IF(G289&lt;=0.005,"",A289+1))</f>
        <v/>
      </c>
      <c r="B290" s="21" t="str">
        <f aca="false">IF(A290="","",EDATE($B$6,A290-1))</f>
        <v/>
      </c>
      <c r="C290" s="15" t="str">
        <f aca="false">IF(A290="","",G289)</f>
        <v/>
      </c>
      <c r="D290" s="15" t="str">
        <f aca="false">IF(A290="","",IF(A290&gt;=$B$4,C290+E290,MIN($B$8+$B$5,C290+E290)))</f>
        <v/>
      </c>
      <c r="E290" s="15" t="str">
        <f aca="false">IF(A290="","",ROUND(C290*$B$3/100/12,2))</f>
        <v/>
      </c>
      <c r="F290" s="15" t="str">
        <f aca="false">IF(A290="","",D290-E290)</f>
        <v/>
      </c>
      <c r="G290" s="15" t="str">
        <f aca="false">IF(A290="","",ROUND(C290-F290,2))</f>
        <v/>
      </c>
    </row>
    <row r="291" customFormat="false" ht="15" hidden="false" customHeight="false" outlineLevel="0" collapsed="false">
      <c r="A291" s="20" t="str">
        <f aca="false">IF(A290="","",IF(G290&lt;=0.005,"",A290+1))</f>
        <v/>
      </c>
      <c r="B291" s="21" t="str">
        <f aca="false">IF(A291="","",EDATE($B$6,A291-1))</f>
        <v/>
      </c>
      <c r="C291" s="15" t="str">
        <f aca="false">IF(A291="","",G290)</f>
        <v/>
      </c>
      <c r="D291" s="15" t="str">
        <f aca="false">IF(A291="","",IF(A291&gt;=$B$4,C291+E291,MIN($B$8+$B$5,C291+E291)))</f>
        <v/>
      </c>
      <c r="E291" s="15" t="str">
        <f aca="false">IF(A291="","",ROUND(C291*$B$3/100/12,2))</f>
        <v/>
      </c>
      <c r="F291" s="15" t="str">
        <f aca="false">IF(A291="","",D291-E291)</f>
        <v/>
      </c>
      <c r="G291" s="15" t="str">
        <f aca="false">IF(A291="","",ROUND(C291-F291,2))</f>
        <v/>
      </c>
    </row>
    <row r="292" customFormat="false" ht="15" hidden="false" customHeight="false" outlineLevel="0" collapsed="false">
      <c r="A292" s="20" t="str">
        <f aca="false">IF(A291="","",IF(G291&lt;=0.005,"",A291+1))</f>
        <v/>
      </c>
      <c r="B292" s="21" t="str">
        <f aca="false">IF(A292="","",EDATE($B$6,A292-1))</f>
        <v/>
      </c>
      <c r="C292" s="15" t="str">
        <f aca="false">IF(A292="","",G291)</f>
        <v/>
      </c>
      <c r="D292" s="15" t="str">
        <f aca="false">IF(A292="","",IF(A292&gt;=$B$4,C292+E292,MIN($B$8+$B$5,C292+E292)))</f>
        <v/>
      </c>
      <c r="E292" s="15" t="str">
        <f aca="false">IF(A292="","",ROUND(C292*$B$3/100/12,2))</f>
        <v/>
      </c>
      <c r="F292" s="15" t="str">
        <f aca="false">IF(A292="","",D292-E292)</f>
        <v/>
      </c>
      <c r="G292" s="15" t="str">
        <f aca="false">IF(A292="","",ROUND(C292-F292,2))</f>
        <v/>
      </c>
    </row>
    <row r="293" customFormat="false" ht="15" hidden="false" customHeight="false" outlineLevel="0" collapsed="false">
      <c r="A293" s="20" t="str">
        <f aca="false">IF(A292="","",IF(G292&lt;=0.005,"",A292+1))</f>
        <v/>
      </c>
      <c r="B293" s="21" t="str">
        <f aca="false">IF(A293="","",EDATE($B$6,A293-1))</f>
        <v/>
      </c>
      <c r="C293" s="15" t="str">
        <f aca="false">IF(A293="","",G292)</f>
        <v/>
      </c>
      <c r="D293" s="15" t="str">
        <f aca="false">IF(A293="","",IF(A293&gt;=$B$4,C293+E293,MIN($B$8+$B$5,C293+E293)))</f>
        <v/>
      </c>
      <c r="E293" s="15" t="str">
        <f aca="false">IF(A293="","",ROUND(C293*$B$3/100/12,2))</f>
        <v/>
      </c>
      <c r="F293" s="15" t="str">
        <f aca="false">IF(A293="","",D293-E293)</f>
        <v/>
      </c>
      <c r="G293" s="15" t="str">
        <f aca="false">IF(A293="","",ROUND(C293-F293,2))</f>
        <v/>
      </c>
    </row>
    <row r="294" customFormat="false" ht="15" hidden="false" customHeight="false" outlineLevel="0" collapsed="false">
      <c r="A294" s="20" t="str">
        <f aca="false">IF(A293="","",IF(G293&lt;=0.005,"",A293+1))</f>
        <v/>
      </c>
      <c r="B294" s="21" t="str">
        <f aca="false">IF(A294="","",EDATE($B$6,A294-1))</f>
        <v/>
      </c>
      <c r="C294" s="15" t="str">
        <f aca="false">IF(A294="","",G293)</f>
        <v/>
      </c>
      <c r="D294" s="15" t="str">
        <f aca="false">IF(A294="","",IF(A294&gt;=$B$4,C294+E294,MIN($B$8+$B$5,C294+E294)))</f>
        <v/>
      </c>
      <c r="E294" s="15" t="str">
        <f aca="false">IF(A294="","",ROUND(C294*$B$3/100/12,2))</f>
        <v/>
      </c>
      <c r="F294" s="15" t="str">
        <f aca="false">IF(A294="","",D294-E294)</f>
        <v/>
      </c>
      <c r="G294" s="15" t="str">
        <f aca="false">IF(A294="","",ROUND(C294-F294,2))</f>
        <v/>
      </c>
    </row>
    <row r="295" customFormat="false" ht="15" hidden="false" customHeight="false" outlineLevel="0" collapsed="false">
      <c r="A295" s="20" t="str">
        <f aca="false">IF(A294="","",IF(G294&lt;=0.005,"",A294+1))</f>
        <v/>
      </c>
      <c r="B295" s="21" t="str">
        <f aca="false">IF(A295="","",EDATE($B$6,A295-1))</f>
        <v/>
      </c>
      <c r="C295" s="15" t="str">
        <f aca="false">IF(A295="","",G294)</f>
        <v/>
      </c>
      <c r="D295" s="15" t="str">
        <f aca="false">IF(A295="","",IF(A295&gt;=$B$4,C295+E295,MIN($B$8+$B$5,C295+E295)))</f>
        <v/>
      </c>
      <c r="E295" s="15" t="str">
        <f aca="false">IF(A295="","",ROUND(C295*$B$3/100/12,2))</f>
        <v/>
      </c>
      <c r="F295" s="15" t="str">
        <f aca="false">IF(A295="","",D295-E295)</f>
        <v/>
      </c>
      <c r="G295" s="15" t="str">
        <f aca="false">IF(A295="","",ROUND(C295-F295,2))</f>
        <v/>
      </c>
    </row>
    <row r="296" customFormat="false" ht="15" hidden="false" customHeight="false" outlineLevel="0" collapsed="false">
      <c r="A296" s="20" t="str">
        <f aca="false">IF(A295="","",IF(G295&lt;=0.005,"",A295+1))</f>
        <v/>
      </c>
      <c r="B296" s="21" t="str">
        <f aca="false">IF(A296="","",EDATE($B$6,A296-1))</f>
        <v/>
      </c>
      <c r="C296" s="15" t="str">
        <f aca="false">IF(A296="","",G295)</f>
        <v/>
      </c>
      <c r="D296" s="15" t="str">
        <f aca="false">IF(A296="","",IF(A296&gt;=$B$4,C296+E296,MIN($B$8+$B$5,C296+E296)))</f>
        <v/>
      </c>
      <c r="E296" s="15" t="str">
        <f aca="false">IF(A296="","",ROUND(C296*$B$3/100/12,2))</f>
        <v/>
      </c>
      <c r="F296" s="15" t="str">
        <f aca="false">IF(A296="","",D296-E296)</f>
        <v/>
      </c>
      <c r="G296" s="15" t="str">
        <f aca="false">IF(A296="","",ROUND(C296-F296,2))</f>
        <v/>
      </c>
    </row>
    <row r="297" customFormat="false" ht="15" hidden="false" customHeight="false" outlineLevel="0" collapsed="false">
      <c r="A297" s="20" t="str">
        <f aca="false">IF(A296="","",IF(G296&lt;=0.005,"",A296+1))</f>
        <v/>
      </c>
      <c r="B297" s="21" t="str">
        <f aca="false">IF(A297="","",EDATE($B$6,A297-1))</f>
        <v/>
      </c>
      <c r="C297" s="15" t="str">
        <f aca="false">IF(A297="","",G296)</f>
        <v/>
      </c>
      <c r="D297" s="15" t="str">
        <f aca="false">IF(A297="","",IF(A297&gt;=$B$4,C297+E297,MIN($B$8+$B$5,C297+E297)))</f>
        <v/>
      </c>
      <c r="E297" s="15" t="str">
        <f aca="false">IF(A297="","",ROUND(C297*$B$3/100/12,2))</f>
        <v/>
      </c>
      <c r="F297" s="15" t="str">
        <f aca="false">IF(A297="","",D297-E297)</f>
        <v/>
      </c>
      <c r="G297" s="15" t="str">
        <f aca="false">IF(A297="","",ROUND(C297-F297,2))</f>
        <v/>
      </c>
    </row>
    <row r="298" customFormat="false" ht="15" hidden="false" customHeight="false" outlineLevel="0" collapsed="false">
      <c r="A298" s="20" t="str">
        <f aca="false">IF(A297="","",IF(G297&lt;=0.005,"",A297+1))</f>
        <v/>
      </c>
      <c r="B298" s="21" t="str">
        <f aca="false">IF(A298="","",EDATE($B$6,A298-1))</f>
        <v/>
      </c>
      <c r="C298" s="15" t="str">
        <f aca="false">IF(A298="","",G297)</f>
        <v/>
      </c>
      <c r="D298" s="15" t="str">
        <f aca="false">IF(A298="","",IF(A298&gt;=$B$4,C298+E298,MIN($B$8+$B$5,C298+E298)))</f>
        <v/>
      </c>
      <c r="E298" s="15" t="str">
        <f aca="false">IF(A298="","",ROUND(C298*$B$3/100/12,2))</f>
        <v/>
      </c>
      <c r="F298" s="15" t="str">
        <f aca="false">IF(A298="","",D298-E298)</f>
        <v/>
      </c>
      <c r="G298" s="15" t="str">
        <f aca="false">IF(A298="","",ROUND(C298-F298,2))</f>
        <v/>
      </c>
    </row>
    <row r="299" customFormat="false" ht="15" hidden="false" customHeight="false" outlineLevel="0" collapsed="false">
      <c r="A299" s="20" t="str">
        <f aca="false">IF(A298="","",IF(G298&lt;=0.005,"",A298+1))</f>
        <v/>
      </c>
      <c r="B299" s="21" t="str">
        <f aca="false">IF(A299="","",EDATE($B$6,A299-1))</f>
        <v/>
      </c>
      <c r="C299" s="15" t="str">
        <f aca="false">IF(A299="","",G298)</f>
        <v/>
      </c>
      <c r="D299" s="15" t="str">
        <f aca="false">IF(A299="","",IF(A299&gt;=$B$4,C299+E299,MIN($B$8+$B$5,C299+E299)))</f>
        <v/>
      </c>
      <c r="E299" s="15" t="str">
        <f aca="false">IF(A299="","",ROUND(C299*$B$3/100/12,2))</f>
        <v/>
      </c>
      <c r="F299" s="15" t="str">
        <f aca="false">IF(A299="","",D299-E299)</f>
        <v/>
      </c>
      <c r="G299" s="15" t="str">
        <f aca="false">IF(A299="","",ROUND(C299-F299,2))</f>
        <v/>
      </c>
    </row>
    <row r="300" customFormat="false" ht="15" hidden="false" customHeight="false" outlineLevel="0" collapsed="false">
      <c r="A300" s="20" t="str">
        <f aca="false">IF(A299="","",IF(G299&lt;=0.005,"",A299+1))</f>
        <v/>
      </c>
      <c r="B300" s="21" t="str">
        <f aca="false">IF(A300="","",EDATE($B$6,A300-1))</f>
        <v/>
      </c>
      <c r="C300" s="15" t="str">
        <f aca="false">IF(A300="","",G299)</f>
        <v/>
      </c>
      <c r="D300" s="15" t="str">
        <f aca="false">IF(A300="","",IF(A300&gt;=$B$4,C300+E300,MIN($B$8+$B$5,C300+E300)))</f>
        <v/>
      </c>
      <c r="E300" s="15" t="str">
        <f aca="false">IF(A300="","",ROUND(C300*$B$3/100/12,2))</f>
        <v/>
      </c>
      <c r="F300" s="15" t="str">
        <f aca="false">IF(A300="","",D300-E300)</f>
        <v/>
      </c>
      <c r="G300" s="15" t="str">
        <f aca="false">IF(A300="","",ROUND(C300-F300,2))</f>
        <v/>
      </c>
    </row>
    <row r="301" customFormat="false" ht="15" hidden="false" customHeight="false" outlineLevel="0" collapsed="false">
      <c r="A301" s="20" t="str">
        <f aca="false">IF(A300="","",IF(G300&lt;=0.005,"",A300+1))</f>
        <v/>
      </c>
      <c r="B301" s="21" t="str">
        <f aca="false">IF(A301="","",EDATE($B$6,A301-1))</f>
        <v/>
      </c>
      <c r="C301" s="15" t="str">
        <f aca="false">IF(A301="","",G300)</f>
        <v/>
      </c>
      <c r="D301" s="15" t="str">
        <f aca="false">IF(A301="","",IF(A301&gt;=$B$4,C301+E301,MIN($B$8+$B$5,C301+E301)))</f>
        <v/>
      </c>
      <c r="E301" s="15" t="str">
        <f aca="false">IF(A301="","",ROUND(C301*$B$3/100/12,2))</f>
        <v/>
      </c>
      <c r="F301" s="15" t="str">
        <f aca="false">IF(A301="","",D301-E301)</f>
        <v/>
      </c>
      <c r="G301" s="15" t="str">
        <f aca="false">IF(A301="","",ROUND(C301-F301,2))</f>
        <v/>
      </c>
    </row>
    <row r="302" customFormat="false" ht="15" hidden="false" customHeight="false" outlineLevel="0" collapsed="false">
      <c r="A302" s="20" t="str">
        <f aca="false">IF(A301="","",IF(G301&lt;=0.005,"",A301+1))</f>
        <v/>
      </c>
      <c r="B302" s="21" t="str">
        <f aca="false">IF(A302="","",EDATE($B$6,A302-1))</f>
        <v/>
      </c>
      <c r="C302" s="15" t="str">
        <f aca="false">IF(A302="","",G301)</f>
        <v/>
      </c>
      <c r="D302" s="15" t="str">
        <f aca="false">IF(A302="","",IF(A302&gt;=$B$4,C302+E302,MIN($B$8+$B$5,C302+E302)))</f>
        <v/>
      </c>
      <c r="E302" s="15" t="str">
        <f aca="false">IF(A302="","",ROUND(C302*$B$3/100/12,2))</f>
        <v/>
      </c>
      <c r="F302" s="15" t="str">
        <f aca="false">IF(A302="","",D302-E302)</f>
        <v/>
      </c>
      <c r="G302" s="15" t="str">
        <f aca="false">IF(A302="","",ROUND(C302-F302,2))</f>
        <v/>
      </c>
    </row>
    <row r="303" customFormat="false" ht="15" hidden="false" customHeight="false" outlineLevel="0" collapsed="false">
      <c r="A303" s="20" t="str">
        <f aca="false">IF(A302="","",IF(G302&lt;=0.005,"",A302+1))</f>
        <v/>
      </c>
      <c r="B303" s="21" t="str">
        <f aca="false">IF(A303="","",EDATE($B$6,A303-1))</f>
        <v/>
      </c>
      <c r="C303" s="15" t="str">
        <f aca="false">IF(A303="","",G302)</f>
        <v/>
      </c>
      <c r="D303" s="15" t="str">
        <f aca="false">IF(A303="","",IF(A303&gt;=$B$4,C303+E303,MIN($B$8+$B$5,C303+E303)))</f>
        <v/>
      </c>
      <c r="E303" s="15" t="str">
        <f aca="false">IF(A303="","",ROUND(C303*$B$3/100/12,2))</f>
        <v/>
      </c>
      <c r="F303" s="15" t="str">
        <f aca="false">IF(A303="","",D303-E303)</f>
        <v/>
      </c>
      <c r="G303" s="15" t="str">
        <f aca="false">IF(A303="","",ROUND(C303-F303,2))</f>
        <v/>
      </c>
    </row>
    <row r="304" customFormat="false" ht="15" hidden="false" customHeight="false" outlineLevel="0" collapsed="false">
      <c r="A304" s="20" t="str">
        <f aca="false">IF(A303="","",IF(G303&lt;=0.005,"",A303+1))</f>
        <v/>
      </c>
      <c r="B304" s="21" t="str">
        <f aca="false">IF(A304="","",EDATE($B$6,A304-1))</f>
        <v/>
      </c>
      <c r="C304" s="15" t="str">
        <f aca="false">IF(A304="","",G303)</f>
        <v/>
      </c>
      <c r="D304" s="15" t="str">
        <f aca="false">IF(A304="","",IF(A304&gt;=$B$4,C304+E304,MIN($B$8+$B$5,C304+E304)))</f>
        <v/>
      </c>
      <c r="E304" s="15" t="str">
        <f aca="false">IF(A304="","",ROUND(C304*$B$3/100/12,2))</f>
        <v/>
      </c>
      <c r="F304" s="15" t="str">
        <f aca="false">IF(A304="","",D304-E304)</f>
        <v/>
      </c>
      <c r="G304" s="15" t="str">
        <f aca="false">IF(A304="","",ROUND(C304-F304,2))</f>
        <v/>
      </c>
    </row>
    <row r="305" customFormat="false" ht="15" hidden="false" customHeight="false" outlineLevel="0" collapsed="false">
      <c r="A305" s="20" t="str">
        <f aca="false">IF(A304="","",IF(G304&lt;=0.005,"",A304+1))</f>
        <v/>
      </c>
      <c r="B305" s="21" t="str">
        <f aca="false">IF(A305="","",EDATE($B$6,A305-1))</f>
        <v/>
      </c>
      <c r="C305" s="15" t="str">
        <f aca="false">IF(A305="","",G304)</f>
        <v/>
      </c>
      <c r="D305" s="15" t="str">
        <f aca="false">IF(A305="","",IF(A305&gt;=$B$4,C305+E305,MIN($B$8+$B$5,C305+E305)))</f>
        <v/>
      </c>
      <c r="E305" s="15" t="str">
        <f aca="false">IF(A305="","",ROUND(C305*$B$3/100/12,2))</f>
        <v/>
      </c>
      <c r="F305" s="15" t="str">
        <f aca="false">IF(A305="","",D305-E305)</f>
        <v/>
      </c>
      <c r="G305" s="15" t="str">
        <f aca="false">IF(A305="","",ROUND(C305-F305,2))</f>
        <v/>
      </c>
    </row>
    <row r="306" customFormat="false" ht="15" hidden="false" customHeight="false" outlineLevel="0" collapsed="false">
      <c r="A306" s="20" t="str">
        <f aca="false">IF(A305="","",IF(G305&lt;=0.005,"",A305+1))</f>
        <v/>
      </c>
      <c r="B306" s="21" t="str">
        <f aca="false">IF(A306="","",EDATE($B$6,A306-1))</f>
        <v/>
      </c>
      <c r="C306" s="15" t="str">
        <f aca="false">IF(A306="","",G305)</f>
        <v/>
      </c>
      <c r="D306" s="15" t="str">
        <f aca="false">IF(A306="","",IF(A306&gt;=$B$4,C306+E306,MIN($B$8+$B$5,C306+E306)))</f>
        <v/>
      </c>
      <c r="E306" s="15" t="str">
        <f aca="false">IF(A306="","",ROUND(C306*$B$3/100/12,2))</f>
        <v/>
      </c>
      <c r="F306" s="15" t="str">
        <f aca="false">IF(A306="","",D306-E306)</f>
        <v/>
      </c>
      <c r="G306" s="15" t="str">
        <f aca="false">IF(A306="","",ROUND(C306-F306,2))</f>
        <v/>
      </c>
    </row>
    <row r="307" customFormat="false" ht="15" hidden="false" customHeight="false" outlineLevel="0" collapsed="false">
      <c r="A307" s="20" t="str">
        <f aca="false">IF(A306="","",IF(G306&lt;=0.005,"",A306+1))</f>
        <v/>
      </c>
      <c r="B307" s="21" t="str">
        <f aca="false">IF(A307="","",EDATE($B$6,A307-1))</f>
        <v/>
      </c>
      <c r="C307" s="15" t="str">
        <f aca="false">IF(A307="","",G306)</f>
        <v/>
      </c>
      <c r="D307" s="15" t="str">
        <f aca="false">IF(A307="","",IF(A307&gt;=$B$4,C307+E307,MIN($B$8+$B$5,C307+E307)))</f>
        <v/>
      </c>
      <c r="E307" s="15" t="str">
        <f aca="false">IF(A307="","",ROUND(C307*$B$3/100/12,2))</f>
        <v/>
      </c>
      <c r="F307" s="15" t="str">
        <f aca="false">IF(A307="","",D307-E307)</f>
        <v/>
      </c>
      <c r="G307" s="15" t="str">
        <f aca="false">IF(A307="","",ROUND(C307-F307,2))</f>
        <v/>
      </c>
    </row>
    <row r="308" customFormat="false" ht="15" hidden="false" customHeight="false" outlineLevel="0" collapsed="false">
      <c r="A308" s="20" t="str">
        <f aca="false">IF(A307="","",IF(G307&lt;=0.005,"",A307+1))</f>
        <v/>
      </c>
      <c r="B308" s="21" t="str">
        <f aca="false">IF(A308="","",EDATE($B$6,A308-1))</f>
        <v/>
      </c>
      <c r="C308" s="15" t="str">
        <f aca="false">IF(A308="","",G307)</f>
        <v/>
      </c>
      <c r="D308" s="15" t="str">
        <f aca="false">IF(A308="","",IF(A308&gt;=$B$4,C308+E308,MIN($B$8+$B$5,C308+E308)))</f>
        <v/>
      </c>
      <c r="E308" s="15" t="str">
        <f aca="false">IF(A308="","",ROUND(C308*$B$3/100/12,2))</f>
        <v/>
      </c>
      <c r="F308" s="15" t="str">
        <f aca="false">IF(A308="","",D308-E308)</f>
        <v/>
      </c>
      <c r="G308" s="15" t="str">
        <f aca="false">IF(A308="","",ROUND(C308-F308,2))</f>
        <v/>
      </c>
    </row>
    <row r="309" customFormat="false" ht="15" hidden="false" customHeight="false" outlineLevel="0" collapsed="false">
      <c r="A309" s="20" t="str">
        <f aca="false">IF(A308="","",IF(G308&lt;=0.005,"",A308+1))</f>
        <v/>
      </c>
      <c r="B309" s="21" t="str">
        <f aca="false">IF(A309="","",EDATE($B$6,A309-1))</f>
        <v/>
      </c>
      <c r="C309" s="15" t="str">
        <f aca="false">IF(A309="","",G308)</f>
        <v/>
      </c>
      <c r="D309" s="15" t="str">
        <f aca="false">IF(A309="","",IF(A309&gt;=$B$4,C309+E309,MIN($B$8+$B$5,C309+E309)))</f>
        <v/>
      </c>
      <c r="E309" s="15" t="str">
        <f aca="false">IF(A309="","",ROUND(C309*$B$3/100/12,2))</f>
        <v/>
      </c>
      <c r="F309" s="15" t="str">
        <f aca="false">IF(A309="","",D309-E309)</f>
        <v/>
      </c>
      <c r="G309" s="15" t="str">
        <f aca="false">IF(A309="","",ROUND(C309-F309,2))</f>
        <v/>
      </c>
    </row>
    <row r="310" customFormat="false" ht="15" hidden="false" customHeight="false" outlineLevel="0" collapsed="false">
      <c r="A310" s="20" t="str">
        <f aca="false">IF(A309="","",IF(G309&lt;=0.005,"",A309+1))</f>
        <v/>
      </c>
      <c r="B310" s="21" t="str">
        <f aca="false">IF(A310="","",EDATE($B$6,A310-1))</f>
        <v/>
      </c>
      <c r="C310" s="15" t="str">
        <f aca="false">IF(A310="","",G309)</f>
        <v/>
      </c>
      <c r="D310" s="15" t="str">
        <f aca="false">IF(A310="","",IF(A310&gt;=$B$4,C310+E310,MIN($B$8+$B$5,C310+E310)))</f>
        <v/>
      </c>
      <c r="E310" s="15" t="str">
        <f aca="false">IF(A310="","",ROUND(C310*$B$3/100/12,2))</f>
        <v/>
      </c>
      <c r="F310" s="15" t="str">
        <f aca="false">IF(A310="","",D310-E310)</f>
        <v/>
      </c>
      <c r="G310" s="15" t="str">
        <f aca="false">IF(A310="","",ROUND(C310-F310,2))</f>
        <v/>
      </c>
    </row>
    <row r="311" customFormat="false" ht="15" hidden="false" customHeight="false" outlineLevel="0" collapsed="false">
      <c r="A311" s="20" t="str">
        <f aca="false">IF(A310="","",IF(G310&lt;=0.005,"",A310+1))</f>
        <v/>
      </c>
      <c r="B311" s="21" t="str">
        <f aca="false">IF(A311="","",EDATE($B$6,A311-1))</f>
        <v/>
      </c>
      <c r="C311" s="15" t="str">
        <f aca="false">IF(A311="","",G310)</f>
        <v/>
      </c>
      <c r="D311" s="15" t="str">
        <f aca="false">IF(A311="","",IF(A311&gt;=$B$4,C311+E311,MIN($B$8+$B$5,C311+E311)))</f>
        <v/>
      </c>
      <c r="E311" s="15" t="str">
        <f aca="false">IF(A311="","",ROUND(C311*$B$3/100/12,2))</f>
        <v/>
      </c>
      <c r="F311" s="15" t="str">
        <f aca="false">IF(A311="","",D311-E311)</f>
        <v/>
      </c>
      <c r="G311" s="15" t="str">
        <f aca="false">IF(A311="","",ROUND(C311-F311,2))</f>
        <v/>
      </c>
    </row>
    <row r="312" customFormat="false" ht="15" hidden="false" customHeight="false" outlineLevel="0" collapsed="false">
      <c r="A312" s="20" t="str">
        <f aca="false">IF(A311="","",IF(G311&lt;=0.005,"",A311+1))</f>
        <v/>
      </c>
      <c r="B312" s="21" t="str">
        <f aca="false">IF(A312="","",EDATE($B$6,A312-1))</f>
        <v/>
      </c>
      <c r="C312" s="15" t="str">
        <f aca="false">IF(A312="","",G311)</f>
        <v/>
      </c>
      <c r="D312" s="15" t="str">
        <f aca="false">IF(A312="","",IF(A312&gt;=$B$4,C312+E312,MIN($B$8+$B$5,C312+E312)))</f>
        <v/>
      </c>
      <c r="E312" s="15" t="str">
        <f aca="false">IF(A312="","",ROUND(C312*$B$3/100/12,2))</f>
        <v/>
      </c>
      <c r="F312" s="15" t="str">
        <f aca="false">IF(A312="","",D312-E312)</f>
        <v/>
      </c>
      <c r="G312" s="15" t="str">
        <f aca="false">IF(A312="","",ROUND(C312-F312,2))</f>
        <v/>
      </c>
    </row>
    <row r="313" customFormat="false" ht="15" hidden="false" customHeight="false" outlineLevel="0" collapsed="false">
      <c r="A313" s="20" t="str">
        <f aca="false">IF(A312="","",IF(G312&lt;=0.005,"",A312+1))</f>
        <v/>
      </c>
      <c r="B313" s="21" t="str">
        <f aca="false">IF(A313="","",EDATE($B$6,A313-1))</f>
        <v/>
      </c>
      <c r="C313" s="15" t="str">
        <f aca="false">IF(A313="","",G312)</f>
        <v/>
      </c>
      <c r="D313" s="15" t="str">
        <f aca="false">IF(A313="","",IF(A313&gt;=$B$4,C313+E313,MIN($B$8+$B$5,C313+E313)))</f>
        <v/>
      </c>
      <c r="E313" s="15" t="str">
        <f aca="false">IF(A313="","",ROUND(C313*$B$3/100/12,2))</f>
        <v/>
      </c>
      <c r="F313" s="15" t="str">
        <f aca="false">IF(A313="","",D313-E313)</f>
        <v/>
      </c>
      <c r="G313" s="15" t="str">
        <f aca="false">IF(A313="","",ROUND(C313-F313,2))</f>
        <v/>
      </c>
    </row>
    <row r="314" customFormat="false" ht="15" hidden="false" customHeight="false" outlineLevel="0" collapsed="false">
      <c r="A314" s="20" t="str">
        <f aca="false">IF(A313="","",IF(G313&lt;=0.005,"",A313+1))</f>
        <v/>
      </c>
      <c r="B314" s="21" t="str">
        <f aca="false">IF(A314="","",EDATE($B$6,A314-1))</f>
        <v/>
      </c>
      <c r="C314" s="15" t="str">
        <f aca="false">IF(A314="","",G313)</f>
        <v/>
      </c>
      <c r="D314" s="15" t="str">
        <f aca="false">IF(A314="","",IF(A314&gt;=$B$4,C314+E314,MIN($B$8+$B$5,C314+E314)))</f>
        <v/>
      </c>
      <c r="E314" s="15" t="str">
        <f aca="false">IF(A314="","",ROUND(C314*$B$3/100/12,2))</f>
        <v/>
      </c>
      <c r="F314" s="15" t="str">
        <f aca="false">IF(A314="","",D314-E314)</f>
        <v/>
      </c>
      <c r="G314" s="15" t="str">
        <f aca="false">IF(A314="","",ROUND(C314-F314,2))</f>
        <v/>
      </c>
    </row>
    <row r="315" customFormat="false" ht="15" hidden="false" customHeight="false" outlineLevel="0" collapsed="false">
      <c r="A315" s="20" t="str">
        <f aca="false">IF(A314="","",IF(G314&lt;=0.005,"",A314+1))</f>
        <v/>
      </c>
      <c r="B315" s="21" t="str">
        <f aca="false">IF(A315="","",EDATE($B$6,A315-1))</f>
        <v/>
      </c>
      <c r="C315" s="15" t="str">
        <f aca="false">IF(A315="","",G314)</f>
        <v/>
      </c>
      <c r="D315" s="15" t="str">
        <f aca="false">IF(A315="","",IF(A315&gt;=$B$4,C315+E315,MIN($B$8+$B$5,C315+E315)))</f>
        <v/>
      </c>
      <c r="E315" s="15" t="str">
        <f aca="false">IF(A315="","",ROUND(C315*$B$3/100/12,2))</f>
        <v/>
      </c>
      <c r="F315" s="15" t="str">
        <f aca="false">IF(A315="","",D315-E315)</f>
        <v/>
      </c>
      <c r="G315" s="15" t="str">
        <f aca="false">IF(A315="","",ROUND(C315-F315,2))</f>
        <v/>
      </c>
    </row>
    <row r="316" customFormat="false" ht="15" hidden="false" customHeight="false" outlineLevel="0" collapsed="false">
      <c r="A316" s="20" t="str">
        <f aca="false">IF(A315="","",IF(G315&lt;=0.005,"",A315+1))</f>
        <v/>
      </c>
      <c r="B316" s="21" t="str">
        <f aca="false">IF(A316="","",EDATE($B$6,A316-1))</f>
        <v/>
      </c>
      <c r="C316" s="15" t="str">
        <f aca="false">IF(A316="","",G315)</f>
        <v/>
      </c>
      <c r="D316" s="15" t="str">
        <f aca="false">IF(A316="","",IF(A316&gt;=$B$4,C316+E316,MIN($B$8+$B$5,C316+E316)))</f>
        <v/>
      </c>
      <c r="E316" s="15" t="str">
        <f aca="false">IF(A316="","",ROUND(C316*$B$3/100/12,2))</f>
        <v/>
      </c>
      <c r="F316" s="15" t="str">
        <f aca="false">IF(A316="","",D316-E316)</f>
        <v/>
      </c>
      <c r="G316" s="15" t="str">
        <f aca="false">IF(A316="","",ROUND(C316-F316,2))</f>
        <v/>
      </c>
    </row>
    <row r="317" customFormat="false" ht="15" hidden="false" customHeight="false" outlineLevel="0" collapsed="false">
      <c r="A317" s="20" t="str">
        <f aca="false">IF(A316="","",IF(G316&lt;=0.005,"",A316+1))</f>
        <v/>
      </c>
      <c r="B317" s="21" t="str">
        <f aca="false">IF(A317="","",EDATE($B$6,A317-1))</f>
        <v/>
      </c>
      <c r="C317" s="15" t="str">
        <f aca="false">IF(A317="","",G316)</f>
        <v/>
      </c>
      <c r="D317" s="15" t="str">
        <f aca="false">IF(A317="","",IF(A317&gt;=$B$4,C317+E317,MIN($B$8+$B$5,C317+E317)))</f>
        <v/>
      </c>
      <c r="E317" s="15" t="str">
        <f aca="false">IF(A317="","",ROUND(C317*$B$3/100/12,2))</f>
        <v/>
      </c>
      <c r="F317" s="15" t="str">
        <f aca="false">IF(A317="","",D317-E317)</f>
        <v/>
      </c>
      <c r="G317" s="15" t="str">
        <f aca="false">IF(A317="","",ROUND(C317-F317,2))</f>
        <v/>
      </c>
    </row>
    <row r="318" customFormat="false" ht="15" hidden="false" customHeight="false" outlineLevel="0" collapsed="false">
      <c r="A318" s="20" t="str">
        <f aca="false">IF(A317="","",IF(G317&lt;=0.005,"",A317+1))</f>
        <v/>
      </c>
      <c r="B318" s="21" t="str">
        <f aca="false">IF(A318="","",EDATE($B$6,A318-1))</f>
        <v/>
      </c>
      <c r="C318" s="15" t="str">
        <f aca="false">IF(A318="","",G317)</f>
        <v/>
      </c>
      <c r="D318" s="15" t="str">
        <f aca="false">IF(A318="","",IF(A318&gt;=$B$4,C318+E318,MIN($B$8+$B$5,C318+E318)))</f>
        <v/>
      </c>
      <c r="E318" s="15" t="str">
        <f aca="false">IF(A318="","",ROUND(C318*$B$3/100/12,2))</f>
        <v/>
      </c>
      <c r="F318" s="15" t="str">
        <f aca="false">IF(A318="","",D318-E318)</f>
        <v/>
      </c>
      <c r="G318" s="15" t="str">
        <f aca="false">IF(A318="","",ROUND(C318-F318,2))</f>
        <v/>
      </c>
    </row>
    <row r="319" customFormat="false" ht="15" hidden="false" customHeight="false" outlineLevel="0" collapsed="false">
      <c r="A319" s="20" t="str">
        <f aca="false">IF(A318="","",IF(G318&lt;=0.005,"",A318+1))</f>
        <v/>
      </c>
      <c r="B319" s="21" t="str">
        <f aca="false">IF(A319="","",EDATE($B$6,A319-1))</f>
        <v/>
      </c>
      <c r="C319" s="15" t="str">
        <f aca="false">IF(A319="","",G318)</f>
        <v/>
      </c>
      <c r="D319" s="15" t="str">
        <f aca="false">IF(A319="","",IF(A319&gt;=$B$4,C319+E319,MIN($B$8+$B$5,C319+E319)))</f>
        <v/>
      </c>
      <c r="E319" s="15" t="str">
        <f aca="false">IF(A319="","",ROUND(C319*$B$3/100/12,2))</f>
        <v/>
      </c>
      <c r="F319" s="15" t="str">
        <f aca="false">IF(A319="","",D319-E319)</f>
        <v/>
      </c>
      <c r="G319" s="15" t="str">
        <f aca="false">IF(A319="","",ROUND(C319-F319,2))</f>
        <v/>
      </c>
    </row>
    <row r="320" customFormat="false" ht="15" hidden="false" customHeight="false" outlineLevel="0" collapsed="false">
      <c r="A320" s="20" t="str">
        <f aca="false">IF(A319="","",IF(G319&lt;=0.005,"",A319+1))</f>
        <v/>
      </c>
      <c r="B320" s="21" t="str">
        <f aca="false">IF(A320="","",EDATE($B$6,A320-1))</f>
        <v/>
      </c>
      <c r="C320" s="15" t="str">
        <f aca="false">IF(A320="","",G319)</f>
        <v/>
      </c>
      <c r="D320" s="15" t="str">
        <f aca="false">IF(A320="","",IF(A320&gt;=$B$4,C320+E320,MIN($B$8+$B$5,C320+E320)))</f>
        <v/>
      </c>
      <c r="E320" s="15" t="str">
        <f aca="false">IF(A320="","",ROUND(C320*$B$3/100/12,2))</f>
        <v/>
      </c>
      <c r="F320" s="15" t="str">
        <f aca="false">IF(A320="","",D320-E320)</f>
        <v/>
      </c>
      <c r="G320" s="15" t="str">
        <f aca="false">IF(A320="","",ROUND(C320-F320,2))</f>
        <v/>
      </c>
    </row>
    <row r="321" customFormat="false" ht="15" hidden="false" customHeight="false" outlineLevel="0" collapsed="false">
      <c r="A321" s="20" t="str">
        <f aca="false">IF(A320="","",IF(G320&lt;=0.005,"",A320+1))</f>
        <v/>
      </c>
      <c r="B321" s="21" t="str">
        <f aca="false">IF(A321="","",EDATE($B$6,A321-1))</f>
        <v/>
      </c>
      <c r="C321" s="15" t="str">
        <f aca="false">IF(A321="","",G320)</f>
        <v/>
      </c>
      <c r="D321" s="15" t="str">
        <f aca="false">IF(A321="","",IF(A321&gt;=$B$4,C321+E321,MIN($B$8+$B$5,C321+E321)))</f>
        <v/>
      </c>
      <c r="E321" s="15" t="str">
        <f aca="false">IF(A321="","",ROUND(C321*$B$3/100/12,2))</f>
        <v/>
      </c>
      <c r="F321" s="15" t="str">
        <f aca="false">IF(A321="","",D321-E321)</f>
        <v/>
      </c>
      <c r="G321" s="15" t="str">
        <f aca="false">IF(A321="","",ROUND(C321-F321,2))</f>
        <v/>
      </c>
    </row>
    <row r="322" customFormat="false" ht="15" hidden="false" customHeight="false" outlineLevel="0" collapsed="false">
      <c r="A322" s="20" t="str">
        <f aca="false">IF(A321="","",IF(G321&lt;=0.005,"",A321+1))</f>
        <v/>
      </c>
      <c r="B322" s="21" t="str">
        <f aca="false">IF(A322="","",EDATE($B$6,A322-1))</f>
        <v/>
      </c>
      <c r="C322" s="15" t="str">
        <f aca="false">IF(A322="","",G321)</f>
        <v/>
      </c>
      <c r="D322" s="15" t="str">
        <f aca="false">IF(A322="","",IF(A322&gt;=$B$4,C322+E322,MIN($B$8+$B$5,C322+E322)))</f>
        <v/>
      </c>
      <c r="E322" s="15" t="str">
        <f aca="false">IF(A322="","",ROUND(C322*$B$3/100/12,2))</f>
        <v/>
      </c>
      <c r="F322" s="15" t="str">
        <f aca="false">IF(A322="","",D322-E322)</f>
        <v/>
      </c>
      <c r="G322" s="15" t="str">
        <f aca="false">IF(A322="","",ROUND(C322-F322,2))</f>
        <v/>
      </c>
    </row>
    <row r="323" customFormat="false" ht="15" hidden="false" customHeight="false" outlineLevel="0" collapsed="false">
      <c r="A323" s="20" t="str">
        <f aca="false">IF(A322="","",IF(G322&lt;=0.005,"",A322+1))</f>
        <v/>
      </c>
      <c r="B323" s="21" t="str">
        <f aca="false">IF(A323="","",EDATE($B$6,A323-1))</f>
        <v/>
      </c>
      <c r="C323" s="15" t="str">
        <f aca="false">IF(A323="","",G322)</f>
        <v/>
      </c>
      <c r="D323" s="15" t="str">
        <f aca="false">IF(A323="","",IF(A323&gt;=$B$4,C323+E323,MIN($B$8+$B$5,C323+E323)))</f>
        <v/>
      </c>
      <c r="E323" s="15" t="str">
        <f aca="false">IF(A323="","",ROUND(C323*$B$3/100/12,2))</f>
        <v/>
      </c>
      <c r="F323" s="15" t="str">
        <f aca="false">IF(A323="","",D323-E323)</f>
        <v/>
      </c>
      <c r="G323" s="15" t="str">
        <f aca="false">IF(A323="","",ROUND(C323-F323,2))</f>
        <v/>
      </c>
    </row>
    <row r="324" customFormat="false" ht="15" hidden="false" customHeight="false" outlineLevel="0" collapsed="false">
      <c r="A324" s="20" t="str">
        <f aca="false">IF(A323="","",IF(G323&lt;=0.005,"",A323+1))</f>
        <v/>
      </c>
      <c r="B324" s="21" t="str">
        <f aca="false">IF(A324="","",EDATE($B$6,A324-1))</f>
        <v/>
      </c>
      <c r="C324" s="15" t="str">
        <f aca="false">IF(A324="","",G323)</f>
        <v/>
      </c>
      <c r="D324" s="15" t="str">
        <f aca="false">IF(A324="","",IF(A324&gt;=$B$4,C324+E324,MIN($B$8+$B$5,C324+E324)))</f>
        <v/>
      </c>
      <c r="E324" s="15" t="str">
        <f aca="false">IF(A324="","",ROUND(C324*$B$3/100/12,2))</f>
        <v/>
      </c>
      <c r="F324" s="15" t="str">
        <f aca="false">IF(A324="","",D324-E324)</f>
        <v/>
      </c>
      <c r="G324" s="15" t="str">
        <f aca="false">IF(A324="","",ROUND(C324-F324,2))</f>
        <v/>
      </c>
    </row>
    <row r="325" customFormat="false" ht="15" hidden="false" customHeight="false" outlineLevel="0" collapsed="false">
      <c r="A325" s="20" t="str">
        <f aca="false">IF(A324="","",IF(G324&lt;=0.005,"",A324+1))</f>
        <v/>
      </c>
      <c r="B325" s="21" t="str">
        <f aca="false">IF(A325="","",EDATE($B$6,A325-1))</f>
        <v/>
      </c>
      <c r="C325" s="15" t="str">
        <f aca="false">IF(A325="","",G324)</f>
        <v/>
      </c>
      <c r="D325" s="15" t="str">
        <f aca="false">IF(A325="","",IF(A325&gt;=$B$4,C325+E325,MIN($B$8+$B$5,C325+E325)))</f>
        <v/>
      </c>
      <c r="E325" s="15" t="str">
        <f aca="false">IF(A325="","",ROUND(C325*$B$3/100/12,2))</f>
        <v/>
      </c>
      <c r="F325" s="15" t="str">
        <f aca="false">IF(A325="","",D325-E325)</f>
        <v/>
      </c>
      <c r="G325" s="15" t="str">
        <f aca="false">IF(A325="","",ROUND(C325-F325,2))</f>
        <v/>
      </c>
    </row>
    <row r="326" customFormat="false" ht="15" hidden="false" customHeight="false" outlineLevel="0" collapsed="false">
      <c r="A326" s="20" t="str">
        <f aca="false">IF(A325="","",IF(G325&lt;=0.005,"",A325+1))</f>
        <v/>
      </c>
      <c r="B326" s="21" t="str">
        <f aca="false">IF(A326="","",EDATE($B$6,A326-1))</f>
        <v/>
      </c>
      <c r="C326" s="15" t="str">
        <f aca="false">IF(A326="","",G325)</f>
        <v/>
      </c>
      <c r="D326" s="15" t="str">
        <f aca="false">IF(A326="","",IF(A326&gt;=$B$4,C326+E326,MIN($B$8+$B$5,C326+E326)))</f>
        <v/>
      </c>
      <c r="E326" s="15" t="str">
        <f aca="false">IF(A326="","",ROUND(C326*$B$3/100/12,2))</f>
        <v/>
      </c>
      <c r="F326" s="15" t="str">
        <f aca="false">IF(A326="","",D326-E326)</f>
        <v/>
      </c>
      <c r="G326" s="15" t="str">
        <f aca="false">IF(A326="","",ROUND(C326-F326,2))</f>
        <v/>
      </c>
    </row>
    <row r="327" customFormat="false" ht="15" hidden="false" customHeight="false" outlineLevel="0" collapsed="false">
      <c r="A327" s="20" t="str">
        <f aca="false">IF(A326="","",IF(G326&lt;=0.005,"",A326+1))</f>
        <v/>
      </c>
      <c r="B327" s="21" t="str">
        <f aca="false">IF(A327="","",EDATE($B$6,A327-1))</f>
        <v/>
      </c>
      <c r="C327" s="15" t="str">
        <f aca="false">IF(A327="","",G326)</f>
        <v/>
      </c>
      <c r="D327" s="15" t="str">
        <f aca="false">IF(A327="","",IF(A327&gt;=$B$4,C327+E327,MIN($B$8+$B$5,C327+E327)))</f>
        <v/>
      </c>
      <c r="E327" s="15" t="str">
        <f aca="false">IF(A327="","",ROUND(C327*$B$3/100/12,2))</f>
        <v/>
      </c>
      <c r="F327" s="15" t="str">
        <f aca="false">IF(A327="","",D327-E327)</f>
        <v/>
      </c>
      <c r="G327" s="15" t="str">
        <f aca="false">IF(A327="","",ROUND(C327-F327,2))</f>
        <v/>
      </c>
    </row>
    <row r="328" customFormat="false" ht="15" hidden="false" customHeight="false" outlineLevel="0" collapsed="false">
      <c r="A328" s="20" t="str">
        <f aca="false">IF(A327="","",IF(G327&lt;=0.005,"",A327+1))</f>
        <v/>
      </c>
      <c r="B328" s="21" t="str">
        <f aca="false">IF(A328="","",EDATE($B$6,A328-1))</f>
        <v/>
      </c>
      <c r="C328" s="15" t="str">
        <f aca="false">IF(A328="","",G327)</f>
        <v/>
      </c>
      <c r="D328" s="15" t="str">
        <f aca="false">IF(A328="","",IF(A328&gt;=$B$4,C328+E328,MIN($B$8+$B$5,C328+E328)))</f>
        <v/>
      </c>
      <c r="E328" s="15" t="str">
        <f aca="false">IF(A328="","",ROUND(C328*$B$3/100/12,2))</f>
        <v/>
      </c>
      <c r="F328" s="15" t="str">
        <f aca="false">IF(A328="","",D328-E328)</f>
        <v/>
      </c>
      <c r="G328" s="15" t="str">
        <f aca="false">IF(A328="","",ROUND(C328-F328,2))</f>
        <v/>
      </c>
    </row>
    <row r="329" customFormat="false" ht="15" hidden="false" customHeight="false" outlineLevel="0" collapsed="false">
      <c r="A329" s="20" t="str">
        <f aca="false">IF(A328="","",IF(G328&lt;=0.005,"",A328+1))</f>
        <v/>
      </c>
      <c r="B329" s="21" t="str">
        <f aca="false">IF(A329="","",EDATE($B$6,A329-1))</f>
        <v/>
      </c>
      <c r="C329" s="15" t="str">
        <f aca="false">IF(A329="","",G328)</f>
        <v/>
      </c>
      <c r="D329" s="15" t="str">
        <f aca="false">IF(A329="","",IF(A329&gt;=$B$4,C329+E329,MIN($B$8+$B$5,C329+E329)))</f>
        <v/>
      </c>
      <c r="E329" s="15" t="str">
        <f aca="false">IF(A329="","",ROUND(C329*$B$3/100/12,2))</f>
        <v/>
      </c>
      <c r="F329" s="15" t="str">
        <f aca="false">IF(A329="","",D329-E329)</f>
        <v/>
      </c>
      <c r="G329" s="15" t="str">
        <f aca="false">IF(A329="","",ROUND(C329-F329,2))</f>
        <v/>
      </c>
    </row>
    <row r="330" customFormat="false" ht="15" hidden="false" customHeight="false" outlineLevel="0" collapsed="false">
      <c r="A330" s="20" t="str">
        <f aca="false">IF(A329="","",IF(G329&lt;=0.005,"",A329+1))</f>
        <v/>
      </c>
      <c r="B330" s="21" t="str">
        <f aca="false">IF(A330="","",EDATE($B$6,A330-1))</f>
        <v/>
      </c>
      <c r="C330" s="15" t="str">
        <f aca="false">IF(A330="","",G329)</f>
        <v/>
      </c>
      <c r="D330" s="15" t="str">
        <f aca="false">IF(A330="","",IF(A330&gt;=$B$4,C330+E330,MIN($B$8+$B$5,C330+E330)))</f>
        <v/>
      </c>
      <c r="E330" s="15" t="str">
        <f aca="false">IF(A330="","",ROUND(C330*$B$3/100/12,2))</f>
        <v/>
      </c>
      <c r="F330" s="15" t="str">
        <f aca="false">IF(A330="","",D330-E330)</f>
        <v/>
      </c>
      <c r="G330" s="15" t="str">
        <f aca="false">IF(A330="","",ROUND(C330-F330,2))</f>
        <v/>
      </c>
    </row>
    <row r="331" customFormat="false" ht="15" hidden="false" customHeight="false" outlineLevel="0" collapsed="false">
      <c r="A331" s="20" t="str">
        <f aca="false">IF(A330="","",IF(G330&lt;=0.005,"",A330+1))</f>
        <v/>
      </c>
      <c r="B331" s="21" t="str">
        <f aca="false">IF(A331="","",EDATE($B$6,A331-1))</f>
        <v/>
      </c>
      <c r="C331" s="15" t="str">
        <f aca="false">IF(A331="","",G330)</f>
        <v/>
      </c>
      <c r="D331" s="15" t="str">
        <f aca="false">IF(A331="","",IF(A331&gt;=$B$4,C331+E331,MIN($B$8+$B$5,C331+E331)))</f>
        <v/>
      </c>
      <c r="E331" s="15" t="str">
        <f aca="false">IF(A331="","",ROUND(C331*$B$3/100/12,2))</f>
        <v/>
      </c>
      <c r="F331" s="15" t="str">
        <f aca="false">IF(A331="","",D331-E331)</f>
        <v/>
      </c>
      <c r="G331" s="15" t="str">
        <f aca="false">IF(A331="","",ROUND(C331-F331,2))</f>
        <v/>
      </c>
    </row>
    <row r="332" customFormat="false" ht="15" hidden="false" customHeight="false" outlineLevel="0" collapsed="false">
      <c r="A332" s="20" t="str">
        <f aca="false">IF(A331="","",IF(G331&lt;=0.005,"",A331+1))</f>
        <v/>
      </c>
      <c r="B332" s="21" t="str">
        <f aca="false">IF(A332="","",EDATE($B$6,A332-1))</f>
        <v/>
      </c>
      <c r="C332" s="15" t="str">
        <f aca="false">IF(A332="","",G331)</f>
        <v/>
      </c>
      <c r="D332" s="15" t="str">
        <f aca="false">IF(A332="","",IF(A332&gt;=$B$4,C332+E332,MIN($B$8+$B$5,C332+E332)))</f>
        <v/>
      </c>
      <c r="E332" s="15" t="str">
        <f aca="false">IF(A332="","",ROUND(C332*$B$3/100/12,2))</f>
        <v/>
      </c>
      <c r="F332" s="15" t="str">
        <f aca="false">IF(A332="","",D332-E332)</f>
        <v/>
      </c>
      <c r="G332" s="15" t="str">
        <f aca="false">IF(A332="","",ROUND(C332-F332,2))</f>
        <v/>
      </c>
    </row>
    <row r="333" customFormat="false" ht="15" hidden="false" customHeight="false" outlineLevel="0" collapsed="false">
      <c r="A333" s="20" t="str">
        <f aca="false">IF(A332="","",IF(G332&lt;=0.005,"",A332+1))</f>
        <v/>
      </c>
      <c r="B333" s="21" t="str">
        <f aca="false">IF(A333="","",EDATE($B$6,A333-1))</f>
        <v/>
      </c>
      <c r="C333" s="15" t="str">
        <f aca="false">IF(A333="","",G332)</f>
        <v/>
      </c>
      <c r="D333" s="15" t="str">
        <f aca="false">IF(A333="","",IF(A333&gt;=$B$4,C333+E333,MIN($B$8+$B$5,C333+E333)))</f>
        <v/>
      </c>
      <c r="E333" s="15" t="str">
        <f aca="false">IF(A333="","",ROUND(C333*$B$3/100/12,2))</f>
        <v/>
      </c>
      <c r="F333" s="15" t="str">
        <f aca="false">IF(A333="","",D333-E333)</f>
        <v/>
      </c>
      <c r="G333" s="15" t="str">
        <f aca="false">IF(A333="","",ROUND(C333-F333,2))</f>
        <v/>
      </c>
    </row>
    <row r="334" customFormat="false" ht="15" hidden="false" customHeight="false" outlineLevel="0" collapsed="false">
      <c r="A334" s="20" t="str">
        <f aca="false">IF(A333="","",IF(G333&lt;=0.005,"",A333+1))</f>
        <v/>
      </c>
      <c r="B334" s="21" t="str">
        <f aca="false">IF(A334="","",EDATE($B$6,A334-1))</f>
        <v/>
      </c>
      <c r="C334" s="15" t="str">
        <f aca="false">IF(A334="","",G333)</f>
        <v/>
      </c>
      <c r="D334" s="15" t="str">
        <f aca="false">IF(A334="","",IF(A334&gt;=$B$4,C334+E334,MIN($B$8+$B$5,C334+E334)))</f>
        <v/>
      </c>
      <c r="E334" s="15" t="str">
        <f aca="false">IF(A334="","",ROUND(C334*$B$3/100/12,2))</f>
        <v/>
      </c>
      <c r="F334" s="15" t="str">
        <f aca="false">IF(A334="","",D334-E334)</f>
        <v/>
      </c>
      <c r="G334" s="15" t="str">
        <f aca="false">IF(A334="","",ROUND(C334-F334,2))</f>
        <v/>
      </c>
    </row>
    <row r="335" customFormat="false" ht="15" hidden="false" customHeight="false" outlineLevel="0" collapsed="false">
      <c r="A335" s="20" t="str">
        <f aca="false">IF(A334="","",IF(G334&lt;=0.005,"",A334+1))</f>
        <v/>
      </c>
      <c r="B335" s="21" t="str">
        <f aca="false">IF(A335="","",EDATE($B$6,A335-1))</f>
        <v/>
      </c>
      <c r="C335" s="15" t="str">
        <f aca="false">IF(A335="","",G334)</f>
        <v/>
      </c>
      <c r="D335" s="15" t="str">
        <f aca="false">IF(A335="","",IF(A335&gt;=$B$4,C335+E335,MIN($B$8+$B$5,C335+E335)))</f>
        <v/>
      </c>
      <c r="E335" s="15" t="str">
        <f aca="false">IF(A335="","",ROUND(C335*$B$3/100/12,2))</f>
        <v/>
      </c>
      <c r="F335" s="15" t="str">
        <f aca="false">IF(A335="","",D335-E335)</f>
        <v/>
      </c>
      <c r="G335" s="15" t="str">
        <f aca="false">IF(A335="","",ROUND(C335-F335,2))</f>
        <v/>
      </c>
    </row>
    <row r="336" customFormat="false" ht="15" hidden="false" customHeight="false" outlineLevel="0" collapsed="false">
      <c r="A336" s="20" t="str">
        <f aca="false">IF(A335="","",IF(G335&lt;=0.005,"",A335+1))</f>
        <v/>
      </c>
      <c r="B336" s="21" t="str">
        <f aca="false">IF(A336="","",EDATE($B$6,A336-1))</f>
        <v/>
      </c>
      <c r="C336" s="15" t="str">
        <f aca="false">IF(A336="","",G335)</f>
        <v/>
      </c>
      <c r="D336" s="15" t="str">
        <f aca="false">IF(A336="","",IF(A336&gt;=$B$4,C336+E336,MIN($B$8+$B$5,C336+E336)))</f>
        <v/>
      </c>
      <c r="E336" s="15" t="str">
        <f aca="false">IF(A336="","",ROUND(C336*$B$3/100/12,2))</f>
        <v/>
      </c>
      <c r="F336" s="15" t="str">
        <f aca="false">IF(A336="","",D336-E336)</f>
        <v/>
      </c>
      <c r="G336" s="15" t="str">
        <f aca="false">IF(A336="","",ROUND(C336-F336,2))</f>
        <v/>
      </c>
    </row>
    <row r="337" customFormat="false" ht="15" hidden="false" customHeight="false" outlineLevel="0" collapsed="false">
      <c r="A337" s="20" t="str">
        <f aca="false">IF(A336="","",IF(G336&lt;=0.005,"",A336+1))</f>
        <v/>
      </c>
      <c r="B337" s="21" t="str">
        <f aca="false">IF(A337="","",EDATE($B$6,A337-1))</f>
        <v/>
      </c>
      <c r="C337" s="15" t="str">
        <f aca="false">IF(A337="","",G336)</f>
        <v/>
      </c>
      <c r="D337" s="15" t="str">
        <f aca="false">IF(A337="","",IF(A337&gt;=$B$4,C337+E337,MIN($B$8+$B$5,C337+E337)))</f>
        <v/>
      </c>
      <c r="E337" s="15" t="str">
        <f aca="false">IF(A337="","",ROUND(C337*$B$3/100/12,2))</f>
        <v/>
      </c>
      <c r="F337" s="15" t="str">
        <f aca="false">IF(A337="","",D337-E337)</f>
        <v/>
      </c>
      <c r="G337" s="15" t="str">
        <f aca="false">IF(A337="","",ROUND(C337-F337,2))</f>
        <v/>
      </c>
    </row>
    <row r="338" customFormat="false" ht="15" hidden="false" customHeight="false" outlineLevel="0" collapsed="false">
      <c r="A338" s="20" t="str">
        <f aca="false">IF(A337="","",IF(G337&lt;=0.005,"",A337+1))</f>
        <v/>
      </c>
      <c r="B338" s="21" t="str">
        <f aca="false">IF(A338="","",EDATE($B$6,A338-1))</f>
        <v/>
      </c>
      <c r="C338" s="15" t="str">
        <f aca="false">IF(A338="","",G337)</f>
        <v/>
      </c>
      <c r="D338" s="15" t="str">
        <f aca="false">IF(A338="","",IF(A338&gt;=$B$4,C338+E338,MIN($B$8+$B$5,C338+E338)))</f>
        <v/>
      </c>
      <c r="E338" s="15" t="str">
        <f aca="false">IF(A338="","",ROUND(C338*$B$3/100/12,2))</f>
        <v/>
      </c>
      <c r="F338" s="15" t="str">
        <f aca="false">IF(A338="","",D338-E338)</f>
        <v/>
      </c>
      <c r="G338" s="15" t="str">
        <f aca="false">IF(A338="","",ROUND(C338-F338,2))</f>
        <v/>
      </c>
    </row>
    <row r="339" customFormat="false" ht="15" hidden="false" customHeight="false" outlineLevel="0" collapsed="false">
      <c r="A339" s="20" t="str">
        <f aca="false">IF(A338="","",IF(G338&lt;=0.005,"",A338+1))</f>
        <v/>
      </c>
      <c r="B339" s="21" t="str">
        <f aca="false">IF(A339="","",EDATE($B$6,A339-1))</f>
        <v/>
      </c>
      <c r="C339" s="15" t="str">
        <f aca="false">IF(A339="","",G338)</f>
        <v/>
      </c>
      <c r="D339" s="15" t="str">
        <f aca="false">IF(A339="","",IF(A339&gt;=$B$4,C339+E339,MIN($B$8+$B$5,C339+E339)))</f>
        <v/>
      </c>
      <c r="E339" s="15" t="str">
        <f aca="false">IF(A339="","",ROUND(C339*$B$3/100/12,2))</f>
        <v/>
      </c>
      <c r="F339" s="15" t="str">
        <f aca="false">IF(A339="","",D339-E339)</f>
        <v/>
      </c>
      <c r="G339" s="15" t="str">
        <f aca="false">IF(A339="","",ROUND(C339-F339,2))</f>
        <v/>
      </c>
    </row>
    <row r="340" customFormat="false" ht="15" hidden="false" customHeight="false" outlineLevel="0" collapsed="false">
      <c r="A340" s="20" t="str">
        <f aca="false">IF(A339="","",IF(G339&lt;=0.005,"",A339+1))</f>
        <v/>
      </c>
      <c r="B340" s="21" t="str">
        <f aca="false">IF(A340="","",EDATE($B$6,A340-1))</f>
        <v/>
      </c>
      <c r="C340" s="15" t="str">
        <f aca="false">IF(A340="","",G339)</f>
        <v/>
      </c>
      <c r="D340" s="15" t="str">
        <f aca="false">IF(A340="","",IF(A340&gt;=$B$4,C340+E340,MIN($B$8+$B$5,C340+E340)))</f>
        <v/>
      </c>
      <c r="E340" s="15" t="str">
        <f aca="false">IF(A340="","",ROUND(C340*$B$3/100/12,2))</f>
        <v/>
      </c>
      <c r="F340" s="15" t="str">
        <f aca="false">IF(A340="","",D340-E340)</f>
        <v/>
      </c>
      <c r="G340" s="15" t="str">
        <f aca="false">IF(A340="","",ROUND(C340-F340,2))</f>
        <v/>
      </c>
    </row>
    <row r="341" customFormat="false" ht="15" hidden="false" customHeight="false" outlineLevel="0" collapsed="false">
      <c r="A341" s="20" t="str">
        <f aca="false">IF(A340="","",IF(G340&lt;=0.005,"",A340+1))</f>
        <v/>
      </c>
      <c r="B341" s="21" t="str">
        <f aca="false">IF(A341="","",EDATE($B$6,A341-1))</f>
        <v/>
      </c>
      <c r="C341" s="15" t="str">
        <f aca="false">IF(A341="","",G340)</f>
        <v/>
      </c>
      <c r="D341" s="15" t="str">
        <f aca="false">IF(A341="","",IF(A341&gt;=$B$4,C341+E341,MIN($B$8+$B$5,C341+E341)))</f>
        <v/>
      </c>
      <c r="E341" s="15" t="str">
        <f aca="false">IF(A341="","",ROUND(C341*$B$3/100/12,2))</f>
        <v/>
      </c>
      <c r="F341" s="15" t="str">
        <f aca="false">IF(A341="","",D341-E341)</f>
        <v/>
      </c>
      <c r="G341" s="15" t="str">
        <f aca="false">IF(A341="","",ROUND(C341-F341,2))</f>
        <v/>
      </c>
    </row>
    <row r="342" customFormat="false" ht="15" hidden="false" customHeight="false" outlineLevel="0" collapsed="false">
      <c r="A342" s="20" t="str">
        <f aca="false">IF(A341="","",IF(G341&lt;=0.005,"",A341+1))</f>
        <v/>
      </c>
      <c r="B342" s="21" t="str">
        <f aca="false">IF(A342="","",EDATE($B$6,A342-1))</f>
        <v/>
      </c>
      <c r="C342" s="15" t="str">
        <f aca="false">IF(A342="","",G341)</f>
        <v/>
      </c>
      <c r="D342" s="15" t="str">
        <f aca="false">IF(A342="","",IF(A342&gt;=$B$4,C342+E342,MIN($B$8+$B$5,C342+E342)))</f>
        <v/>
      </c>
      <c r="E342" s="15" t="str">
        <f aca="false">IF(A342="","",ROUND(C342*$B$3/100/12,2))</f>
        <v/>
      </c>
      <c r="F342" s="15" t="str">
        <f aca="false">IF(A342="","",D342-E342)</f>
        <v/>
      </c>
      <c r="G342" s="15" t="str">
        <f aca="false">IF(A342="","",ROUND(C342-F342,2))</f>
        <v/>
      </c>
    </row>
    <row r="343" customFormat="false" ht="15" hidden="false" customHeight="false" outlineLevel="0" collapsed="false">
      <c r="A343" s="20" t="str">
        <f aca="false">IF(A342="","",IF(G342&lt;=0.005,"",A342+1))</f>
        <v/>
      </c>
      <c r="B343" s="21" t="str">
        <f aca="false">IF(A343="","",EDATE($B$6,A343-1))</f>
        <v/>
      </c>
      <c r="C343" s="15" t="str">
        <f aca="false">IF(A343="","",G342)</f>
        <v/>
      </c>
      <c r="D343" s="15" t="str">
        <f aca="false">IF(A343="","",IF(A343&gt;=$B$4,C343+E343,MIN($B$8+$B$5,C343+E343)))</f>
        <v/>
      </c>
      <c r="E343" s="15" t="str">
        <f aca="false">IF(A343="","",ROUND(C343*$B$3/100/12,2))</f>
        <v/>
      </c>
      <c r="F343" s="15" t="str">
        <f aca="false">IF(A343="","",D343-E343)</f>
        <v/>
      </c>
      <c r="G343" s="15" t="str">
        <f aca="false">IF(A343="","",ROUND(C343-F343,2))</f>
        <v/>
      </c>
    </row>
    <row r="344" customFormat="false" ht="15" hidden="false" customHeight="false" outlineLevel="0" collapsed="false">
      <c r="A344" s="20" t="str">
        <f aca="false">IF(A343="","",IF(G343&lt;=0.005,"",A343+1))</f>
        <v/>
      </c>
      <c r="B344" s="21" t="str">
        <f aca="false">IF(A344="","",EDATE($B$6,A344-1))</f>
        <v/>
      </c>
      <c r="C344" s="15" t="str">
        <f aca="false">IF(A344="","",G343)</f>
        <v/>
      </c>
      <c r="D344" s="15" t="str">
        <f aca="false">IF(A344="","",IF(A344&gt;=$B$4,C344+E344,MIN($B$8+$B$5,C344+E344)))</f>
        <v/>
      </c>
      <c r="E344" s="15" t="str">
        <f aca="false">IF(A344="","",ROUND(C344*$B$3/100/12,2))</f>
        <v/>
      </c>
      <c r="F344" s="15" t="str">
        <f aca="false">IF(A344="","",D344-E344)</f>
        <v/>
      </c>
      <c r="G344" s="15" t="str">
        <f aca="false">IF(A344="","",ROUND(C344-F344,2))</f>
        <v/>
      </c>
    </row>
    <row r="345" customFormat="false" ht="15" hidden="false" customHeight="false" outlineLevel="0" collapsed="false">
      <c r="A345" s="20" t="str">
        <f aca="false">IF(A344="","",IF(G344&lt;=0.005,"",A344+1))</f>
        <v/>
      </c>
      <c r="B345" s="21" t="str">
        <f aca="false">IF(A345="","",EDATE($B$6,A345-1))</f>
        <v/>
      </c>
      <c r="C345" s="15" t="str">
        <f aca="false">IF(A345="","",G344)</f>
        <v/>
      </c>
      <c r="D345" s="15" t="str">
        <f aca="false">IF(A345="","",IF(A345&gt;=$B$4,C345+E345,MIN($B$8+$B$5,C345+E345)))</f>
        <v/>
      </c>
      <c r="E345" s="15" t="str">
        <f aca="false">IF(A345="","",ROUND(C345*$B$3/100/12,2))</f>
        <v/>
      </c>
      <c r="F345" s="15" t="str">
        <f aca="false">IF(A345="","",D345-E345)</f>
        <v/>
      </c>
      <c r="G345" s="15" t="str">
        <f aca="false">IF(A345="","",ROUND(C345-F345,2))</f>
        <v/>
      </c>
    </row>
    <row r="346" customFormat="false" ht="15" hidden="false" customHeight="false" outlineLevel="0" collapsed="false">
      <c r="A346" s="20" t="str">
        <f aca="false">IF(A345="","",IF(G345&lt;=0.005,"",A345+1))</f>
        <v/>
      </c>
      <c r="B346" s="21" t="str">
        <f aca="false">IF(A346="","",EDATE($B$6,A346-1))</f>
        <v/>
      </c>
      <c r="C346" s="15" t="str">
        <f aca="false">IF(A346="","",G345)</f>
        <v/>
      </c>
      <c r="D346" s="15" t="str">
        <f aca="false">IF(A346="","",IF(A346&gt;=$B$4,C346+E346,MIN($B$8+$B$5,C346+E346)))</f>
        <v/>
      </c>
      <c r="E346" s="15" t="str">
        <f aca="false">IF(A346="","",ROUND(C346*$B$3/100/12,2))</f>
        <v/>
      </c>
      <c r="F346" s="15" t="str">
        <f aca="false">IF(A346="","",D346-E346)</f>
        <v/>
      </c>
      <c r="G346" s="15" t="str">
        <f aca="false">IF(A346="","",ROUND(C346-F346,2))</f>
        <v/>
      </c>
    </row>
    <row r="347" customFormat="false" ht="15" hidden="false" customHeight="false" outlineLevel="0" collapsed="false">
      <c r="A347" s="20" t="str">
        <f aca="false">IF(A346="","",IF(G346&lt;=0.005,"",A346+1))</f>
        <v/>
      </c>
      <c r="B347" s="21" t="str">
        <f aca="false">IF(A347="","",EDATE($B$6,A347-1))</f>
        <v/>
      </c>
      <c r="C347" s="15" t="str">
        <f aca="false">IF(A347="","",G346)</f>
        <v/>
      </c>
      <c r="D347" s="15" t="str">
        <f aca="false">IF(A347="","",IF(A347&gt;=$B$4,C347+E347,MIN($B$8+$B$5,C347+E347)))</f>
        <v/>
      </c>
      <c r="E347" s="15" t="str">
        <f aca="false">IF(A347="","",ROUND(C347*$B$3/100/12,2))</f>
        <v/>
      </c>
      <c r="F347" s="15" t="str">
        <f aca="false">IF(A347="","",D347-E347)</f>
        <v/>
      </c>
      <c r="G347" s="15" t="str">
        <f aca="false">IF(A347="","",ROUND(C347-F347,2))</f>
        <v/>
      </c>
    </row>
    <row r="348" customFormat="false" ht="15" hidden="false" customHeight="false" outlineLevel="0" collapsed="false">
      <c r="A348" s="20" t="str">
        <f aca="false">IF(A347="","",IF(G347&lt;=0.005,"",A347+1))</f>
        <v/>
      </c>
      <c r="B348" s="21" t="str">
        <f aca="false">IF(A348="","",EDATE($B$6,A348-1))</f>
        <v/>
      </c>
      <c r="C348" s="15" t="str">
        <f aca="false">IF(A348="","",G347)</f>
        <v/>
      </c>
      <c r="D348" s="15" t="str">
        <f aca="false">IF(A348="","",IF(A348&gt;=$B$4,C348+E348,MIN($B$8+$B$5,C348+E348)))</f>
        <v/>
      </c>
      <c r="E348" s="15" t="str">
        <f aca="false">IF(A348="","",ROUND(C348*$B$3/100/12,2))</f>
        <v/>
      </c>
      <c r="F348" s="15" t="str">
        <f aca="false">IF(A348="","",D348-E348)</f>
        <v/>
      </c>
      <c r="G348" s="15" t="str">
        <f aca="false">IF(A348="","",ROUND(C348-F348,2))</f>
        <v/>
      </c>
    </row>
    <row r="349" customFormat="false" ht="15" hidden="false" customHeight="false" outlineLevel="0" collapsed="false">
      <c r="A349" s="20" t="str">
        <f aca="false">IF(A348="","",IF(G348&lt;=0.005,"",A348+1))</f>
        <v/>
      </c>
      <c r="B349" s="21" t="str">
        <f aca="false">IF(A349="","",EDATE($B$6,A349-1))</f>
        <v/>
      </c>
      <c r="C349" s="15" t="str">
        <f aca="false">IF(A349="","",G348)</f>
        <v/>
      </c>
      <c r="D349" s="15" t="str">
        <f aca="false">IF(A349="","",IF(A349&gt;=$B$4,C349+E349,MIN($B$8+$B$5,C349+E349)))</f>
        <v/>
      </c>
      <c r="E349" s="15" t="str">
        <f aca="false">IF(A349="","",ROUND(C349*$B$3/100/12,2))</f>
        <v/>
      </c>
      <c r="F349" s="15" t="str">
        <f aca="false">IF(A349="","",D349-E349)</f>
        <v/>
      </c>
      <c r="G349" s="15" t="str">
        <f aca="false">IF(A349="","",ROUND(C349-F349,2))</f>
        <v/>
      </c>
    </row>
    <row r="350" customFormat="false" ht="15" hidden="false" customHeight="false" outlineLevel="0" collapsed="false">
      <c r="A350" s="20" t="str">
        <f aca="false">IF(A349="","",IF(G349&lt;=0.005,"",A349+1))</f>
        <v/>
      </c>
      <c r="B350" s="21" t="str">
        <f aca="false">IF(A350="","",EDATE($B$6,A350-1))</f>
        <v/>
      </c>
      <c r="C350" s="15" t="str">
        <f aca="false">IF(A350="","",G349)</f>
        <v/>
      </c>
      <c r="D350" s="15" t="str">
        <f aca="false">IF(A350="","",IF(A350&gt;=$B$4,C350+E350,MIN($B$8+$B$5,C350+E350)))</f>
        <v/>
      </c>
      <c r="E350" s="15" t="str">
        <f aca="false">IF(A350="","",ROUND(C350*$B$3/100/12,2))</f>
        <v/>
      </c>
      <c r="F350" s="15" t="str">
        <f aca="false">IF(A350="","",D350-E350)</f>
        <v/>
      </c>
      <c r="G350" s="15" t="str">
        <f aca="false">IF(A350="","",ROUND(C350-F350,2))</f>
        <v/>
      </c>
    </row>
    <row r="351" customFormat="false" ht="15" hidden="false" customHeight="false" outlineLevel="0" collapsed="false">
      <c r="A351" s="20" t="str">
        <f aca="false">IF(A350="","",IF(G350&lt;=0.005,"",A350+1))</f>
        <v/>
      </c>
      <c r="B351" s="21" t="str">
        <f aca="false">IF(A351="","",EDATE($B$6,A351-1))</f>
        <v/>
      </c>
      <c r="C351" s="15" t="str">
        <f aca="false">IF(A351="","",G350)</f>
        <v/>
      </c>
      <c r="D351" s="15" t="str">
        <f aca="false">IF(A351="","",IF(A351&gt;=$B$4,C351+E351,MIN($B$8+$B$5,C351+E351)))</f>
        <v/>
      </c>
      <c r="E351" s="15" t="str">
        <f aca="false">IF(A351="","",ROUND(C351*$B$3/100/12,2))</f>
        <v/>
      </c>
      <c r="F351" s="15" t="str">
        <f aca="false">IF(A351="","",D351-E351)</f>
        <v/>
      </c>
      <c r="G351" s="15" t="str">
        <f aca="false">IF(A351="","",ROUND(C351-F351,2))</f>
        <v/>
      </c>
    </row>
    <row r="352" customFormat="false" ht="15" hidden="false" customHeight="false" outlineLevel="0" collapsed="false">
      <c r="A352" s="20" t="str">
        <f aca="false">IF(A351="","",IF(G351&lt;=0.005,"",A351+1))</f>
        <v/>
      </c>
      <c r="B352" s="21" t="str">
        <f aca="false">IF(A352="","",EDATE($B$6,A352-1))</f>
        <v/>
      </c>
      <c r="C352" s="15" t="str">
        <f aca="false">IF(A352="","",G351)</f>
        <v/>
      </c>
      <c r="D352" s="15" t="str">
        <f aca="false">IF(A352="","",IF(A352&gt;=$B$4,C352+E352,MIN($B$8+$B$5,C352+E352)))</f>
        <v/>
      </c>
      <c r="E352" s="15" t="str">
        <f aca="false">IF(A352="","",ROUND(C352*$B$3/100/12,2))</f>
        <v/>
      </c>
      <c r="F352" s="15" t="str">
        <f aca="false">IF(A352="","",D352-E352)</f>
        <v/>
      </c>
      <c r="G352" s="15" t="str">
        <f aca="false">IF(A352="","",ROUND(C352-F352,2))</f>
        <v/>
      </c>
    </row>
    <row r="353" customFormat="false" ht="15" hidden="false" customHeight="false" outlineLevel="0" collapsed="false">
      <c r="A353" s="20" t="str">
        <f aca="false">IF(A352="","",IF(G352&lt;=0.005,"",A352+1))</f>
        <v/>
      </c>
      <c r="B353" s="21" t="str">
        <f aca="false">IF(A353="","",EDATE($B$6,A353-1))</f>
        <v/>
      </c>
      <c r="C353" s="15" t="str">
        <f aca="false">IF(A353="","",G352)</f>
        <v/>
      </c>
      <c r="D353" s="15" t="str">
        <f aca="false">IF(A353="","",IF(A353&gt;=$B$4,C353+E353,MIN($B$8+$B$5,C353+E353)))</f>
        <v/>
      </c>
      <c r="E353" s="15" t="str">
        <f aca="false">IF(A353="","",ROUND(C353*$B$3/100/12,2))</f>
        <v/>
      </c>
      <c r="F353" s="15" t="str">
        <f aca="false">IF(A353="","",D353-E353)</f>
        <v/>
      </c>
      <c r="G353" s="15" t="str">
        <f aca="false">IF(A353="","",ROUND(C353-F353,2))</f>
        <v/>
      </c>
    </row>
    <row r="354" customFormat="false" ht="15" hidden="false" customHeight="false" outlineLevel="0" collapsed="false">
      <c r="A354" s="20" t="str">
        <f aca="false">IF(A353="","",IF(G353&lt;=0.005,"",A353+1))</f>
        <v/>
      </c>
      <c r="B354" s="21" t="str">
        <f aca="false">IF(A354="","",EDATE($B$6,A354-1))</f>
        <v/>
      </c>
      <c r="C354" s="15" t="str">
        <f aca="false">IF(A354="","",G353)</f>
        <v/>
      </c>
      <c r="D354" s="15" t="str">
        <f aca="false">IF(A354="","",IF(A354&gt;=$B$4,C354+E354,MIN($B$8+$B$5,C354+E354)))</f>
        <v/>
      </c>
      <c r="E354" s="15" t="str">
        <f aca="false">IF(A354="","",ROUND(C354*$B$3/100/12,2))</f>
        <v/>
      </c>
      <c r="F354" s="15" t="str">
        <f aca="false">IF(A354="","",D354-E354)</f>
        <v/>
      </c>
      <c r="G354" s="15" t="str">
        <f aca="false">IF(A354="","",ROUND(C354-F354,2))</f>
        <v/>
      </c>
    </row>
    <row r="355" customFormat="false" ht="15" hidden="false" customHeight="false" outlineLevel="0" collapsed="false">
      <c r="A355" s="20" t="str">
        <f aca="false">IF(A354="","",IF(G354&lt;=0.005,"",A354+1))</f>
        <v/>
      </c>
      <c r="B355" s="21" t="str">
        <f aca="false">IF(A355="","",EDATE($B$6,A355-1))</f>
        <v/>
      </c>
      <c r="C355" s="15" t="str">
        <f aca="false">IF(A355="","",G354)</f>
        <v/>
      </c>
      <c r="D355" s="15" t="str">
        <f aca="false">IF(A355="","",IF(A355&gt;=$B$4,C355+E355,MIN($B$8+$B$5,C355+E355)))</f>
        <v/>
      </c>
      <c r="E355" s="15" t="str">
        <f aca="false">IF(A355="","",ROUND(C355*$B$3/100/12,2))</f>
        <v/>
      </c>
      <c r="F355" s="15" t="str">
        <f aca="false">IF(A355="","",D355-E355)</f>
        <v/>
      </c>
      <c r="G355" s="15" t="str">
        <f aca="false">IF(A355="","",ROUND(C355-F355,2))</f>
        <v/>
      </c>
    </row>
    <row r="356" customFormat="false" ht="15" hidden="false" customHeight="false" outlineLevel="0" collapsed="false">
      <c r="A356" s="20" t="str">
        <f aca="false">IF(A355="","",IF(G355&lt;=0.005,"",A355+1))</f>
        <v/>
      </c>
      <c r="B356" s="21" t="str">
        <f aca="false">IF(A356="","",EDATE($B$6,A356-1))</f>
        <v/>
      </c>
      <c r="C356" s="15" t="str">
        <f aca="false">IF(A356="","",G355)</f>
        <v/>
      </c>
      <c r="D356" s="15" t="str">
        <f aca="false">IF(A356="","",IF(A356&gt;=$B$4,C356+E356,MIN($B$8+$B$5,C356+E356)))</f>
        <v/>
      </c>
      <c r="E356" s="15" t="str">
        <f aca="false">IF(A356="","",ROUND(C356*$B$3/100/12,2))</f>
        <v/>
      </c>
      <c r="F356" s="15" t="str">
        <f aca="false">IF(A356="","",D356-E356)</f>
        <v/>
      </c>
      <c r="G356" s="15" t="str">
        <f aca="false">IF(A356="","",ROUND(C356-F356,2))</f>
        <v/>
      </c>
    </row>
    <row r="357" customFormat="false" ht="15" hidden="false" customHeight="false" outlineLevel="0" collapsed="false">
      <c r="A357" s="20" t="str">
        <f aca="false">IF(A356="","",IF(G356&lt;=0.005,"",A356+1))</f>
        <v/>
      </c>
      <c r="B357" s="21" t="str">
        <f aca="false">IF(A357="","",EDATE($B$6,A357-1))</f>
        <v/>
      </c>
      <c r="C357" s="15" t="str">
        <f aca="false">IF(A357="","",G356)</f>
        <v/>
      </c>
      <c r="D357" s="15" t="str">
        <f aca="false">IF(A357="","",IF(A357&gt;=$B$4,C357+E357,MIN($B$8+$B$5,C357+E357)))</f>
        <v/>
      </c>
      <c r="E357" s="15" t="str">
        <f aca="false">IF(A357="","",ROUND(C357*$B$3/100/12,2))</f>
        <v/>
      </c>
      <c r="F357" s="15" t="str">
        <f aca="false">IF(A357="","",D357-E357)</f>
        <v/>
      </c>
      <c r="G357" s="15" t="str">
        <f aca="false">IF(A357="","",ROUND(C357-F357,2))</f>
        <v/>
      </c>
    </row>
    <row r="358" customFormat="false" ht="15" hidden="false" customHeight="false" outlineLevel="0" collapsed="false">
      <c r="A358" s="20" t="str">
        <f aca="false">IF(A357="","",IF(G357&lt;=0.005,"",A357+1))</f>
        <v/>
      </c>
      <c r="B358" s="21" t="str">
        <f aca="false">IF(A358="","",EDATE($B$6,A358-1))</f>
        <v/>
      </c>
      <c r="C358" s="15" t="str">
        <f aca="false">IF(A358="","",G357)</f>
        <v/>
      </c>
      <c r="D358" s="15" t="str">
        <f aca="false">IF(A358="","",IF(A358&gt;=$B$4,C358+E358,MIN($B$8+$B$5,C358+E358)))</f>
        <v/>
      </c>
      <c r="E358" s="15" t="str">
        <f aca="false">IF(A358="","",ROUND(C358*$B$3/100/12,2))</f>
        <v/>
      </c>
      <c r="F358" s="15" t="str">
        <f aca="false">IF(A358="","",D358-E358)</f>
        <v/>
      </c>
      <c r="G358" s="15" t="str">
        <f aca="false">IF(A358="","",ROUND(C358-F358,2))</f>
        <v/>
      </c>
    </row>
    <row r="359" customFormat="false" ht="15" hidden="false" customHeight="false" outlineLevel="0" collapsed="false">
      <c r="A359" s="20" t="str">
        <f aca="false">IF(A358="","",IF(G358&lt;=0.005,"",A358+1))</f>
        <v/>
      </c>
      <c r="B359" s="21" t="str">
        <f aca="false">IF(A359="","",EDATE($B$6,A359-1))</f>
        <v/>
      </c>
      <c r="C359" s="15" t="str">
        <f aca="false">IF(A359="","",G358)</f>
        <v/>
      </c>
      <c r="D359" s="15" t="str">
        <f aca="false">IF(A359="","",IF(A359&gt;=$B$4,C359+E359,MIN($B$8+$B$5,C359+E359)))</f>
        <v/>
      </c>
      <c r="E359" s="15" t="str">
        <f aca="false">IF(A359="","",ROUND(C359*$B$3/100/12,2))</f>
        <v/>
      </c>
      <c r="F359" s="15" t="str">
        <f aca="false">IF(A359="","",D359-E359)</f>
        <v/>
      </c>
      <c r="G359" s="15" t="str">
        <f aca="false">IF(A359="","",ROUND(C359-F359,2))</f>
        <v/>
      </c>
    </row>
    <row r="360" customFormat="false" ht="15" hidden="false" customHeight="false" outlineLevel="0" collapsed="false">
      <c r="A360" s="20" t="str">
        <f aca="false">IF(A359="","",IF(G359&lt;=0.005,"",A359+1))</f>
        <v/>
      </c>
      <c r="B360" s="21" t="str">
        <f aca="false">IF(A360="","",EDATE($B$6,A360-1))</f>
        <v/>
      </c>
      <c r="C360" s="15" t="str">
        <f aca="false">IF(A360="","",G359)</f>
        <v/>
      </c>
      <c r="D360" s="15" t="str">
        <f aca="false">IF(A360="","",IF(A360&gt;=$B$4,C360+E360,MIN($B$8+$B$5,C360+E360)))</f>
        <v/>
      </c>
      <c r="E360" s="15" t="str">
        <f aca="false">IF(A360="","",ROUND(C360*$B$3/100/12,2))</f>
        <v/>
      </c>
      <c r="F360" s="15" t="str">
        <f aca="false">IF(A360="","",D360-E360)</f>
        <v/>
      </c>
      <c r="G360" s="15" t="str">
        <f aca="false">IF(A360="","",ROUND(C360-F360,2))</f>
        <v/>
      </c>
    </row>
    <row r="361" customFormat="false" ht="15" hidden="false" customHeight="false" outlineLevel="0" collapsed="false">
      <c r="A361" s="20" t="str">
        <f aca="false">IF(A360="","",IF(G360&lt;=0.005,"",A360+1))</f>
        <v/>
      </c>
      <c r="B361" s="21" t="str">
        <f aca="false">IF(A361="","",EDATE($B$6,A361-1))</f>
        <v/>
      </c>
      <c r="C361" s="15" t="str">
        <f aca="false">IF(A361="","",G360)</f>
        <v/>
      </c>
      <c r="D361" s="15" t="str">
        <f aca="false">IF(A361="","",IF(A361&gt;=$B$4,C361+E361,MIN($B$8+$B$5,C361+E361)))</f>
        <v/>
      </c>
      <c r="E361" s="15" t="str">
        <f aca="false">IF(A361="","",ROUND(C361*$B$3/100/12,2))</f>
        <v/>
      </c>
      <c r="F361" s="15" t="str">
        <f aca="false">IF(A361="","",D361-E361)</f>
        <v/>
      </c>
      <c r="G361" s="15" t="str">
        <f aca="false">IF(A361="","",ROUND(C361-F361,2))</f>
        <v/>
      </c>
    </row>
    <row r="362" customFormat="false" ht="15" hidden="false" customHeight="false" outlineLevel="0" collapsed="false">
      <c r="A362" s="20" t="str">
        <f aca="false">IF(A361="","",IF(G361&lt;=0.005,"",A361+1))</f>
        <v/>
      </c>
      <c r="B362" s="21" t="str">
        <f aca="false">IF(A362="","",EDATE($B$6,A362-1))</f>
        <v/>
      </c>
      <c r="C362" s="15" t="str">
        <f aca="false">IF(A362="","",G361)</f>
        <v/>
      </c>
      <c r="D362" s="15" t="str">
        <f aca="false">IF(A362="","",IF(A362&gt;=$B$4,C362+E362,MIN($B$8+$B$5,C362+E362)))</f>
        <v/>
      </c>
      <c r="E362" s="15" t="str">
        <f aca="false">IF(A362="","",ROUND(C362*$B$3/100/12,2))</f>
        <v/>
      </c>
      <c r="F362" s="15" t="str">
        <f aca="false">IF(A362="","",D362-E362)</f>
        <v/>
      </c>
      <c r="G362" s="15" t="str">
        <f aca="false">IF(A362="","",ROUND(C362-F362,2))</f>
        <v/>
      </c>
    </row>
    <row r="363" customFormat="false" ht="15" hidden="false" customHeight="false" outlineLevel="0" collapsed="false">
      <c r="A363" s="20" t="str">
        <f aca="false">IF(A362="","",IF(G362&lt;=0.005,"",A362+1))</f>
        <v/>
      </c>
      <c r="B363" s="21" t="str">
        <f aca="false">IF(A363="","",EDATE($B$6,A363-1))</f>
        <v/>
      </c>
      <c r="C363" s="15" t="str">
        <f aca="false">IF(A363="","",G362)</f>
        <v/>
      </c>
      <c r="D363" s="15" t="str">
        <f aca="false">IF(A363="","",IF(A363&gt;=$B$4,C363+E363,MIN($B$8+$B$5,C363+E363)))</f>
        <v/>
      </c>
      <c r="E363" s="15" t="str">
        <f aca="false">IF(A363="","",ROUND(C363*$B$3/100/12,2))</f>
        <v/>
      </c>
      <c r="F363" s="15" t="str">
        <f aca="false">IF(A363="","",D363-E363)</f>
        <v/>
      </c>
      <c r="G363" s="15" t="str">
        <f aca="false">IF(A363="","",ROUND(C363-F363,2))</f>
        <v/>
      </c>
    </row>
    <row r="364" customFormat="false" ht="15" hidden="false" customHeight="false" outlineLevel="0" collapsed="false">
      <c r="A364" s="20" t="str">
        <f aca="false">IF(A363="","",IF(G363&lt;=0.005,"",A363+1))</f>
        <v/>
      </c>
      <c r="B364" s="21" t="str">
        <f aca="false">IF(A364="","",EDATE($B$6,A364-1))</f>
        <v/>
      </c>
      <c r="C364" s="15" t="str">
        <f aca="false">IF(A364="","",G363)</f>
        <v/>
      </c>
      <c r="D364" s="15" t="str">
        <f aca="false">IF(A364="","",IF(A364&gt;=$B$4,C364+E364,MIN($B$8+$B$5,C364+E364)))</f>
        <v/>
      </c>
      <c r="E364" s="15" t="str">
        <f aca="false">IF(A364="","",ROUND(C364*$B$3/100/12,2))</f>
        <v/>
      </c>
      <c r="F364" s="15" t="str">
        <f aca="false">IF(A364="","",D364-E364)</f>
        <v/>
      </c>
      <c r="G364" s="15" t="str">
        <f aca="false">IF(A364="","",ROUND(C364-F364,2))</f>
        <v/>
      </c>
    </row>
    <row r="365" customFormat="false" ht="15" hidden="false" customHeight="false" outlineLevel="0" collapsed="false">
      <c r="A365" s="20" t="str">
        <f aca="false">IF(A364="","",IF(G364&lt;=0.005,"",A364+1))</f>
        <v/>
      </c>
      <c r="B365" s="21" t="str">
        <f aca="false">IF(A365="","",EDATE($B$6,A365-1))</f>
        <v/>
      </c>
      <c r="C365" s="15" t="str">
        <f aca="false">IF(A365="","",G364)</f>
        <v/>
      </c>
      <c r="D365" s="15" t="str">
        <f aca="false">IF(A365="","",IF(A365&gt;=$B$4,C365+E365,MIN($B$8+$B$5,C365+E365)))</f>
        <v/>
      </c>
      <c r="E365" s="15" t="str">
        <f aca="false">IF(A365="","",ROUND(C365*$B$3/100/12,2))</f>
        <v/>
      </c>
      <c r="F365" s="15" t="str">
        <f aca="false">IF(A365="","",D365-E365)</f>
        <v/>
      </c>
      <c r="G365" s="15" t="str">
        <f aca="false">IF(A365="","",ROUND(C365-F365,2))</f>
        <v/>
      </c>
    </row>
    <row r="366" customFormat="false" ht="15" hidden="false" customHeight="false" outlineLevel="0" collapsed="false">
      <c r="A366" s="20" t="str">
        <f aca="false">IF(A365="","",IF(G365&lt;=0.005,"",A365+1))</f>
        <v/>
      </c>
      <c r="B366" s="21" t="str">
        <f aca="false">IF(A366="","",EDATE($B$6,A366-1))</f>
        <v/>
      </c>
      <c r="C366" s="15" t="str">
        <f aca="false">IF(A366="","",G365)</f>
        <v/>
      </c>
      <c r="D366" s="15" t="str">
        <f aca="false">IF(A366="","",IF(A366&gt;=$B$4,C366+E366,MIN($B$8+$B$5,C366+E366)))</f>
        <v/>
      </c>
      <c r="E366" s="15" t="str">
        <f aca="false">IF(A366="","",ROUND(C366*$B$3/100/12,2))</f>
        <v/>
      </c>
      <c r="F366" s="15" t="str">
        <f aca="false">IF(A366="","",D366-E366)</f>
        <v/>
      </c>
      <c r="G366" s="15" t="str">
        <f aca="false">IF(A366="","",ROUND(C366-F366,2))</f>
        <v/>
      </c>
    </row>
    <row r="367" customFormat="false" ht="15" hidden="false" customHeight="false" outlineLevel="0" collapsed="false">
      <c r="A367" s="20" t="str">
        <f aca="false">IF(A366="","",IF(G366&lt;=0.005,"",A366+1))</f>
        <v/>
      </c>
      <c r="B367" s="21" t="str">
        <f aca="false">IF(A367="","",EDATE($B$6,A367-1))</f>
        <v/>
      </c>
      <c r="C367" s="15" t="str">
        <f aca="false">IF(A367="","",G366)</f>
        <v/>
      </c>
      <c r="D367" s="15" t="str">
        <f aca="false">IF(A367="","",IF(A367&gt;=$B$4,C367+E367,MIN($B$8+$B$5,C367+E367)))</f>
        <v/>
      </c>
      <c r="E367" s="15" t="str">
        <f aca="false">IF(A367="","",ROUND(C367*$B$3/100/12,2))</f>
        <v/>
      </c>
      <c r="F367" s="15" t="str">
        <f aca="false">IF(A367="","",D367-E367)</f>
        <v/>
      </c>
      <c r="G367" s="15" t="str">
        <f aca="false">IF(A367="","",ROUND(C367-F367,2))</f>
        <v/>
      </c>
    </row>
    <row r="368" customFormat="false" ht="15" hidden="false" customHeight="false" outlineLevel="0" collapsed="false">
      <c r="A368" s="20" t="str">
        <f aca="false">IF(A367="","",IF(G367&lt;=0.005,"",A367+1))</f>
        <v/>
      </c>
      <c r="B368" s="21" t="str">
        <f aca="false">IF(A368="","",EDATE($B$6,A368-1))</f>
        <v/>
      </c>
      <c r="C368" s="15" t="str">
        <f aca="false">IF(A368="","",G367)</f>
        <v/>
      </c>
      <c r="D368" s="15" t="str">
        <f aca="false">IF(A368="","",IF(A368&gt;=$B$4,C368+E368,MIN($B$8+$B$5,C368+E368)))</f>
        <v/>
      </c>
      <c r="E368" s="15" t="str">
        <f aca="false">IF(A368="","",ROUND(C368*$B$3/100/12,2))</f>
        <v/>
      </c>
      <c r="F368" s="15" t="str">
        <f aca="false">IF(A368="","",D368-E368)</f>
        <v/>
      </c>
      <c r="G368" s="15" t="str">
        <f aca="false">IF(A368="","",ROUND(C368-F368,2))</f>
        <v/>
      </c>
    </row>
    <row r="369" customFormat="false" ht="15" hidden="false" customHeight="false" outlineLevel="0" collapsed="false">
      <c r="A369" s="20" t="str">
        <f aca="false">IF(A368="","",IF(G368&lt;=0.005,"",A368+1))</f>
        <v/>
      </c>
      <c r="B369" s="21" t="str">
        <f aca="false">IF(A369="","",EDATE($B$6,A369-1))</f>
        <v/>
      </c>
      <c r="C369" s="15" t="str">
        <f aca="false">IF(A369="","",G368)</f>
        <v/>
      </c>
      <c r="D369" s="15" t="str">
        <f aca="false">IF(A369="","",IF(A369&gt;=$B$4,C369+E369,MIN($B$8+$B$5,C369+E369)))</f>
        <v/>
      </c>
      <c r="E369" s="15" t="str">
        <f aca="false">IF(A369="","",ROUND(C369*$B$3/100/12,2))</f>
        <v/>
      </c>
      <c r="F369" s="15" t="str">
        <f aca="false">IF(A369="","",D369-E369)</f>
        <v/>
      </c>
      <c r="G369" s="15" t="str">
        <f aca="false">IF(A369="","",ROUND(C369-F369,2))</f>
        <v/>
      </c>
    </row>
    <row r="370" customFormat="false" ht="15" hidden="false" customHeight="false" outlineLevel="0" collapsed="false">
      <c r="A370" s="20" t="str">
        <f aca="false">IF(A369="","",IF(G369&lt;=0.005,"",A369+1))</f>
        <v/>
      </c>
      <c r="B370" s="21" t="str">
        <f aca="false">IF(A370="","",EDATE($B$6,A370-1))</f>
        <v/>
      </c>
      <c r="C370" s="15" t="str">
        <f aca="false">IF(A370="","",G369)</f>
        <v/>
      </c>
      <c r="D370" s="15" t="str">
        <f aca="false">IF(A370="","",IF(A370&gt;=$B$4,C370+E370,MIN($B$8+$B$5,C370+E370)))</f>
        <v/>
      </c>
      <c r="E370" s="15" t="str">
        <f aca="false">IF(A370="","",ROUND(C370*$B$3/100/12,2))</f>
        <v/>
      </c>
      <c r="F370" s="15" t="str">
        <f aca="false">IF(A370="","",D370-E370)</f>
        <v/>
      </c>
      <c r="G370" s="15" t="str">
        <f aca="false">IF(A370="","",ROUND(C370-F370,2))</f>
        <v/>
      </c>
    </row>
    <row r="371" customFormat="false" ht="15" hidden="false" customHeight="false" outlineLevel="0" collapsed="false">
      <c r="A371" s="20" t="str">
        <f aca="false">IF(A370="","",IF(G370&lt;=0.005,"",A370+1))</f>
        <v/>
      </c>
      <c r="B371" s="21" t="str">
        <f aca="false">IF(A371="","",EDATE($B$6,A371-1))</f>
        <v/>
      </c>
      <c r="C371" s="15" t="str">
        <f aca="false">IF(A371="","",G370)</f>
        <v/>
      </c>
      <c r="D371" s="15" t="str">
        <f aca="false">IF(A371="","",IF(A371&gt;=$B$4,C371+E371,MIN($B$8+$B$5,C371+E371)))</f>
        <v/>
      </c>
      <c r="E371" s="15" t="str">
        <f aca="false">IF(A371="","",ROUND(C371*$B$3/100/12,2))</f>
        <v/>
      </c>
      <c r="F371" s="15" t="str">
        <f aca="false">IF(A371="","",D371-E371)</f>
        <v/>
      </c>
      <c r="G371" s="15" t="str">
        <f aca="false">IF(A371="","",ROUND(C371-F371,2))</f>
        <v/>
      </c>
    </row>
    <row r="372" customFormat="false" ht="15" hidden="false" customHeight="false" outlineLevel="0" collapsed="false">
      <c r="A372" s="20" t="str">
        <f aca="false">IF(A371="","",IF(G371&lt;=0.005,"",A371+1))</f>
        <v/>
      </c>
      <c r="B372" s="21" t="str">
        <f aca="false">IF(A372="","",EDATE($B$6,A372-1))</f>
        <v/>
      </c>
      <c r="C372" s="15" t="str">
        <f aca="false">IF(A372="","",G371)</f>
        <v/>
      </c>
      <c r="D372" s="15" t="str">
        <f aca="false">IF(A372="","",IF(A372&gt;=$B$4,C372+E372,MIN($B$8+$B$5,C372+E372)))</f>
        <v/>
      </c>
      <c r="E372" s="15" t="str">
        <f aca="false">IF(A372="","",ROUND(C372*$B$3/100/12,2))</f>
        <v/>
      </c>
      <c r="F372" s="15" t="str">
        <f aca="false">IF(A372="","",D372-E372)</f>
        <v/>
      </c>
      <c r="G372" s="15" t="str">
        <f aca="false">IF(A372="","",ROUND(C372-F372,2))</f>
        <v/>
      </c>
    </row>
    <row r="373" customFormat="false" ht="15" hidden="false" customHeight="false" outlineLevel="0" collapsed="false">
      <c r="A373" s="20" t="str">
        <f aca="false">IF(A372="","",IF(G372&lt;=0.005,"",A372+1))</f>
        <v/>
      </c>
      <c r="B373" s="21" t="str">
        <f aca="false">IF(A373="","",EDATE($B$6,A373-1))</f>
        <v/>
      </c>
      <c r="C373" s="15" t="str">
        <f aca="false">IF(A373="","",G372)</f>
        <v/>
      </c>
      <c r="D373" s="15" t="str">
        <f aca="false">IF(A373="","",IF(A373&gt;=$B$4,C373+E373,MIN($B$8+$B$5,C373+E373)))</f>
        <v/>
      </c>
      <c r="E373" s="15" t="str">
        <f aca="false">IF(A373="","",ROUND(C373*$B$3/100/12,2))</f>
        <v/>
      </c>
      <c r="F373" s="15" t="str">
        <f aca="false">IF(A373="","",D373-E373)</f>
        <v/>
      </c>
      <c r="G373" s="15" t="str">
        <f aca="false">IF(A373="","",ROUND(C373-F373,2))</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50"/>
  </cols>
  <sheetData>
    <row r="1" customFormat="false" ht="17.35" hidden="false" customHeight="false" outlineLevel="0" collapsed="false">
      <c r="A1" s="1" t="s">
        <v>54</v>
      </c>
    </row>
    <row r="3" customFormat="false" ht="15" hidden="false" customHeight="false" outlineLevel="0" collapsed="false">
      <c r="A3" s="3" t="s">
        <v>55</v>
      </c>
      <c r="B3" s="8" t="n">
        <v>30000</v>
      </c>
    </row>
    <row r="4" customFormat="false" ht="15" hidden="false" customHeight="false" outlineLevel="0" collapsed="false">
      <c r="A4" s="3" t="s">
        <v>56</v>
      </c>
      <c r="B4" s="8" t="n">
        <v>0</v>
      </c>
    </row>
    <row r="5" customFormat="false" ht="15" hidden="false" customHeight="false" outlineLevel="0" collapsed="false">
      <c r="A5" s="3" t="s">
        <v>57</v>
      </c>
      <c r="B5" s="10" t="n">
        <v>6</v>
      </c>
    </row>
    <row r="6" customFormat="false" ht="15" hidden="false" customHeight="false" outlineLevel="0" collapsed="false">
      <c r="A6" s="3" t="s">
        <v>58</v>
      </c>
      <c r="B6" s="12" t="n">
        <v>60</v>
      </c>
    </row>
    <row r="7" customFormat="false" ht="15" hidden="false" customHeight="false" outlineLevel="0" collapsed="false">
      <c r="A7" s="3" t="s">
        <v>59</v>
      </c>
      <c r="B7" s="8" t="n">
        <v>9000</v>
      </c>
    </row>
    <row r="8" customFormat="false" ht="15" hidden="false" customHeight="false" outlineLevel="0" collapsed="false">
      <c r="A8" s="3" t="s">
        <v>60</v>
      </c>
      <c r="B8" s="8" t="n">
        <v>550</v>
      </c>
    </row>
    <row r="9" customFormat="false" ht="15" hidden="false" customHeight="false" outlineLevel="0" collapsed="false">
      <c r="A9" s="3" t="s">
        <v>61</v>
      </c>
      <c r="B9" s="12" t="n">
        <v>60</v>
      </c>
    </row>
    <row r="10" customFormat="false" ht="15" hidden="false" customHeight="false" outlineLevel="0" collapsed="false">
      <c r="A10" s="3" t="s">
        <v>62</v>
      </c>
      <c r="B10" s="8" t="n">
        <v>3000</v>
      </c>
    </row>
    <row r="11" customFormat="false" ht="15" hidden="false" customHeight="false" outlineLevel="0" collapsed="false">
      <c r="A11" s="4" t="s">
        <v>63</v>
      </c>
      <c r="B11" s="14" t="n">
        <f aca="false">ROUND(-PMT(B5/100/12,B6,B3-B4),2)</f>
        <v>579.98</v>
      </c>
    </row>
    <row r="12" customFormat="false" ht="15" hidden="false" customHeight="false" outlineLevel="0" collapsed="false">
      <c r="A12" s="4" t="s">
        <v>64</v>
      </c>
      <c r="B12" s="14" t="n">
        <f aca="false">ROUND(B4+B11*B6-B7,2)</f>
        <v>25798.8</v>
      </c>
      <c r="C12" s="2" t="s">
        <v>65</v>
      </c>
    </row>
    <row r="13" customFormat="false" ht="15" hidden="false" customHeight="false" outlineLevel="0" collapsed="false">
      <c r="A13" s="4" t="s">
        <v>66</v>
      </c>
      <c r="B13" s="14" t="n">
        <f aca="false">ROUND(B8*B9+B10-IF(B10&gt;0,B7,0),2)</f>
        <v>27000</v>
      </c>
      <c r="C13" s="2" t="s">
        <v>67</v>
      </c>
    </row>
    <row r="14" customFormat="false" ht="15" hidden="false" customHeight="false" outlineLevel="0" collapsed="false">
      <c r="A14" s="4" t="s">
        <v>68</v>
      </c>
      <c r="B14" s="4" t="str">
        <f aca="false">IF(B12=B13,"Same",IF(B12&lt;B13,"Buy","Lease"))</f>
        <v>Buy</v>
      </c>
    </row>
    <row r="15" customFormat="false" ht="15" hidden="false" customHeight="false" outlineLevel="0" collapsed="false">
      <c r="A15" s="4" t="s">
        <v>69</v>
      </c>
      <c r="B15" s="14" t="n">
        <f aca="false">ABS(B12-B13)</f>
        <v>1201.2</v>
      </c>
    </row>
    <row r="16" customFormat="false" ht="15" hidden="false" customHeight="false" outlineLevel="0" collapsed="false">
      <c r="A16" s="4" t="s">
        <v>70</v>
      </c>
      <c r="B16" s="14" t="n">
        <f aca="false">IFERROR(ROUND(B12/B6,2),"")</f>
        <v>429.98</v>
      </c>
    </row>
    <row r="17" customFormat="false" ht="15" hidden="false" customHeight="false" outlineLevel="0" collapsed="false">
      <c r="A17" s="4" t="s">
        <v>71</v>
      </c>
      <c r="B17" s="14" t="n">
        <f aca="false">IFERROR(ROUND(B13/B9,2),"")</f>
        <v>450</v>
      </c>
    </row>
    <row r="19" customFormat="false" ht="15" hidden="false" customHeight="false" outlineLevel="0" collapsed="false">
      <c r="A19" s="2"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50"/>
  </cols>
  <sheetData>
    <row r="1" customFormat="false" ht="17.35" hidden="false" customHeight="false" outlineLevel="0" collapsed="false">
      <c r="A1" s="1" t="s">
        <v>73</v>
      </c>
    </row>
    <row r="2" customFormat="false" ht="15" hidden="false" customHeight="false" outlineLevel="0" collapsed="false">
      <c r="A2" s="3" t="s">
        <v>74</v>
      </c>
      <c r="B2" s="8" t="n">
        <v>120000</v>
      </c>
      <c r="C2" s="2" t="s">
        <v>75</v>
      </c>
    </row>
    <row r="3" customFormat="false" ht="15" hidden="false" customHeight="false" outlineLevel="0" collapsed="false">
      <c r="A3" s="3" t="s">
        <v>76</v>
      </c>
      <c r="B3" s="8" t="n">
        <v>80000</v>
      </c>
      <c r="C3" s="2" t="s">
        <v>77</v>
      </c>
    </row>
    <row r="4" customFormat="false" ht="15" hidden="false" customHeight="false" outlineLevel="0" collapsed="false">
      <c r="A4" s="3" t="s">
        <v>78</v>
      </c>
      <c r="B4" s="10" t="n">
        <v>1.25</v>
      </c>
    </row>
    <row r="5" customFormat="false" ht="15" hidden="false" customHeight="false" outlineLevel="0" collapsed="false">
      <c r="A5" s="4" t="s">
        <v>79</v>
      </c>
      <c r="B5" s="16" t="n">
        <f aca="false">IFERROR(ROUND(B2/B3,2),"")</f>
        <v>1.5</v>
      </c>
    </row>
    <row r="6" customFormat="false" ht="15" hidden="false" customHeight="false" outlineLevel="0" collapsed="false">
      <c r="A6" s="4" t="s">
        <v>80</v>
      </c>
      <c r="B6" s="4" t="str">
        <f aca="false">IF(B5="","",IF(B5&gt;=B4,"Yes","No"))</f>
        <v>Yes</v>
      </c>
    </row>
    <row r="7" customFormat="false" ht="15" hidden="false" customHeight="false" outlineLevel="0" collapsed="false">
      <c r="A7" s="4" t="s">
        <v>81</v>
      </c>
      <c r="B7" s="14" t="n">
        <f aca="false">ROUND(MAX(0,B2)/B4,2)</f>
        <v>96000</v>
      </c>
    </row>
    <row r="8" customFormat="false" ht="15" hidden="false" customHeight="false" outlineLevel="0" collapsed="false">
      <c r="A8" s="4" t="s">
        <v>82</v>
      </c>
      <c r="B8" s="14" t="n">
        <f aca="false">ROUND(B7/12,2)</f>
        <v>8000</v>
      </c>
    </row>
    <row r="9" customFormat="false" ht="15" hidden="false" customHeight="false" outlineLevel="0" collapsed="false">
      <c r="A9" s="4" t="s">
        <v>83</v>
      </c>
      <c r="B9" s="14" t="n">
        <f aca="false">ROUND(B7-B3,2)</f>
        <v>16000</v>
      </c>
      <c r="C9" s="2" t="s">
        <v>84</v>
      </c>
    </row>
    <row r="11" customFormat="false" ht="15" hidden="false" customHeight="false" outlineLevel="0" collapsed="false">
      <c r="A11" s="3" t="s">
        <v>85</v>
      </c>
      <c r="B11" s="9" t="n">
        <f aca="false">'Loan Compare'!B10</f>
        <v>966.64</v>
      </c>
    </row>
    <row r="12" customFormat="false" ht="15" hidden="false" customHeight="false" outlineLevel="0" collapsed="false">
      <c r="A12" s="4" t="s">
        <v>86</v>
      </c>
      <c r="B12" s="14" t="n">
        <f aca="false">B3+N(B11)*12</f>
        <v>91599.68</v>
      </c>
    </row>
    <row r="13" customFormat="false" ht="15" hidden="false" customHeight="false" outlineLevel="0" collapsed="false">
      <c r="A13" s="4" t="s">
        <v>87</v>
      </c>
      <c r="B13" s="16" t="n">
        <f aca="false">IFERROR(ROUND(B2/B12,2),"")</f>
        <v>1.31</v>
      </c>
    </row>
    <row r="14" customFormat="false" ht="15" hidden="false" customHeight="false" outlineLevel="0" collapsed="false">
      <c r="A14" s="4" t="s">
        <v>88</v>
      </c>
      <c r="B14" s="4" t="str">
        <f aca="false">IF(B13="","",IF(B13&gt;=B4,"Yes","No"))</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2026-10-01T13:00:55Z</dcterms:created>
  <dc:creator>openpyxl</dc:creator>
  <dc:description/>
  <dc:language>en-US</dc:language>
  <cp:lastModifiedBy/>
  <dcterms:modified xsi:type="dcterms:W3CDTF">2026-10-01T13:00:55Z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