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mments4.xml" ContentType="application/vnd.openxmlformats-officedocument.spreadsheetml.comments+xml"/>
  <Override PartName="/xl/comments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Monthly P&amp;L" sheetId="3" state="visible" r:id="rId5"/>
    <sheet name="Provider Production" sheetId="4" state="visible" r:id="rId6"/>
    <sheet name="Hygiene" sheetId="5" state="visible" r:id="rId7"/>
    <sheet name="Chairs &amp; New Patients"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Knackdesk</author>
  </authors>
  <commentList>
    <comment ref="B7" authorId="0">
      <text>
        <r>
          <rPr>
            <sz val="10"/>
            <rFont val="Arial"/>
            <family val="2"/>
          </rPr>
          <t xml:space="preserve">Assumption: 15% is a placeholder for employer taxes and benefits; use your payroll figures.</t>
        </r>
      </text>
    </comment>
    <comment ref="B9" authorId="0">
      <text>
        <r>
          <rPr>
            <sz val="10"/>
            <rFont val="Arial"/>
            <family val="2"/>
          </rPr>
          <t xml:space="preserve">Your own target, not an industry benchmark. Overhead excludes owner compensation.</t>
        </r>
      </text>
    </comment>
    <comment ref="B10" authorId="0">
      <text>
        <r>
          <rPr>
            <sz val="10"/>
            <rFont val="Arial"/>
            <family val="2"/>
          </rPr>
          <t xml:space="preserve">Your own target, not an industry benchmark. Margin is department profit ÷ hygiene production.</t>
        </r>
      </text>
    </comment>
    <comment ref="B11" authorId="0">
      <text>
        <r>
          <rPr>
            <sz val="10"/>
            <rFont val="Arial"/>
            <family val="2"/>
          </rPr>
          <t xml:space="preserve">Assumption: retention is applied flat to each year after the first. Set it from your own recall and reactivation data.</t>
        </r>
      </text>
    </comment>
    <comment ref="B13" authorId="0">
      <text>
        <r>
          <rPr>
            <sz val="10"/>
            <rFont val="Arial"/>
            <family val="2"/>
          </rPr>
          <t xml:space="preserve">Assumption: later years are worth the same as the first year for a retained patient.</t>
        </r>
      </text>
    </comment>
  </commentList>
</comments>
</file>

<file path=xl/comments3.xml><?xml version="1.0" encoding="utf-8"?>
<comments xmlns="http://schemas.openxmlformats.org/spreadsheetml/2006/main" xmlns:xdr="http://schemas.openxmlformats.org/drawingml/2006/spreadsheetDrawing">
  <authors>
    <author>Knackdesk</author>
  </authors>
  <commentList>
    <comment ref="C5" authorId="0">
      <text>
        <r>
          <rPr>
            <sz val="10"/>
            <rFont val="Arial"/>
            <family val="2"/>
          </rPr>
          <t xml:space="preserve">Write-offs, plan or insurance fee reductions, discounts and refunds against gross production.</t>
        </r>
      </text>
    </comment>
    <comment ref="E5" authorId="0">
      <text>
        <r>
          <rPr>
            <sz val="10"/>
            <rFont val="Arial"/>
            <family val="2"/>
          </rPr>
          <t xml:space="preserve">Gross wages for all employed staff (associates, hygienists, nurses, front desk). Not the owner's pay.</t>
        </r>
      </text>
    </comment>
    <comment ref="F5" authorId="0">
      <text>
        <r>
          <rPr>
            <sz val="10"/>
            <rFont val="Arial"/>
            <family val="2"/>
          </rPr>
          <t xml:space="preserve">Assumption: payroll taxes and benefits are a flat % of wages from Settings.</t>
        </r>
      </text>
    </comment>
    <comment ref="N17" authorId="0">
      <text>
        <r>
          <rPr>
            <sz val="10"/>
            <rFont val="Arial"/>
            <family val="2"/>
          </rPr>
          <t xml:space="preserve">Totals recompute from the column totals, not an average of the monthly percentages.</t>
        </r>
      </text>
    </comment>
  </commentList>
</comments>
</file>

<file path=xl/comments4.xml><?xml version="1.0" encoding="utf-8"?>
<comments xmlns="http://schemas.openxmlformats.org/spreadsheetml/2006/main" xmlns:xdr="http://schemas.openxmlformats.org/drawingml/2006/spreadsheetDrawing">
  <authors>
    <author>Knackdesk</author>
  </authors>
  <commentList>
    <comment ref="C5" authorId="0">
      <text>
        <r>
          <rPr>
            <sz val="10"/>
            <rFont val="Arial"/>
            <family val="2"/>
          </rPr>
          <t xml:space="preserve">Chairside hours actually worked this month, from your schedule or practice management system.</t>
        </r>
      </text>
    </comment>
    <comment ref="H25" authorId="0">
      <text>
        <r>
          <rPr>
            <sz val="10"/>
            <rFont val="Arial"/>
            <family val="2"/>
          </rPr>
          <t xml:space="preserve">Average production per provider hour = total net production ÷ total hours worked.</t>
        </r>
      </text>
    </comment>
    <comment ref="J5" authorId="0">
      <text>
        <r>
          <rPr>
            <sz val="10"/>
            <rFont val="Arial"/>
            <family val="2"/>
          </rPr>
          <t xml:space="preserve">Assumption: all practice overhead is carried by provider hours available (Settings), not hours worked. The month must also appear on the Monthly P&amp;L, or this shows 0.</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E5" authorId="0">
      <text>
        <r>
          <rPr>
            <sz val="10"/>
            <rFont val="Arial"/>
            <family val="2"/>
          </rPr>
          <t xml:space="preserve">Hygienist hours actually worked this month. Compare with hygienist hours available in Settings.</t>
        </r>
      </text>
    </comment>
    <comment ref="F5" authorId="0">
      <text>
        <r>
          <rPr>
            <sz val="10"/>
            <rFont val="Arial"/>
            <family val="2"/>
          </rPr>
          <t xml:space="preserve">Your own share of rent, front desk and other overhead for the hygiene chairs (for example by chair count or hours). Example 2,500 only.</t>
        </r>
      </text>
    </comment>
    <comment ref="J17" authorId="0">
      <text>
        <r>
          <rPr>
            <sz val="10"/>
            <rFont val="Arial"/>
            <family val="2"/>
          </rPr>
          <t xml:space="preserve">Totals recompute from the column totals, not an average of the monthly margins.</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B5" authorId="0">
      <text>
        <r>
          <rPr>
            <sz val="10"/>
            <rFont val="Arial"/>
            <family val="2"/>
          </rPr>
          <t xml:space="preserve">Chair hours with a patient booked, all chairs together, from your schedule.</t>
        </r>
      </text>
    </comment>
    <comment ref="C23" authorId="0">
      <text>
        <r>
          <rPr>
            <sz val="10"/>
            <rFont val="Arial"/>
            <family val="2"/>
          </rPr>
          <t xml:space="preserve">Example override: spend that sits outside the P&amp;L marketing line, such as referral gifts. Leave empty to use the Monthly P&amp;L figure.</t>
        </r>
      </text>
    </comment>
    <comment ref="D8" authorId="0">
      <text>
        <r>
          <rPr>
            <sz val="10"/>
            <rFont val="Arial"/>
            <family val="2"/>
          </rPr>
          <t xml:space="preserve">Example override: your own production per scheduled hour. Leave empty to use the Monthly P&amp;L figure.</t>
        </r>
      </text>
    </comment>
    <comment ref="G17" authorId="0">
      <text>
        <r>
          <rPr>
            <sz val="10"/>
            <rFont val="Arial"/>
            <family val="2"/>
          </rPr>
          <t xml:space="preserve">Utilization recomputed from the totals: total scheduled ÷ total available hours.</t>
        </r>
      </text>
    </comment>
    <comment ref="G22" authorId="0">
      <text>
        <r>
          <rPr>
            <sz val="10"/>
            <rFont val="Arial"/>
            <family val="2"/>
          </rPr>
          <t xml:space="preserve">Assumption: lifetime value = first-year value + first-year value × retention % × (years retained − 1), all from Settings. Collections, not profit.</t>
        </r>
      </text>
    </comment>
    <comment ref="J5" authorId="0">
      <text>
        <r>
          <rPr>
            <sz val="10"/>
            <rFont val="Arial"/>
            <family val="2"/>
          </rPr>
          <t xml:space="preserve">Assumption: idle hours would produce at the same rate per hour as the booked hours.</t>
        </r>
      </text>
    </comment>
    <comment ref="J22" authorId="0">
      <text>
        <r>
          <rPr>
            <sz val="10"/>
            <rFont val="Arial"/>
            <family val="2"/>
          </rPr>
          <t xml:space="preserve">New patients needed for their first-year value to repay the month's marketing spend.</t>
        </r>
      </text>
    </comment>
  </commentList>
</comments>
</file>

<file path=xl/sharedStrings.xml><?xml version="1.0" encoding="utf-8"?>
<sst xmlns="http://schemas.openxmlformats.org/spreadsheetml/2006/main" count="183" uniqueCount="156">
  <si>
    <t xml:space="preserve">Dental Practice Numbers Workbook</t>
  </si>
  <si>
    <t xml:space="preserve">by Knackdesk · knackdesk.com</t>
  </si>
  <si>
    <t xml:space="preserve">HOW TO USE</t>
  </si>
  <si>
    <t xml:space="preserve">1. Settings: chairs, opening hours and days, dentists and hygienists, payroll taxes and benefits, owner compensation, your target overhead % and hygiene margin %, and new-patient retention and first-year value. Available chair hours and provider hours follow and every other sheet reads them.</t>
  </si>
  <si>
    <t xml:space="preserve">2. Monthly P&amp;L: one row per month with gross production, adjustments, collections, staff wages, rent and facilities, supplies and lab, marketing and other overhead. Net production, collection rate, loaded payroll, total overhead, overhead % of collections, profit before and after owner pay, profit margin and the gap to your target overhead are calculated, with totals.</t>
  </si>
  <si>
    <t xml:space="preserve">3. Provider Production: one row per dentist per month with hours, days, gross production and adjustments. Net production, production per hour and per day, overhead per provider hour and profit per hour are calculated.</t>
  </si>
  <si>
    <t xml:space="preserve">4. Hygiene: one row per month with hygiene production, hygienist wages, supplies, hygienist hours and your own overhead allocation. Loaded wages, total cost, department profit, margin %, production and cost per hour and the gap to your target margin are calculated, with totals.</t>
  </si>
  <si>
    <t xml:space="preserve">5. Chairs &amp; New Patients: scheduled chair hours per month against available chair hours give utilization %, idle hours and the production left unrealised (production per hour defaults from the Monthly P&amp;L; type your own to override). Below, marketing spend (defaults from the Monthly P&amp;L) and new patients give cost per new patient, lifetime value, value-to-cost ratio and break-even new patients.</t>
  </si>
  <si>
    <t xml:space="preserve">6. Summary: year-to-date collections, net production, collection rate, overhead % against target, profit before and after owner pay, best and worst month, production per provider hour, hygiene margin, chair utilization and unrealised production, cost per new patient and months above your overhead target.</t>
  </si>
  <si>
    <t xml:space="preserve">LEGEND</t>
  </si>
  <si>
    <t xml:space="preserve">Blue text = a cell you type into.   Black text = a formula, leave it alone.   Yellow fill = key inputs.</t>
  </si>
  <si>
    <t xml:space="preserve">DEFINITIONS</t>
  </si>
  <si>
    <t xml:space="preserve">Production vs collections: gross production is the fee value of the dentistry done at your full fees; net production = gross production − adjustments; collections is the money actually received. Collection rate % = collections ÷ net production.</t>
  </si>
  <si>
    <t xml:space="preserve">Adjustments: the part of gross production you will never collect, such as insurance or plan write-offs, discounts, courtesy adjustments and refunds.</t>
  </si>
  <si>
    <t xml:space="preserve">Overhead percentage: total overhead (loaded payroll + rent and facilities + supplies and lab + marketing + other) ÷ collections. Owner compensation is not in overhead; it is shown separately as profit before owner pay − owner compensation = profit after owner pay.</t>
  </si>
  <si>
    <t xml:space="preserve">Production per hour: a provider's net production ÷ hours worked. Overhead per hour = the month's total overhead ÷ provider hours available (providers × hours open × days open). Profit per hour = production per hour − overhead per hour.</t>
  </si>
  <si>
    <t xml:space="preserve">Hygiene department profit: hygiene production − (hygienist wages loaded with payroll taxes and benefits + hygiene supplies + your own overhead allocation). Margin % = department profit ÷ hygiene production.</t>
  </si>
  <si>
    <t xml:space="preserve">Chair utilization: scheduled chair hours ÷ available chair hours (chairs × hours open × days open). Unrealised production = idle chair hours × production per scheduled hour: what the empty hours would have produced at your current rate.</t>
  </si>
  <si>
    <t xml:space="preserve">Cost per new patient: marketing spend ÷ new patients. Lifetime value = first-year value + first-year value × retention % × (years retained − 1). Break-even new patients = marketing spend ÷ first-year value.</t>
  </si>
  <si>
    <t xml:space="preserve">The targets in Settings are your own; this workbook does not supply industry benchmarks. Set them from your own history and plan.</t>
  </si>
  <si>
    <t xml:space="preserve">Support: hello@knackdesk.com</t>
  </si>
  <si>
    <t xml:space="preserve">Arithmetic only; not financial advice.</t>
  </si>
  <si>
    <t xml:space="preserve">Settings</t>
  </si>
  <si>
    <t xml:space="preserve">Chairs (operatories)</t>
  </si>
  <si>
    <t xml:space="preserve">Example default 4. Treatment chairs you can book, dentist and hygiene chairs together.</t>
  </si>
  <si>
    <t xml:space="preserve">Hours open per day</t>
  </si>
  <si>
    <t xml:space="preserve">Example default 8. Clinical hours a chair can be booked each day you are open.</t>
  </si>
  <si>
    <t xml:space="preserve">Days open per month</t>
  </si>
  <si>
    <t xml:space="preserve">Example default 20. Clinical days open in a typical month.</t>
  </si>
  <si>
    <t xml:space="preserve">Providers (dentists) count</t>
  </si>
  <si>
    <t xml:space="preserve">Example default 2. Dentists producing chairside, full-time equivalents.</t>
  </si>
  <si>
    <t xml:space="preserve">Hygienists count</t>
  </si>
  <si>
    <t xml:space="preserve">Example default 2. Hygienists, full-time equivalents; gives hygienist hours available below.</t>
  </si>
  <si>
    <t xml:space="preserve">Payroll taxes and benefits %</t>
  </si>
  <si>
    <t xml:space="preserve">Default 15. Employer payroll taxes, pension, health cover and other benefits on top of wages.</t>
  </si>
  <si>
    <t xml:space="preserve">Owner compensation per month</t>
  </si>
  <si>
    <t xml:space="preserve">Example default 12,000 a month. What the owner dentist pays themselves; kept out of overhead and shown separately.</t>
  </si>
  <si>
    <t xml:space="preserve">Target overhead % of collections</t>
  </si>
  <si>
    <t xml:space="preserve">Default 60. A placeholder for your own target, not a recommendation or an industry benchmark.</t>
  </si>
  <si>
    <t xml:space="preserve">Target hygiene margin %</t>
  </si>
  <si>
    <t xml:space="preserve">Default 30. A placeholder for your own target, not a recommendation or an industry benchmark.</t>
  </si>
  <si>
    <t xml:space="preserve">New-patient retention %</t>
  </si>
  <si>
    <t xml:space="preserve">Default 60. Share of new patients still coming each year after the first; use your own recall data.</t>
  </si>
  <si>
    <t xml:space="preserve">Years retained</t>
  </si>
  <si>
    <t xml:space="preserve">Default 3. How many years a retained patient typically stays, including the first.</t>
  </si>
  <si>
    <t xml:space="preserve">Average first-year value per new patient</t>
  </si>
  <si>
    <t xml:space="preserve">Example default 900. Average collections from a new patient in their first year.</t>
  </si>
  <si>
    <t xml:space="preserve">Available chair hours per month</t>
  </si>
  <si>
    <t xml:space="preserve">formula: chairs × hours open per day × days open per month</t>
  </si>
  <si>
    <t xml:space="preserve">Provider hours per month</t>
  </si>
  <si>
    <t xml:space="preserve">formula: providers × hours open per day × days open per month</t>
  </si>
  <si>
    <t xml:space="preserve">Hygienist hours available per month</t>
  </si>
  <si>
    <t xml:space="preserve">formula: hygienists × hours open per day × days open per month</t>
  </si>
  <si>
    <t xml:space="preserve">Clinical hours open per month</t>
  </si>
  <si>
    <t xml:space="preserve">formula: hours open per day × days open per month (one chair or one person)</t>
  </si>
  <si>
    <t xml:space="preserve">Lifetime value per new patient</t>
  </si>
  <si>
    <t xml:space="preserve">formula: first-year value + first-year value × retention % × (years retained − 1); collections, not profit</t>
  </si>
  <si>
    <t xml:space="preserve">Monthly P&amp;L</t>
  </si>
  <si>
    <t xml:space="preserve">One row per month, filled top down. Owner compensation comes from Settings and is kept out of overhead.</t>
  </si>
  <si>
    <t xml:space="preserve">Month</t>
  </si>
  <si>
    <t xml:space="preserve">Gross production</t>
  </si>
  <si>
    <t xml:space="preserve">Adjustments</t>
  </si>
  <si>
    <t xml:space="preserve">Collections</t>
  </si>
  <si>
    <t xml:space="preserve">Staff wages</t>
  </si>
  <si>
    <t xml:space="preserve">Payroll loaded</t>
  </si>
  <si>
    <t xml:space="preserve">Rent and facilities</t>
  </si>
  <si>
    <t xml:space="preserve">Supplies and lab</t>
  </si>
  <si>
    <t xml:space="preserve">Marketing</t>
  </si>
  <si>
    <t xml:space="preserve">Other overhead</t>
  </si>
  <si>
    <t xml:space="preserve">Net production</t>
  </si>
  <si>
    <t xml:space="preserve">Collection rate %</t>
  </si>
  <si>
    <t xml:space="preserve">Total overhead</t>
  </si>
  <si>
    <t xml:space="preserve">Overhead % of collections</t>
  </si>
  <si>
    <t xml:space="preserve">Profit before owner</t>
  </si>
  <si>
    <t xml:space="preserve">Profit after owner</t>
  </si>
  <si>
    <t xml:space="preserve">Profit margin after owner %</t>
  </si>
  <si>
    <t xml:space="preserve">Overhead % vs target</t>
  </si>
  <si>
    <t xml:space="preserve">Total</t>
  </si>
  <si>
    <t xml:space="preserve">Overhead % vs target: positive = overhead above your own target in Settings; negative = below it.</t>
  </si>
  <si>
    <t xml:space="preserve">Provider Production</t>
  </si>
  <si>
    <t xml:space="preserve">One row per dentist per month. Overhead per hour = that month's total overhead on the Monthly P&amp;L ÷ provider hours per month in Settings.</t>
  </si>
  <si>
    <t xml:space="preserve">Provider</t>
  </si>
  <si>
    <t xml:space="preserve">Hours worked</t>
  </si>
  <si>
    <t xml:space="preserve">Days worked</t>
  </si>
  <si>
    <t xml:space="preserve">Production per hour</t>
  </si>
  <si>
    <t xml:space="preserve">Production per day</t>
  </si>
  <si>
    <t xml:space="preserve">Overhead per provider hour</t>
  </si>
  <si>
    <t xml:space="preserve">Profit per hour</t>
  </si>
  <si>
    <t xml:space="preserve">Dr. Patel</t>
  </si>
  <si>
    <t xml:space="preserve">Dr. Moreno</t>
  </si>
  <si>
    <t xml:space="preserve">Hygiene</t>
  </si>
  <si>
    <t xml:space="preserve">One row per month. Wages are loaded with payroll taxes and benefits from Settings; the overhead allocation is your own share for the hygiene department.</t>
  </si>
  <si>
    <t xml:space="preserve">Hygiene production</t>
  </si>
  <si>
    <t xml:space="preserve">Hygienist wages</t>
  </si>
  <si>
    <t xml:space="preserve">Hygiene supplies</t>
  </si>
  <si>
    <t xml:space="preserve">Hygienist hours</t>
  </si>
  <si>
    <t xml:space="preserve">Overhead allocation</t>
  </si>
  <si>
    <t xml:space="preserve">Loaded wages</t>
  </si>
  <si>
    <t xml:space="preserve">Total cost</t>
  </si>
  <si>
    <t xml:space="preserve">Department profit</t>
  </si>
  <si>
    <t xml:space="preserve">Margin %</t>
  </si>
  <si>
    <t xml:space="preserve">Cost per hour</t>
  </si>
  <si>
    <t xml:space="preserve">Margin % vs target</t>
  </si>
  <si>
    <t xml:space="preserve">Chairs &amp; New Patients</t>
  </si>
  <si>
    <t xml:space="preserve">Chair utilization: production per scheduled hour defaults to that month's net production on the Monthly P&amp;L ÷ scheduled hours; type your own in column D to override it.</t>
  </si>
  <si>
    <t xml:space="preserve">Scheduled chair hours</t>
  </si>
  <si>
    <t xml:space="preserve">Production per scheduled hour (Monthly P&amp;L)</t>
  </si>
  <si>
    <t xml:space="preserve">or type your own</t>
  </si>
  <si>
    <t xml:space="preserve">Production per hour used</t>
  </si>
  <si>
    <t xml:space="preserve">Available chair hours</t>
  </si>
  <si>
    <t xml:space="preserve">Utilization %</t>
  </si>
  <si>
    <t xml:space="preserve">Idle chair hours</t>
  </si>
  <si>
    <t xml:space="preserve">Production at full chairs</t>
  </si>
  <si>
    <t xml:space="preserve">Unrealised production</t>
  </si>
  <si>
    <t xml:space="preserve">New patients</t>
  </si>
  <si>
    <t xml:space="preserve">Marketing spend defaults to that month's marketing on the Monthly P&amp;L; type your own in column C to override it. Lifetime value uses retention, years and first-year value from Settings.</t>
  </si>
  <si>
    <t xml:space="preserve">Marketing spend (Monthly P&amp;L)</t>
  </si>
  <si>
    <t xml:space="preserve">Marketing spend used</t>
  </si>
  <si>
    <t xml:space="preserve">Cost per new patient</t>
  </si>
  <si>
    <t xml:space="preserve">Lifetime value per patient</t>
  </si>
  <si>
    <t xml:space="preserve">Value-to-cost ratio</t>
  </si>
  <si>
    <t xml:space="preserve">Net value per patient</t>
  </si>
  <si>
    <t xml:space="preserve">Break-even new patients</t>
  </si>
  <si>
    <t xml:space="preserve">Summary</t>
  </si>
  <si>
    <t xml:space="preserve">Year-to-date collections</t>
  </si>
  <si>
    <t xml:space="preserve">Monthly P&amp;L totals</t>
  </si>
  <si>
    <t xml:space="preserve">Year-to-date net production</t>
  </si>
  <si>
    <t xml:space="preserve">gross production − adjustments</t>
  </si>
  <si>
    <t xml:space="preserve">collections ÷ net production</t>
  </si>
  <si>
    <t xml:space="preserve">total overhead ÷ collections, owner pay excluded</t>
  </si>
  <si>
    <t xml:space="preserve">Your target overhead %</t>
  </si>
  <si>
    <t xml:space="preserve">from Settings; your own target, not a benchmark</t>
  </si>
  <si>
    <t xml:space="preserve">positive = above your target</t>
  </si>
  <si>
    <t xml:space="preserve">Profit before owner pay</t>
  </si>
  <si>
    <t xml:space="preserve">collections − overhead</t>
  </si>
  <si>
    <t xml:space="preserve">Profit after owner pay</t>
  </si>
  <si>
    <t xml:space="preserve">profit before owner pay − owner compensation</t>
  </si>
  <si>
    <t xml:space="preserve">Best month by profit</t>
  </si>
  <si>
    <t xml:space="preserve">highest profit after owner pay</t>
  </si>
  <si>
    <t xml:space="preserve">Worst month by profit</t>
  </si>
  <si>
    <t xml:space="preserve">lowest profit after owner pay</t>
  </si>
  <si>
    <t xml:space="preserve">Average production per provider hour</t>
  </si>
  <si>
    <t xml:space="preserve">Provider Production: total net production ÷ total hours</t>
  </si>
  <si>
    <t xml:space="preserve">Hygiene year-to-date margin %</t>
  </si>
  <si>
    <t xml:space="preserve">department profit ÷ hygiene production</t>
  </si>
  <si>
    <t xml:space="preserve">Hygiene margin % vs target</t>
  </si>
  <si>
    <t xml:space="preserve">Average chair utilization %</t>
  </si>
  <si>
    <t xml:space="preserve">total scheduled ÷ total available chair hours</t>
  </si>
  <si>
    <t xml:space="preserve">Total unrealised production</t>
  </si>
  <si>
    <t xml:space="preserve">idle chair hours × production per hour</t>
  </si>
  <si>
    <t xml:space="preserve">Year-to-date cost per new patient</t>
  </si>
  <si>
    <t xml:space="preserve">total marketing spend ÷ total new patients</t>
  </si>
  <si>
    <t xml:space="preserve">Total new patients</t>
  </si>
  <si>
    <t xml:space="preserve">Months with overhead above target</t>
  </si>
  <si>
    <t xml:space="preserve">overhead % above your target in Settings</t>
  </si>
  <si>
    <t xml:space="preserve">from Settings</t>
  </si>
</sst>
</file>

<file path=xl/styles.xml><?xml version="1.0" encoding="utf-8"?>
<styleSheet xmlns="http://schemas.openxmlformats.org/spreadsheetml/2006/main">
  <numFmts count="9">
    <numFmt numFmtId="164" formatCode="General"/>
    <numFmt numFmtId="165" formatCode="0"/>
    <numFmt numFmtId="166" formatCode="0.0"/>
    <numFmt numFmtId="167" formatCode="0.00\%"/>
    <numFmt numFmtId="168" formatCode="#,##0.00;\(#,##0.00\);\-"/>
    <numFmt numFmtId="169" formatCode="0.00"/>
    <numFmt numFmtId="170" formatCode="mmm\ yyyy"/>
    <numFmt numFmtId="171" formatCode="0.00;\-0.00;0.00"/>
    <numFmt numFmtId="172" formatCode="0.00\x"/>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70" fontId="8"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71" fontId="6"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72" fontId="6" fillId="0"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5" customFormat="false" ht="15" hidden="false" customHeight="false" outlineLevel="0" collapsed="false">
      <c r="A25"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90"/>
  </cols>
  <sheetData>
    <row r="1" customFormat="false" ht="17.35" hidden="false" customHeight="false" outlineLevel="0" collapsed="false">
      <c r="A1" s="2" t="s">
        <v>22</v>
      </c>
    </row>
    <row r="2" customFormat="false" ht="15" hidden="false" customHeight="false" outlineLevel="0" collapsed="false">
      <c r="A2" s="4" t="s">
        <v>23</v>
      </c>
      <c r="B2" s="6" t="n">
        <v>4</v>
      </c>
      <c r="C2" s="3" t="s">
        <v>24</v>
      </c>
    </row>
    <row r="3" customFormat="false" ht="15" hidden="false" customHeight="false" outlineLevel="0" collapsed="false">
      <c r="A3" s="4" t="s">
        <v>25</v>
      </c>
      <c r="B3" s="7" t="n">
        <v>8</v>
      </c>
      <c r="C3" s="3" t="s">
        <v>26</v>
      </c>
    </row>
    <row r="4" customFormat="false" ht="15" hidden="false" customHeight="false" outlineLevel="0" collapsed="false">
      <c r="A4" s="4" t="s">
        <v>27</v>
      </c>
      <c r="B4" s="6" t="n">
        <v>20</v>
      </c>
      <c r="C4" s="3" t="s">
        <v>28</v>
      </c>
    </row>
    <row r="5" customFormat="false" ht="15" hidden="false" customHeight="false" outlineLevel="0" collapsed="false">
      <c r="A5" s="4" t="s">
        <v>29</v>
      </c>
      <c r="B5" s="6" t="n">
        <v>2</v>
      </c>
      <c r="C5" s="3" t="s">
        <v>30</v>
      </c>
    </row>
    <row r="6" customFormat="false" ht="15" hidden="false" customHeight="false" outlineLevel="0" collapsed="false">
      <c r="A6" s="4" t="s">
        <v>31</v>
      </c>
      <c r="B6" s="8" t="n">
        <v>2</v>
      </c>
      <c r="C6" s="3" t="s">
        <v>32</v>
      </c>
    </row>
    <row r="7" customFormat="false" ht="15" hidden="false" customHeight="false" outlineLevel="0" collapsed="false">
      <c r="A7" s="4" t="s">
        <v>33</v>
      </c>
      <c r="B7" s="9" t="n">
        <v>15</v>
      </c>
      <c r="C7" s="3" t="s">
        <v>34</v>
      </c>
    </row>
    <row r="8" customFormat="false" ht="15" hidden="false" customHeight="false" outlineLevel="0" collapsed="false">
      <c r="A8" s="4" t="s">
        <v>35</v>
      </c>
      <c r="B8" s="10" t="n">
        <v>12000</v>
      </c>
      <c r="C8" s="3" t="s">
        <v>36</v>
      </c>
    </row>
    <row r="9" customFormat="false" ht="15" hidden="false" customHeight="false" outlineLevel="0" collapsed="false">
      <c r="A9" s="4" t="s">
        <v>37</v>
      </c>
      <c r="B9" s="9" t="n">
        <v>60</v>
      </c>
      <c r="C9" s="3" t="s">
        <v>38</v>
      </c>
    </row>
    <row r="10" customFormat="false" ht="15" hidden="false" customHeight="false" outlineLevel="0" collapsed="false">
      <c r="A10" s="4" t="s">
        <v>39</v>
      </c>
      <c r="B10" s="11" t="n">
        <v>30</v>
      </c>
      <c r="C10" s="3" t="s">
        <v>40</v>
      </c>
    </row>
    <row r="11" customFormat="false" ht="15" hidden="false" customHeight="false" outlineLevel="0" collapsed="false">
      <c r="A11" s="4" t="s">
        <v>41</v>
      </c>
      <c r="B11" s="11" t="n">
        <v>60</v>
      </c>
      <c r="C11" s="3" t="s">
        <v>42</v>
      </c>
    </row>
    <row r="12" customFormat="false" ht="15" hidden="false" customHeight="false" outlineLevel="0" collapsed="false">
      <c r="A12" s="4" t="s">
        <v>43</v>
      </c>
      <c r="B12" s="8" t="n">
        <v>3</v>
      </c>
      <c r="C12" s="3" t="s">
        <v>44</v>
      </c>
    </row>
    <row r="13" customFormat="false" ht="15" hidden="false" customHeight="false" outlineLevel="0" collapsed="false">
      <c r="A13" s="4" t="s">
        <v>45</v>
      </c>
      <c r="B13" s="10" t="n">
        <v>900</v>
      </c>
      <c r="C13" s="3" t="s">
        <v>46</v>
      </c>
    </row>
    <row r="14" customFormat="false" ht="15" hidden="false" customHeight="false" outlineLevel="0" collapsed="false">
      <c r="A14" s="5" t="s">
        <v>47</v>
      </c>
      <c r="B14" s="12" t="n">
        <f aca="false">ROUND(B2*B3*B4,2)</f>
        <v>640</v>
      </c>
      <c r="C14" s="3" t="s">
        <v>48</v>
      </c>
    </row>
    <row r="15" customFormat="false" ht="15" hidden="false" customHeight="false" outlineLevel="0" collapsed="false">
      <c r="A15" s="5" t="s">
        <v>49</v>
      </c>
      <c r="B15" s="12" t="n">
        <f aca="false">ROUND(B5*B3*B4,2)</f>
        <v>320</v>
      </c>
      <c r="C15" s="3" t="s">
        <v>50</v>
      </c>
    </row>
    <row r="16" customFormat="false" ht="15" hidden="false" customHeight="false" outlineLevel="0" collapsed="false">
      <c r="A16" s="5" t="s">
        <v>51</v>
      </c>
      <c r="B16" s="12" t="n">
        <f aca="false">ROUND(B6*B3*B4,2)</f>
        <v>320</v>
      </c>
      <c r="C16" s="3" t="s">
        <v>52</v>
      </c>
    </row>
    <row r="17" customFormat="false" ht="15" hidden="false" customHeight="false" outlineLevel="0" collapsed="false">
      <c r="A17" s="4" t="s">
        <v>53</v>
      </c>
      <c r="B17" s="13" t="n">
        <f aca="false">ROUND(B3*B4,2)</f>
        <v>160</v>
      </c>
      <c r="C17" s="3" t="s">
        <v>54</v>
      </c>
    </row>
    <row r="18" customFormat="false" ht="15" hidden="false" customHeight="false" outlineLevel="0" collapsed="false">
      <c r="A18" s="5" t="s">
        <v>55</v>
      </c>
      <c r="B18" s="14" t="n">
        <f aca="false">ROUND(B13+B13*B11/100*(B12-1),2)</f>
        <v>1980</v>
      </c>
      <c r="C18" s="3" t="s">
        <v>56</v>
      </c>
    </row>
  </sheetData>
  <dataValidations count="2">
    <dataValidation allowBlank="true" error="Type a percentage as a whole number between 0 and 100 (for example 15)." errorStyle="stop" operator="between" showDropDown="false" showErrorMessage="true" showInputMessage="false" sqref="B7 B9:B11" type="decimal">
      <formula1>0</formula1>
      <formula2>100</formula2>
    </dataValidation>
    <dataValidation allowBlank="true" error="Type a whole number of 0 or more." errorStyle="stop" operator="greaterThanOrEqual" showDropDown="false" showErrorMessage="true" showInputMessage="false" sqref="B2 B4:B6 B12"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3"/>
    <col collapsed="false" customWidth="true" hidden="false" outlineLevel="0" max="3" min="3" style="1" width="12"/>
    <col collapsed="false" customWidth="true" hidden="false" outlineLevel="0" max="4" min="4" style="1" width="13"/>
    <col collapsed="false" customWidth="true" hidden="false" outlineLevel="0" max="8" min="5" style="1" width="12"/>
    <col collapsed="false" customWidth="true" hidden="false" outlineLevel="0" max="9" min="9" style="1" width="11"/>
    <col collapsed="false" customWidth="true" hidden="false" outlineLevel="0" max="10" min="10" style="1" width="12"/>
    <col collapsed="false" customWidth="true" hidden="false" outlineLevel="0" max="11" min="11" style="1" width="13"/>
    <col collapsed="false" customWidth="true" hidden="false" outlineLevel="0" max="12" min="12" style="1" width="11"/>
    <col collapsed="false" customWidth="true" hidden="false" outlineLevel="0" max="13" min="13" style="1" width="13"/>
    <col collapsed="false" customWidth="true" hidden="false" outlineLevel="0" max="14" min="14" style="1" width="12"/>
    <col collapsed="false" customWidth="true" hidden="false" outlineLevel="0" max="16" min="15" style="1" width="13"/>
    <col collapsed="false" customWidth="true" hidden="false" outlineLevel="0" max="17" min="17" style="1" width="12"/>
    <col collapsed="false" customWidth="true" hidden="false" outlineLevel="0" max="18" min="18" style="1" width="11"/>
  </cols>
  <sheetData>
    <row r="1" customFormat="false" ht="17.35" hidden="false" customHeight="false" outlineLevel="0" collapsed="false">
      <c r="A1" s="2" t="s">
        <v>57</v>
      </c>
    </row>
    <row r="2" customFormat="false" ht="15" hidden="false" customHeight="false" outlineLevel="0" collapsed="false">
      <c r="A2" s="3" t="s">
        <v>58</v>
      </c>
    </row>
    <row r="4" customFormat="false" ht="52.2" hidden="false" customHeight="false" outlineLevel="0" collapsed="false">
      <c r="A4" s="15" t="s">
        <v>59</v>
      </c>
      <c r="B4" s="15" t="s">
        <v>60</v>
      </c>
      <c r="C4" s="15" t="s">
        <v>61</v>
      </c>
      <c r="D4" s="15" t="s">
        <v>62</v>
      </c>
      <c r="E4" s="15" t="s">
        <v>63</v>
      </c>
      <c r="F4" s="15" t="s">
        <v>64</v>
      </c>
      <c r="G4" s="15" t="s">
        <v>65</v>
      </c>
      <c r="H4" s="15" t="s">
        <v>66</v>
      </c>
      <c r="I4" s="15" t="s">
        <v>67</v>
      </c>
      <c r="J4" s="15" t="s">
        <v>68</v>
      </c>
      <c r="K4" s="15" t="s">
        <v>69</v>
      </c>
      <c r="L4" s="15" t="s">
        <v>70</v>
      </c>
      <c r="M4" s="15" t="s">
        <v>71</v>
      </c>
      <c r="N4" s="15" t="s">
        <v>72</v>
      </c>
      <c r="O4" s="15" t="s">
        <v>73</v>
      </c>
      <c r="P4" s="15" t="s">
        <v>74</v>
      </c>
      <c r="Q4" s="15" t="s">
        <v>75</v>
      </c>
      <c r="R4" s="15" t="s">
        <v>76</v>
      </c>
    </row>
    <row r="5" customFormat="false" ht="15" hidden="false" customHeight="false" outlineLevel="0" collapsed="false">
      <c r="A5" s="16" t="n">
        <v>46023</v>
      </c>
      <c r="B5" s="10" t="n">
        <v>120000</v>
      </c>
      <c r="C5" s="17" t="n">
        <v>18000</v>
      </c>
      <c r="D5" s="10" t="n">
        <v>98000</v>
      </c>
      <c r="E5" s="17" t="n">
        <v>26000</v>
      </c>
      <c r="F5" s="18" t="n">
        <f aca="false">IF(A5="","",ROUND(E5*(1+Settings!$B$7/100),2))</f>
        <v>29900</v>
      </c>
      <c r="G5" s="17" t="n">
        <v>7500</v>
      </c>
      <c r="H5" s="17" t="n">
        <v>7200</v>
      </c>
      <c r="I5" s="17" t="n">
        <v>3000</v>
      </c>
      <c r="J5" s="17" t="n">
        <v>4200</v>
      </c>
      <c r="K5" s="18" t="n">
        <f aca="false">IF(A5="","",ROUND(B5-C5,2))</f>
        <v>102000</v>
      </c>
      <c r="L5" s="19" t="n">
        <f aca="false">IF(A5="","",IFERROR(ROUND(D5/K5*100,2),0))</f>
        <v>96.08</v>
      </c>
      <c r="M5" s="18" t="n">
        <f aca="false">IF(A5="","",ROUND(F5+G5+H5+I5+J5,2))</f>
        <v>51800</v>
      </c>
      <c r="N5" s="19" t="n">
        <f aca="false">IF(A5="","",IFERROR(ROUND(M5/D5*100,2),0))</f>
        <v>52.86</v>
      </c>
      <c r="O5" s="18" t="n">
        <f aca="false">IF(A5="","",ROUND(D5-M5,2))</f>
        <v>46200</v>
      </c>
      <c r="P5" s="18" t="n">
        <f aca="false">IF(A5="","",ROUND(O5-Settings!$B$8,2))</f>
        <v>34200</v>
      </c>
      <c r="Q5" s="19" t="n">
        <f aca="false">IF(A5="","",IFERROR(ROUND(P5/D5*100,2),0))</f>
        <v>34.9</v>
      </c>
      <c r="R5" s="19" t="n">
        <f aca="false">IF(A5="","",ROUND(N5-Settings!$B$9,2))</f>
        <v>-7.14</v>
      </c>
    </row>
    <row r="6" customFormat="false" ht="15" hidden="false" customHeight="false" outlineLevel="0" collapsed="false">
      <c r="A6" s="16" t="n">
        <v>46054</v>
      </c>
      <c r="B6" s="17" t="n">
        <v>112000</v>
      </c>
      <c r="C6" s="17" t="n">
        <v>16500</v>
      </c>
      <c r="D6" s="17" t="n">
        <v>92000</v>
      </c>
      <c r="E6" s="17" t="n">
        <v>26000</v>
      </c>
      <c r="F6" s="18" t="n">
        <f aca="false">IF(A6="","",ROUND(E6*(1+Settings!$B$7/100),2))</f>
        <v>29900</v>
      </c>
      <c r="G6" s="17" t="n">
        <v>7500</v>
      </c>
      <c r="H6" s="17" t="n">
        <v>6800</v>
      </c>
      <c r="I6" s="17" t="n">
        <v>3500</v>
      </c>
      <c r="J6" s="17" t="n">
        <v>4000</v>
      </c>
      <c r="K6" s="18" t="n">
        <f aca="false">IF(A6="","",ROUND(B6-C6,2))</f>
        <v>95500</v>
      </c>
      <c r="L6" s="19" t="n">
        <f aca="false">IF(A6="","",IFERROR(ROUND(D6/K6*100,2),0))</f>
        <v>96.34</v>
      </c>
      <c r="M6" s="18" t="n">
        <f aca="false">IF(A6="","",ROUND(F6+G6+H6+I6+J6,2))</f>
        <v>51700</v>
      </c>
      <c r="N6" s="19" t="n">
        <f aca="false">IF(A6="","",IFERROR(ROUND(M6/D6*100,2),0))</f>
        <v>56.2</v>
      </c>
      <c r="O6" s="18" t="n">
        <f aca="false">IF(A6="","",ROUND(D6-M6,2))</f>
        <v>40300</v>
      </c>
      <c r="P6" s="18" t="n">
        <f aca="false">IF(A6="","",ROUND(O6-Settings!$B$8,2))</f>
        <v>28300</v>
      </c>
      <c r="Q6" s="19" t="n">
        <f aca="false">IF(A6="","",IFERROR(ROUND(P6/D6*100,2),0))</f>
        <v>30.76</v>
      </c>
      <c r="R6" s="19" t="n">
        <f aca="false">IF(A6="","",ROUND(N6-Settings!$B$9,2))</f>
        <v>-3.8</v>
      </c>
    </row>
    <row r="7" customFormat="false" ht="15" hidden="false" customHeight="false" outlineLevel="0" collapsed="false">
      <c r="A7" s="16" t="n">
        <v>46082</v>
      </c>
      <c r="B7" s="17" t="n">
        <v>128000</v>
      </c>
      <c r="C7" s="17" t="n">
        <v>19000</v>
      </c>
      <c r="D7" s="17" t="n">
        <v>104000</v>
      </c>
      <c r="E7" s="17" t="n">
        <v>27500</v>
      </c>
      <c r="F7" s="18" t="n">
        <f aca="false">IF(A7="","",ROUND(E7*(1+Settings!$B$7/100),2))</f>
        <v>31625</v>
      </c>
      <c r="G7" s="17" t="n">
        <v>7500</v>
      </c>
      <c r="H7" s="17" t="n">
        <v>7900</v>
      </c>
      <c r="I7" s="17" t="n">
        <v>3000</v>
      </c>
      <c r="J7" s="17" t="n">
        <v>4300</v>
      </c>
      <c r="K7" s="18" t="n">
        <f aca="false">IF(A7="","",ROUND(B7-C7,2))</f>
        <v>109000</v>
      </c>
      <c r="L7" s="19" t="n">
        <f aca="false">IF(A7="","",IFERROR(ROUND(D7/K7*100,2),0))</f>
        <v>95.41</v>
      </c>
      <c r="M7" s="18" t="n">
        <f aca="false">IF(A7="","",ROUND(F7+G7+H7+I7+J7,2))</f>
        <v>54325</v>
      </c>
      <c r="N7" s="19" t="n">
        <f aca="false">IF(A7="","",IFERROR(ROUND(M7/D7*100,2),0))</f>
        <v>52.24</v>
      </c>
      <c r="O7" s="18" t="n">
        <f aca="false">IF(A7="","",ROUND(D7-M7,2))</f>
        <v>49675</v>
      </c>
      <c r="P7" s="18" t="n">
        <f aca="false">IF(A7="","",ROUND(O7-Settings!$B$8,2))</f>
        <v>37675</v>
      </c>
      <c r="Q7" s="19" t="n">
        <f aca="false">IF(A7="","",IFERROR(ROUND(P7/D7*100,2),0))</f>
        <v>36.23</v>
      </c>
      <c r="R7" s="19" t="n">
        <f aca="false">IF(A7="","",ROUND(N7-Settings!$B$9,2))</f>
        <v>-7.76</v>
      </c>
    </row>
    <row r="8" customFormat="false" ht="15" hidden="false" customHeight="false" outlineLevel="0" collapsed="false">
      <c r="A8" s="16" t="n">
        <v>46113</v>
      </c>
      <c r="B8" s="17" t="n">
        <v>105000</v>
      </c>
      <c r="C8" s="17" t="n">
        <v>15800</v>
      </c>
      <c r="D8" s="17" t="n">
        <v>84500</v>
      </c>
      <c r="E8" s="17" t="n">
        <v>27500</v>
      </c>
      <c r="F8" s="18" t="n">
        <f aca="false">IF(A8="","",ROUND(E8*(1+Settings!$B$7/100),2))</f>
        <v>31625</v>
      </c>
      <c r="G8" s="17" t="n">
        <v>7500</v>
      </c>
      <c r="H8" s="17" t="n">
        <v>6900</v>
      </c>
      <c r="I8" s="17" t="n">
        <v>4500</v>
      </c>
      <c r="J8" s="17" t="n">
        <v>4600</v>
      </c>
      <c r="K8" s="18" t="n">
        <f aca="false">IF(A8="","",ROUND(B8-C8,2))</f>
        <v>89200</v>
      </c>
      <c r="L8" s="19" t="n">
        <f aca="false">IF(A8="","",IFERROR(ROUND(D8/K8*100,2),0))</f>
        <v>94.73</v>
      </c>
      <c r="M8" s="18" t="n">
        <f aca="false">IF(A8="","",ROUND(F8+G8+H8+I8+J8,2))</f>
        <v>55125</v>
      </c>
      <c r="N8" s="19" t="n">
        <f aca="false">IF(A8="","",IFERROR(ROUND(M8/D8*100,2),0))</f>
        <v>65.24</v>
      </c>
      <c r="O8" s="18" t="n">
        <f aca="false">IF(A8="","",ROUND(D8-M8,2))</f>
        <v>29375</v>
      </c>
      <c r="P8" s="18" t="n">
        <f aca="false">IF(A8="","",ROUND(O8-Settings!$B$8,2))</f>
        <v>17375</v>
      </c>
      <c r="Q8" s="19" t="n">
        <f aca="false">IF(A8="","",IFERROR(ROUND(P8/D8*100,2),0))</f>
        <v>20.56</v>
      </c>
      <c r="R8" s="19" t="n">
        <f aca="false">IF(A8="","",ROUND(N8-Settings!$B$9,2))</f>
        <v>5.24</v>
      </c>
    </row>
    <row r="9" customFormat="false" ht="15" hidden="false" customHeight="false" outlineLevel="0" collapsed="false">
      <c r="A9" s="16" t="n">
        <v>46143</v>
      </c>
      <c r="B9" s="17" t="n">
        <v>124000</v>
      </c>
      <c r="C9" s="17" t="n">
        <v>18500</v>
      </c>
      <c r="D9" s="17" t="n">
        <v>101000</v>
      </c>
      <c r="E9" s="17" t="n">
        <v>27500</v>
      </c>
      <c r="F9" s="18" t="n">
        <f aca="false">IF(A9="","",ROUND(E9*(1+Settings!$B$7/100),2))</f>
        <v>31625</v>
      </c>
      <c r="G9" s="17" t="n">
        <v>7500</v>
      </c>
      <c r="H9" s="17" t="n">
        <v>7400</v>
      </c>
      <c r="I9" s="17" t="n">
        <v>3200</v>
      </c>
      <c r="J9" s="17" t="n">
        <v>4100</v>
      </c>
      <c r="K9" s="18" t="n">
        <f aca="false">IF(A9="","",ROUND(B9-C9,2))</f>
        <v>105500</v>
      </c>
      <c r="L9" s="19" t="n">
        <f aca="false">IF(A9="","",IFERROR(ROUND(D9/K9*100,2),0))</f>
        <v>95.73</v>
      </c>
      <c r="M9" s="18" t="n">
        <f aca="false">IF(A9="","",ROUND(F9+G9+H9+I9+J9,2))</f>
        <v>53825</v>
      </c>
      <c r="N9" s="19" t="n">
        <f aca="false">IF(A9="","",IFERROR(ROUND(M9/D9*100,2),0))</f>
        <v>53.29</v>
      </c>
      <c r="O9" s="18" t="n">
        <f aca="false">IF(A9="","",ROUND(D9-M9,2))</f>
        <v>47175</v>
      </c>
      <c r="P9" s="18" t="n">
        <f aca="false">IF(A9="","",ROUND(O9-Settings!$B$8,2))</f>
        <v>35175</v>
      </c>
      <c r="Q9" s="19" t="n">
        <f aca="false">IF(A9="","",IFERROR(ROUND(P9/D9*100,2),0))</f>
        <v>34.83</v>
      </c>
      <c r="R9" s="19" t="n">
        <f aca="false">IF(A9="","",ROUND(N9-Settings!$B$9,2))</f>
        <v>-6.71</v>
      </c>
    </row>
    <row r="10" customFormat="false" ht="15" hidden="false" customHeight="false" outlineLevel="0" collapsed="false">
      <c r="A10" s="16" t="n">
        <v>46174</v>
      </c>
      <c r="B10" s="17" t="n">
        <v>131000</v>
      </c>
      <c r="C10" s="17" t="n">
        <v>19500</v>
      </c>
      <c r="D10" s="17" t="n">
        <v>108000</v>
      </c>
      <c r="E10" s="17" t="n">
        <v>28000</v>
      </c>
      <c r="F10" s="18" t="n">
        <f aca="false">IF(A10="","",ROUND(E10*(1+Settings!$B$7/100),2))</f>
        <v>32200</v>
      </c>
      <c r="G10" s="17" t="n">
        <v>7500</v>
      </c>
      <c r="H10" s="17" t="n">
        <v>8100</v>
      </c>
      <c r="I10" s="17" t="n">
        <v>3000</v>
      </c>
      <c r="J10" s="17" t="n">
        <v>4400</v>
      </c>
      <c r="K10" s="18" t="n">
        <f aca="false">IF(A10="","",ROUND(B10-C10,2))</f>
        <v>111500</v>
      </c>
      <c r="L10" s="19" t="n">
        <f aca="false">IF(A10="","",IFERROR(ROUND(D10/K10*100,2),0))</f>
        <v>96.86</v>
      </c>
      <c r="M10" s="18" t="n">
        <f aca="false">IF(A10="","",ROUND(F10+G10+H10+I10+J10,2))</f>
        <v>55200</v>
      </c>
      <c r="N10" s="19" t="n">
        <f aca="false">IF(A10="","",IFERROR(ROUND(M10/D10*100,2),0))</f>
        <v>51.11</v>
      </c>
      <c r="O10" s="18" t="n">
        <f aca="false">IF(A10="","",ROUND(D10-M10,2))</f>
        <v>52800</v>
      </c>
      <c r="P10" s="18" t="n">
        <f aca="false">IF(A10="","",ROUND(O10-Settings!$B$8,2))</f>
        <v>40800</v>
      </c>
      <c r="Q10" s="19" t="n">
        <f aca="false">IF(A10="","",IFERROR(ROUND(P10/D10*100,2),0))</f>
        <v>37.78</v>
      </c>
      <c r="R10" s="19" t="n">
        <f aca="false">IF(A10="","",ROUND(N10-Settings!$B$9,2))</f>
        <v>-8.89</v>
      </c>
    </row>
    <row r="11" customFormat="false" ht="15" hidden="false" customHeight="false" outlineLevel="0" collapsed="false">
      <c r="A11" s="16"/>
      <c r="B11" s="17"/>
      <c r="C11" s="17"/>
      <c r="D11" s="17"/>
      <c r="E11" s="17"/>
      <c r="F11" s="18" t="str">
        <f aca="false">IF(A11="","",ROUND(E11*(1+Settings!$B$7/100),2))</f>
        <v/>
      </c>
      <c r="G11" s="17"/>
      <c r="H11" s="17"/>
      <c r="I11" s="17"/>
      <c r="J11" s="17"/>
      <c r="K11" s="18" t="str">
        <f aca="false">IF(A11="","",ROUND(B11-C11,2))</f>
        <v/>
      </c>
      <c r="L11" s="19" t="str">
        <f aca="false">IF(A11="","",IFERROR(ROUND(D11/K11*100,2),0))</f>
        <v/>
      </c>
      <c r="M11" s="18" t="str">
        <f aca="false">IF(A11="","",ROUND(F11+G11+H11+I11+J11,2))</f>
        <v/>
      </c>
      <c r="N11" s="19" t="str">
        <f aca="false">IF(A11="","",IFERROR(ROUND(M11/D11*100,2),0))</f>
        <v/>
      </c>
      <c r="O11" s="18" t="str">
        <f aca="false">IF(A11="","",ROUND(D11-M11,2))</f>
        <v/>
      </c>
      <c r="P11" s="18" t="str">
        <f aca="false">IF(A11="","",ROUND(O11-Settings!$B$8,2))</f>
        <v/>
      </c>
      <c r="Q11" s="19" t="str">
        <f aca="false">IF(A11="","",IFERROR(ROUND(P11/D11*100,2),0))</f>
        <v/>
      </c>
      <c r="R11" s="19" t="str">
        <f aca="false">IF(A11="","",ROUND(N11-Settings!$B$9,2))</f>
        <v/>
      </c>
    </row>
    <row r="12" customFormat="false" ht="15" hidden="false" customHeight="false" outlineLevel="0" collapsed="false">
      <c r="A12" s="16"/>
      <c r="B12" s="17"/>
      <c r="C12" s="17"/>
      <c r="D12" s="17"/>
      <c r="E12" s="17"/>
      <c r="F12" s="18" t="str">
        <f aca="false">IF(A12="","",ROUND(E12*(1+Settings!$B$7/100),2))</f>
        <v/>
      </c>
      <c r="G12" s="17"/>
      <c r="H12" s="17"/>
      <c r="I12" s="17"/>
      <c r="J12" s="17"/>
      <c r="K12" s="18" t="str">
        <f aca="false">IF(A12="","",ROUND(B12-C12,2))</f>
        <v/>
      </c>
      <c r="L12" s="19" t="str">
        <f aca="false">IF(A12="","",IFERROR(ROUND(D12/K12*100,2),0))</f>
        <v/>
      </c>
      <c r="M12" s="18" t="str">
        <f aca="false">IF(A12="","",ROUND(F12+G12+H12+I12+J12,2))</f>
        <v/>
      </c>
      <c r="N12" s="19" t="str">
        <f aca="false">IF(A12="","",IFERROR(ROUND(M12/D12*100,2),0))</f>
        <v/>
      </c>
      <c r="O12" s="18" t="str">
        <f aca="false">IF(A12="","",ROUND(D12-M12,2))</f>
        <v/>
      </c>
      <c r="P12" s="18" t="str">
        <f aca="false">IF(A12="","",ROUND(O12-Settings!$B$8,2))</f>
        <v/>
      </c>
      <c r="Q12" s="19" t="str">
        <f aca="false">IF(A12="","",IFERROR(ROUND(P12/D12*100,2),0))</f>
        <v/>
      </c>
      <c r="R12" s="19" t="str">
        <f aca="false">IF(A12="","",ROUND(N12-Settings!$B$9,2))</f>
        <v/>
      </c>
    </row>
    <row r="13" customFormat="false" ht="15" hidden="false" customHeight="false" outlineLevel="0" collapsed="false">
      <c r="A13" s="16"/>
      <c r="B13" s="17"/>
      <c r="C13" s="17"/>
      <c r="D13" s="17"/>
      <c r="E13" s="17"/>
      <c r="F13" s="18" t="str">
        <f aca="false">IF(A13="","",ROUND(E13*(1+Settings!$B$7/100),2))</f>
        <v/>
      </c>
      <c r="G13" s="17"/>
      <c r="H13" s="17"/>
      <c r="I13" s="17"/>
      <c r="J13" s="17"/>
      <c r="K13" s="18" t="str">
        <f aca="false">IF(A13="","",ROUND(B13-C13,2))</f>
        <v/>
      </c>
      <c r="L13" s="19" t="str">
        <f aca="false">IF(A13="","",IFERROR(ROUND(D13/K13*100,2),0))</f>
        <v/>
      </c>
      <c r="M13" s="18" t="str">
        <f aca="false">IF(A13="","",ROUND(F13+G13+H13+I13+J13,2))</f>
        <v/>
      </c>
      <c r="N13" s="19" t="str">
        <f aca="false">IF(A13="","",IFERROR(ROUND(M13/D13*100,2),0))</f>
        <v/>
      </c>
      <c r="O13" s="18" t="str">
        <f aca="false">IF(A13="","",ROUND(D13-M13,2))</f>
        <v/>
      </c>
      <c r="P13" s="18" t="str">
        <f aca="false">IF(A13="","",ROUND(O13-Settings!$B$8,2))</f>
        <v/>
      </c>
      <c r="Q13" s="19" t="str">
        <f aca="false">IF(A13="","",IFERROR(ROUND(P13/D13*100,2),0))</f>
        <v/>
      </c>
      <c r="R13" s="19" t="str">
        <f aca="false">IF(A13="","",ROUND(N13-Settings!$B$9,2))</f>
        <v/>
      </c>
    </row>
    <row r="14" customFormat="false" ht="15" hidden="false" customHeight="false" outlineLevel="0" collapsed="false">
      <c r="A14" s="16"/>
      <c r="B14" s="17"/>
      <c r="C14" s="17"/>
      <c r="D14" s="17"/>
      <c r="E14" s="17"/>
      <c r="F14" s="18" t="str">
        <f aca="false">IF(A14="","",ROUND(E14*(1+Settings!$B$7/100),2))</f>
        <v/>
      </c>
      <c r="G14" s="17"/>
      <c r="H14" s="17"/>
      <c r="I14" s="17"/>
      <c r="J14" s="17"/>
      <c r="K14" s="18" t="str">
        <f aca="false">IF(A14="","",ROUND(B14-C14,2))</f>
        <v/>
      </c>
      <c r="L14" s="19" t="str">
        <f aca="false">IF(A14="","",IFERROR(ROUND(D14/K14*100,2),0))</f>
        <v/>
      </c>
      <c r="M14" s="18" t="str">
        <f aca="false">IF(A14="","",ROUND(F14+G14+H14+I14+J14,2))</f>
        <v/>
      </c>
      <c r="N14" s="19" t="str">
        <f aca="false">IF(A14="","",IFERROR(ROUND(M14/D14*100,2),0))</f>
        <v/>
      </c>
      <c r="O14" s="18" t="str">
        <f aca="false">IF(A14="","",ROUND(D14-M14,2))</f>
        <v/>
      </c>
      <c r="P14" s="18" t="str">
        <f aca="false">IF(A14="","",ROUND(O14-Settings!$B$8,2))</f>
        <v/>
      </c>
      <c r="Q14" s="19" t="str">
        <f aca="false">IF(A14="","",IFERROR(ROUND(P14/D14*100,2),0))</f>
        <v/>
      </c>
      <c r="R14" s="19" t="str">
        <f aca="false">IF(A14="","",ROUND(N14-Settings!$B$9,2))</f>
        <v/>
      </c>
    </row>
    <row r="15" customFormat="false" ht="15" hidden="false" customHeight="false" outlineLevel="0" collapsed="false">
      <c r="A15" s="16"/>
      <c r="B15" s="17"/>
      <c r="C15" s="17"/>
      <c r="D15" s="17"/>
      <c r="E15" s="17"/>
      <c r="F15" s="18" t="str">
        <f aca="false">IF(A15="","",ROUND(E15*(1+Settings!$B$7/100),2))</f>
        <v/>
      </c>
      <c r="G15" s="17"/>
      <c r="H15" s="17"/>
      <c r="I15" s="17"/>
      <c r="J15" s="17"/>
      <c r="K15" s="18" t="str">
        <f aca="false">IF(A15="","",ROUND(B15-C15,2))</f>
        <v/>
      </c>
      <c r="L15" s="19" t="str">
        <f aca="false">IF(A15="","",IFERROR(ROUND(D15/K15*100,2),0))</f>
        <v/>
      </c>
      <c r="M15" s="18" t="str">
        <f aca="false">IF(A15="","",ROUND(F15+G15+H15+I15+J15,2))</f>
        <v/>
      </c>
      <c r="N15" s="19" t="str">
        <f aca="false">IF(A15="","",IFERROR(ROUND(M15/D15*100,2),0))</f>
        <v/>
      </c>
      <c r="O15" s="18" t="str">
        <f aca="false">IF(A15="","",ROUND(D15-M15,2))</f>
        <v/>
      </c>
      <c r="P15" s="18" t="str">
        <f aca="false">IF(A15="","",ROUND(O15-Settings!$B$8,2))</f>
        <v/>
      </c>
      <c r="Q15" s="19" t="str">
        <f aca="false">IF(A15="","",IFERROR(ROUND(P15/D15*100,2),0))</f>
        <v/>
      </c>
      <c r="R15" s="19" t="str">
        <f aca="false">IF(A15="","",ROUND(N15-Settings!$B$9,2))</f>
        <v/>
      </c>
    </row>
    <row r="16" customFormat="false" ht="15" hidden="false" customHeight="false" outlineLevel="0" collapsed="false">
      <c r="A16" s="16"/>
      <c r="B16" s="17"/>
      <c r="C16" s="17"/>
      <c r="D16" s="17"/>
      <c r="E16" s="17"/>
      <c r="F16" s="18" t="str">
        <f aca="false">IF(A16="","",ROUND(E16*(1+Settings!$B$7/100),2))</f>
        <v/>
      </c>
      <c r="G16" s="17"/>
      <c r="H16" s="17"/>
      <c r="I16" s="17"/>
      <c r="J16" s="17"/>
      <c r="K16" s="18" t="str">
        <f aca="false">IF(A16="","",ROUND(B16-C16,2))</f>
        <v/>
      </c>
      <c r="L16" s="19" t="str">
        <f aca="false">IF(A16="","",IFERROR(ROUND(D16/K16*100,2),0))</f>
        <v/>
      </c>
      <c r="M16" s="18" t="str">
        <f aca="false">IF(A16="","",ROUND(F16+G16+H16+I16+J16,2))</f>
        <v/>
      </c>
      <c r="N16" s="19" t="str">
        <f aca="false">IF(A16="","",IFERROR(ROUND(M16/D16*100,2),0))</f>
        <v/>
      </c>
      <c r="O16" s="18" t="str">
        <f aca="false">IF(A16="","",ROUND(D16-M16,2))</f>
        <v/>
      </c>
      <c r="P16" s="18" t="str">
        <f aca="false">IF(A16="","",ROUND(O16-Settings!$B$8,2))</f>
        <v/>
      </c>
      <c r="Q16" s="19" t="str">
        <f aca="false">IF(A16="","",IFERROR(ROUND(P16/D16*100,2),0))</f>
        <v/>
      </c>
      <c r="R16" s="19" t="str">
        <f aca="false">IF(A16="","",ROUND(N16-Settings!$B$9,2))</f>
        <v/>
      </c>
    </row>
    <row r="17" customFormat="false" ht="15" hidden="false" customHeight="false" outlineLevel="0" collapsed="false">
      <c r="A17" s="5" t="s">
        <v>77</v>
      </c>
      <c r="B17" s="14" t="n">
        <f aca="false">SUM(B5:B16)</f>
        <v>720000</v>
      </c>
      <c r="C17" s="14" t="n">
        <f aca="false">SUM(C5:C16)</f>
        <v>107300</v>
      </c>
      <c r="D17" s="14" t="n">
        <f aca="false">SUM(D5:D16)</f>
        <v>587500</v>
      </c>
      <c r="E17" s="14" t="n">
        <f aca="false">SUM(E5:E16)</f>
        <v>162500</v>
      </c>
      <c r="F17" s="14" t="n">
        <f aca="false">SUM(F5:F16)</f>
        <v>186875</v>
      </c>
      <c r="G17" s="14" t="n">
        <f aca="false">SUM(G5:G16)</f>
        <v>45000</v>
      </c>
      <c r="H17" s="14" t="n">
        <f aca="false">SUM(H5:H16)</f>
        <v>44300</v>
      </c>
      <c r="I17" s="14" t="n">
        <f aca="false">SUM(I5:I16)</f>
        <v>20200</v>
      </c>
      <c r="J17" s="14" t="n">
        <f aca="false">SUM(J5:J16)</f>
        <v>25600</v>
      </c>
      <c r="K17" s="14" t="n">
        <f aca="false">SUM(K5:K16)</f>
        <v>612700</v>
      </c>
      <c r="L17" s="20" t="n">
        <f aca="false">IFERROR(ROUND(D17/K17*100,2),0)</f>
        <v>95.89</v>
      </c>
      <c r="M17" s="14" t="n">
        <f aca="false">SUM(M5:M16)</f>
        <v>321975</v>
      </c>
      <c r="N17" s="20" t="n">
        <f aca="false">IFERROR(ROUND(M17/D17*100,2),0)</f>
        <v>54.8</v>
      </c>
      <c r="O17" s="14" t="n">
        <f aca="false">SUM(O5:O16)</f>
        <v>265525</v>
      </c>
      <c r="P17" s="14" t="n">
        <f aca="false">SUM(P5:P16)</f>
        <v>193525</v>
      </c>
      <c r="Q17" s="20" t="n">
        <f aca="false">IFERROR(ROUND(P17/D17*100,2),0)</f>
        <v>32.94</v>
      </c>
      <c r="R17" s="20" t="n">
        <f aca="false">ROUND(N17-Settings!$B$9,2)</f>
        <v>-5.2</v>
      </c>
    </row>
    <row r="18" customFormat="false" ht="15" hidden="false" customHeight="false" outlineLevel="0" collapsed="false">
      <c r="A18" s="3"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4" min="3" style="1" width="10"/>
    <col collapsed="false" customWidth="true" hidden="false" outlineLevel="0" max="5" min="5" style="1" width="13"/>
    <col collapsed="false" customWidth="true" hidden="false" outlineLevel="0" max="6" min="6" style="1" width="12"/>
    <col collapsed="false" customWidth="true" hidden="false" outlineLevel="0" max="7" min="7" style="1" width="13"/>
    <col collapsed="false" customWidth="true" hidden="false" outlineLevel="0" max="9" min="8" style="1" width="12"/>
    <col collapsed="false" customWidth="true" hidden="false" outlineLevel="0" max="10" min="10" style="1" width="13"/>
    <col collapsed="false" customWidth="true" hidden="false" outlineLevel="0" max="11" min="11" style="1" width="12"/>
  </cols>
  <sheetData>
    <row r="1" customFormat="false" ht="17.35" hidden="false" customHeight="false" outlineLevel="0" collapsed="false">
      <c r="A1" s="2" t="s">
        <v>79</v>
      </c>
    </row>
    <row r="2" customFormat="false" ht="15" hidden="false" customHeight="false" outlineLevel="0" collapsed="false">
      <c r="A2" s="3" t="s">
        <v>80</v>
      </c>
    </row>
    <row r="4" customFormat="false" ht="39.55" hidden="false" customHeight="false" outlineLevel="0" collapsed="false">
      <c r="A4" s="15" t="s">
        <v>59</v>
      </c>
      <c r="B4" s="15" t="s">
        <v>81</v>
      </c>
      <c r="C4" s="15" t="s">
        <v>82</v>
      </c>
      <c r="D4" s="15" t="s">
        <v>83</v>
      </c>
      <c r="E4" s="15" t="s">
        <v>60</v>
      </c>
      <c r="F4" s="15" t="s">
        <v>61</v>
      </c>
      <c r="G4" s="15" t="s">
        <v>69</v>
      </c>
      <c r="H4" s="15" t="s">
        <v>84</v>
      </c>
      <c r="I4" s="15" t="s">
        <v>85</v>
      </c>
      <c r="J4" s="15" t="s">
        <v>86</v>
      </c>
      <c r="K4" s="15" t="s">
        <v>87</v>
      </c>
    </row>
    <row r="5" customFormat="false" ht="15" hidden="false" customHeight="false" outlineLevel="0" collapsed="false">
      <c r="A5" s="16" t="n">
        <v>46023</v>
      </c>
      <c r="B5" s="21" t="s">
        <v>88</v>
      </c>
      <c r="C5" s="7" t="n">
        <v>150</v>
      </c>
      <c r="D5" s="8" t="n">
        <v>19</v>
      </c>
      <c r="E5" s="10" t="n">
        <v>62000</v>
      </c>
      <c r="F5" s="17" t="n">
        <v>9000</v>
      </c>
      <c r="G5" s="18" t="n">
        <f aca="false">IF(A5="","",ROUND(E5-F5,2))</f>
        <v>53000</v>
      </c>
      <c r="H5" s="18" t="n">
        <f aca="false">IF(A5="","",IFERROR(ROUND(G5/C5,2),0))</f>
        <v>353.33</v>
      </c>
      <c r="I5" s="18" t="n">
        <f aca="false">IF(A5="","",IFERROR(ROUND(G5/D5,2),0))</f>
        <v>2789.47</v>
      </c>
      <c r="J5" s="18" t="n">
        <f aca="false">IF(A5="","",IFERROR(ROUND(INDEX('Monthly P&amp;L'!$M$5:$M$16,MATCH(A5,'Monthly P&amp;L'!$A$5:$A$16,0))/Settings!$B$15,2),0))</f>
        <v>161.88</v>
      </c>
      <c r="K5" s="18" t="n">
        <f aca="false">IF(A5="","",ROUND(H5-J5,2))</f>
        <v>191.45</v>
      </c>
    </row>
    <row r="6" customFormat="false" ht="15" hidden="false" customHeight="false" outlineLevel="0" collapsed="false">
      <c r="A6" s="16" t="n">
        <v>46023</v>
      </c>
      <c r="B6" s="21" t="s">
        <v>89</v>
      </c>
      <c r="C6" s="7" t="n">
        <v>140</v>
      </c>
      <c r="D6" s="8" t="n">
        <v>18</v>
      </c>
      <c r="E6" s="10" t="n">
        <v>40000</v>
      </c>
      <c r="F6" s="17" t="n">
        <v>6500</v>
      </c>
      <c r="G6" s="18" t="n">
        <f aca="false">IF(A6="","",ROUND(E6-F6,2))</f>
        <v>33500</v>
      </c>
      <c r="H6" s="18" t="n">
        <f aca="false">IF(A6="","",IFERROR(ROUND(G6/C6,2),0))</f>
        <v>239.29</v>
      </c>
      <c r="I6" s="18" t="n">
        <f aca="false">IF(A6="","",IFERROR(ROUND(G6/D6,2),0))</f>
        <v>1861.11</v>
      </c>
      <c r="J6" s="18" t="n">
        <f aca="false">IF(A6="","",IFERROR(ROUND(INDEX('Monthly P&amp;L'!$M$5:$M$16,MATCH(A6,'Monthly P&amp;L'!$A$5:$A$16,0))/Settings!$B$15,2),0))</f>
        <v>161.88</v>
      </c>
      <c r="K6" s="18" t="n">
        <f aca="false">IF(A6="","",ROUND(H6-J6,2))</f>
        <v>77.41</v>
      </c>
    </row>
    <row r="7" customFormat="false" ht="15" hidden="false" customHeight="false" outlineLevel="0" collapsed="false">
      <c r="A7" s="16" t="n">
        <v>46054</v>
      </c>
      <c r="B7" s="21" t="s">
        <v>88</v>
      </c>
      <c r="C7" s="7" t="n">
        <v>148</v>
      </c>
      <c r="D7" s="8" t="n">
        <v>19</v>
      </c>
      <c r="E7" s="10" t="n">
        <v>58000</v>
      </c>
      <c r="F7" s="17" t="n">
        <v>8500</v>
      </c>
      <c r="G7" s="18" t="n">
        <f aca="false">IF(A7="","",ROUND(E7-F7,2))</f>
        <v>49500</v>
      </c>
      <c r="H7" s="18" t="n">
        <f aca="false">IF(A7="","",IFERROR(ROUND(G7/C7,2),0))</f>
        <v>334.46</v>
      </c>
      <c r="I7" s="18" t="n">
        <f aca="false">IF(A7="","",IFERROR(ROUND(G7/D7,2),0))</f>
        <v>2605.26</v>
      </c>
      <c r="J7" s="18" t="n">
        <f aca="false">IF(A7="","",IFERROR(ROUND(INDEX('Monthly P&amp;L'!$M$5:$M$16,MATCH(A7,'Monthly P&amp;L'!$A$5:$A$16,0))/Settings!$B$15,2),0))</f>
        <v>161.56</v>
      </c>
      <c r="K7" s="18" t="n">
        <f aca="false">IF(A7="","",ROUND(H7-J7,2))</f>
        <v>172.9</v>
      </c>
    </row>
    <row r="8" customFormat="false" ht="15" hidden="false" customHeight="false" outlineLevel="0" collapsed="false">
      <c r="A8" s="16" t="n">
        <v>46054</v>
      </c>
      <c r="B8" s="21" t="s">
        <v>89</v>
      </c>
      <c r="C8" s="7" t="n">
        <v>136</v>
      </c>
      <c r="D8" s="8" t="n">
        <v>18</v>
      </c>
      <c r="E8" s="10" t="n">
        <v>37000</v>
      </c>
      <c r="F8" s="17" t="n">
        <v>6000</v>
      </c>
      <c r="G8" s="18" t="n">
        <f aca="false">IF(A8="","",ROUND(E8-F8,2))</f>
        <v>31000</v>
      </c>
      <c r="H8" s="18" t="n">
        <f aca="false">IF(A8="","",IFERROR(ROUND(G8/C8,2),0))</f>
        <v>227.94</v>
      </c>
      <c r="I8" s="18" t="n">
        <f aca="false">IF(A8="","",IFERROR(ROUND(G8/D8,2),0))</f>
        <v>1722.22</v>
      </c>
      <c r="J8" s="18" t="n">
        <f aca="false">IF(A8="","",IFERROR(ROUND(INDEX('Monthly P&amp;L'!$M$5:$M$16,MATCH(A8,'Monthly P&amp;L'!$A$5:$A$16,0))/Settings!$B$15,2),0))</f>
        <v>161.56</v>
      </c>
      <c r="K8" s="18" t="n">
        <f aca="false">IF(A8="","",ROUND(H8-J8,2))</f>
        <v>66.38</v>
      </c>
    </row>
    <row r="9" customFormat="false" ht="15" hidden="false" customHeight="false" outlineLevel="0" collapsed="false">
      <c r="A9" s="16" t="n">
        <v>46082</v>
      </c>
      <c r="B9" s="21" t="s">
        <v>88</v>
      </c>
      <c r="C9" s="7" t="n">
        <v>156</v>
      </c>
      <c r="D9" s="8" t="n">
        <v>20</v>
      </c>
      <c r="E9" s="10" t="n">
        <v>66000</v>
      </c>
      <c r="F9" s="17" t="n">
        <v>9500</v>
      </c>
      <c r="G9" s="18" t="n">
        <f aca="false">IF(A9="","",ROUND(E9-F9,2))</f>
        <v>56500</v>
      </c>
      <c r="H9" s="18" t="n">
        <f aca="false">IF(A9="","",IFERROR(ROUND(G9/C9,2),0))</f>
        <v>362.18</v>
      </c>
      <c r="I9" s="18" t="n">
        <f aca="false">IF(A9="","",IFERROR(ROUND(G9/D9,2),0))</f>
        <v>2825</v>
      </c>
      <c r="J9" s="18" t="n">
        <f aca="false">IF(A9="","",IFERROR(ROUND(INDEX('Monthly P&amp;L'!$M$5:$M$16,MATCH(A9,'Monthly P&amp;L'!$A$5:$A$16,0))/Settings!$B$15,2),0))</f>
        <v>169.77</v>
      </c>
      <c r="K9" s="18" t="n">
        <f aca="false">IF(A9="","",ROUND(H9-J9,2))</f>
        <v>192.41</v>
      </c>
    </row>
    <row r="10" customFormat="false" ht="15" hidden="false" customHeight="false" outlineLevel="0" collapsed="false">
      <c r="A10" s="16" t="n">
        <v>46082</v>
      </c>
      <c r="B10" s="21" t="s">
        <v>89</v>
      </c>
      <c r="C10" s="7" t="n">
        <v>144</v>
      </c>
      <c r="D10" s="8" t="n">
        <v>19</v>
      </c>
      <c r="E10" s="10" t="n">
        <v>42000</v>
      </c>
      <c r="F10" s="17" t="n">
        <v>6800</v>
      </c>
      <c r="G10" s="18" t="n">
        <f aca="false">IF(A10="","",ROUND(E10-F10,2))</f>
        <v>35200</v>
      </c>
      <c r="H10" s="18" t="n">
        <f aca="false">IF(A10="","",IFERROR(ROUND(G10/C10,2),0))</f>
        <v>244.44</v>
      </c>
      <c r="I10" s="18" t="n">
        <f aca="false">IF(A10="","",IFERROR(ROUND(G10/D10,2),0))</f>
        <v>1852.63</v>
      </c>
      <c r="J10" s="18" t="n">
        <f aca="false">IF(A10="","",IFERROR(ROUND(INDEX('Monthly P&amp;L'!$M$5:$M$16,MATCH(A10,'Monthly P&amp;L'!$A$5:$A$16,0))/Settings!$B$15,2),0))</f>
        <v>169.77</v>
      </c>
      <c r="K10" s="18" t="n">
        <f aca="false">IF(A10="","",ROUND(H10-J10,2))</f>
        <v>74.67</v>
      </c>
    </row>
    <row r="11" customFormat="false" ht="15" hidden="false" customHeight="false" outlineLevel="0" collapsed="false">
      <c r="A11" s="16" t="n">
        <v>46113</v>
      </c>
      <c r="B11" s="21" t="s">
        <v>88</v>
      </c>
      <c r="C11" s="7" t="n">
        <v>142</v>
      </c>
      <c r="D11" s="8" t="n">
        <v>18</v>
      </c>
      <c r="E11" s="10" t="n">
        <v>54000</v>
      </c>
      <c r="F11" s="17" t="n">
        <v>8200</v>
      </c>
      <c r="G11" s="18" t="n">
        <f aca="false">IF(A11="","",ROUND(E11-F11,2))</f>
        <v>45800</v>
      </c>
      <c r="H11" s="18" t="n">
        <f aca="false">IF(A11="","",IFERROR(ROUND(G11/C11,2),0))</f>
        <v>322.54</v>
      </c>
      <c r="I11" s="18" t="n">
        <f aca="false">IF(A11="","",IFERROR(ROUND(G11/D11,2),0))</f>
        <v>2544.44</v>
      </c>
      <c r="J11" s="18" t="n">
        <f aca="false">IF(A11="","",IFERROR(ROUND(INDEX('Monthly P&amp;L'!$M$5:$M$16,MATCH(A11,'Monthly P&amp;L'!$A$5:$A$16,0))/Settings!$B$15,2),0))</f>
        <v>172.27</v>
      </c>
      <c r="K11" s="18" t="n">
        <f aca="false">IF(A11="","",ROUND(H11-J11,2))</f>
        <v>150.27</v>
      </c>
    </row>
    <row r="12" customFormat="false" ht="15" hidden="false" customHeight="false" outlineLevel="0" collapsed="false">
      <c r="A12" s="16" t="n">
        <v>46113</v>
      </c>
      <c r="B12" s="21" t="s">
        <v>89</v>
      </c>
      <c r="C12" s="7" t="n">
        <v>130</v>
      </c>
      <c r="D12" s="8" t="n">
        <v>17</v>
      </c>
      <c r="E12" s="10" t="n">
        <v>34000</v>
      </c>
      <c r="F12" s="17" t="n">
        <v>5600</v>
      </c>
      <c r="G12" s="18" t="n">
        <f aca="false">IF(A12="","",ROUND(E12-F12,2))</f>
        <v>28400</v>
      </c>
      <c r="H12" s="18" t="n">
        <f aca="false">IF(A12="","",IFERROR(ROUND(G12/C12,2),0))</f>
        <v>218.46</v>
      </c>
      <c r="I12" s="18" t="n">
        <f aca="false">IF(A12="","",IFERROR(ROUND(G12/D12,2),0))</f>
        <v>1670.59</v>
      </c>
      <c r="J12" s="18" t="n">
        <f aca="false">IF(A12="","",IFERROR(ROUND(INDEX('Monthly P&amp;L'!$M$5:$M$16,MATCH(A12,'Monthly P&amp;L'!$A$5:$A$16,0))/Settings!$B$15,2),0))</f>
        <v>172.27</v>
      </c>
      <c r="K12" s="18" t="n">
        <f aca="false">IF(A12="","",ROUND(H12-J12,2))</f>
        <v>46.19</v>
      </c>
    </row>
    <row r="13" customFormat="false" ht="15" hidden="false" customHeight="false" outlineLevel="0" collapsed="false">
      <c r="A13" s="16"/>
      <c r="B13" s="21"/>
      <c r="C13" s="22"/>
      <c r="D13" s="8"/>
      <c r="E13" s="17"/>
      <c r="F13" s="17"/>
      <c r="G13" s="18" t="str">
        <f aca="false">IF(A13="","",ROUND(E13-F13,2))</f>
        <v/>
      </c>
      <c r="H13" s="18" t="str">
        <f aca="false">IF(A13="","",IFERROR(ROUND(G13/C13,2),0))</f>
        <v/>
      </c>
      <c r="I13" s="18" t="str">
        <f aca="false">IF(A13="","",IFERROR(ROUND(G13/D13,2),0))</f>
        <v/>
      </c>
      <c r="J13" s="18" t="str">
        <f aca="false">IF(A13="","",IFERROR(ROUND(INDEX('Monthly P&amp;L'!$M$5:$M$16,MATCH(A13,'Monthly P&amp;L'!$A$5:$A$16,0))/Settings!$B$15,2),0))</f>
        <v/>
      </c>
      <c r="K13" s="18" t="str">
        <f aca="false">IF(A13="","",ROUND(H13-J13,2))</f>
        <v/>
      </c>
    </row>
    <row r="14" customFormat="false" ht="15" hidden="false" customHeight="false" outlineLevel="0" collapsed="false">
      <c r="A14" s="16"/>
      <c r="B14" s="21"/>
      <c r="C14" s="22"/>
      <c r="D14" s="8"/>
      <c r="E14" s="17"/>
      <c r="F14" s="17"/>
      <c r="G14" s="18" t="str">
        <f aca="false">IF(A14="","",ROUND(E14-F14,2))</f>
        <v/>
      </c>
      <c r="H14" s="18" t="str">
        <f aca="false">IF(A14="","",IFERROR(ROUND(G14/C14,2),0))</f>
        <v/>
      </c>
      <c r="I14" s="18" t="str">
        <f aca="false">IF(A14="","",IFERROR(ROUND(G14/D14,2),0))</f>
        <v/>
      </c>
      <c r="J14" s="18" t="str">
        <f aca="false">IF(A14="","",IFERROR(ROUND(INDEX('Monthly P&amp;L'!$M$5:$M$16,MATCH(A14,'Monthly P&amp;L'!$A$5:$A$16,0))/Settings!$B$15,2),0))</f>
        <v/>
      </c>
      <c r="K14" s="18" t="str">
        <f aca="false">IF(A14="","",ROUND(H14-J14,2))</f>
        <v/>
      </c>
    </row>
    <row r="15" customFormat="false" ht="15" hidden="false" customHeight="false" outlineLevel="0" collapsed="false">
      <c r="A15" s="16"/>
      <c r="B15" s="21"/>
      <c r="C15" s="22"/>
      <c r="D15" s="8"/>
      <c r="E15" s="17"/>
      <c r="F15" s="17"/>
      <c r="G15" s="18" t="str">
        <f aca="false">IF(A15="","",ROUND(E15-F15,2))</f>
        <v/>
      </c>
      <c r="H15" s="18" t="str">
        <f aca="false">IF(A15="","",IFERROR(ROUND(G15/C15,2),0))</f>
        <v/>
      </c>
      <c r="I15" s="18" t="str">
        <f aca="false">IF(A15="","",IFERROR(ROUND(G15/D15,2),0))</f>
        <v/>
      </c>
      <c r="J15" s="18" t="str">
        <f aca="false">IF(A15="","",IFERROR(ROUND(INDEX('Monthly P&amp;L'!$M$5:$M$16,MATCH(A15,'Monthly P&amp;L'!$A$5:$A$16,0))/Settings!$B$15,2),0))</f>
        <v/>
      </c>
      <c r="K15" s="18" t="str">
        <f aca="false">IF(A15="","",ROUND(H15-J15,2))</f>
        <v/>
      </c>
    </row>
    <row r="16" customFormat="false" ht="15" hidden="false" customHeight="false" outlineLevel="0" collapsed="false">
      <c r="A16" s="16"/>
      <c r="B16" s="21"/>
      <c r="C16" s="22"/>
      <c r="D16" s="8"/>
      <c r="E16" s="17"/>
      <c r="F16" s="17"/>
      <c r="G16" s="18" t="str">
        <f aca="false">IF(A16="","",ROUND(E16-F16,2))</f>
        <v/>
      </c>
      <c r="H16" s="18" t="str">
        <f aca="false">IF(A16="","",IFERROR(ROUND(G16/C16,2),0))</f>
        <v/>
      </c>
      <c r="I16" s="18" t="str">
        <f aca="false">IF(A16="","",IFERROR(ROUND(G16/D16,2),0))</f>
        <v/>
      </c>
      <c r="J16" s="18" t="str">
        <f aca="false">IF(A16="","",IFERROR(ROUND(INDEX('Monthly P&amp;L'!$M$5:$M$16,MATCH(A16,'Monthly P&amp;L'!$A$5:$A$16,0))/Settings!$B$15,2),0))</f>
        <v/>
      </c>
      <c r="K16" s="18" t="str">
        <f aca="false">IF(A16="","",ROUND(H16-J16,2))</f>
        <v/>
      </c>
    </row>
    <row r="17" customFormat="false" ht="15" hidden="false" customHeight="false" outlineLevel="0" collapsed="false">
      <c r="A17" s="16"/>
      <c r="B17" s="21"/>
      <c r="C17" s="22"/>
      <c r="D17" s="8"/>
      <c r="E17" s="17"/>
      <c r="F17" s="17"/>
      <c r="G17" s="18" t="str">
        <f aca="false">IF(A17="","",ROUND(E17-F17,2))</f>
        <v/>
      </c>
      <c r="H17" s="18" t="str">
        <f aca="false">IF(A17="","",IFERROR(ROUND(G17/C17,2),0))</f>
        <v/>
      </c>
      <c r="I17" s="18" t="str">
        <f aca="false">IF(A17="","",IFERROR(ROUND(G17/D17,2),0))</f>
        <v/>
      </c>
      <c r="J17" s="18" t="str">
        <f aca="false">IF(A17="","",IFERROR(ROUND(INDEX('Monthly P&amp;L'!$M$5:$M$16,MATCH(A17,'Monthly P&amp;L'!$A$5:$A$16,0))/Settings!$B$15,2),0))</f>
        <v/>
      </c>
      <c r="K17" s="18" t="str">
        <f aca="false">IF(A17="","",ROUND(H17-J17,2))</f>
        <v/>
      </c>
    </row>
    <row r="18" customFormat="false" ht="15" hidden="false" customHeight="false" outlineLevel="0" collapsed="false">
      <c r="A18" s="16"/>
      <c r="B18" s="21"/>
      <c r="C18" s="22"/>
      <c r="D18" s="8"/>
      <c r="E18" s="17"/>
      <c r="F18" s="17"/>
      <c r="G18" s="18" t="str">
        <f aca="false">IF(A18="","",ROUND(E18-F18,2))</f>
        <v/>
      </c>
      <c r="H18" s="18" t="str">
        <f aca="false">IF(A18="","",IFERROR(ROUND(G18/C18,2),0))</f>
        <v/>
      </c>
      <c r="I18" s="18" t="str">
        <f aca="false">IF(A18="","",IFERROR(ROUND(G18/D18,2),0))</f>
        <v/>
      </c>
      <c r="J18" s="18" t="str">
        <f aca="false">IF(A18="","",IFERROR(ROUND(INDEX('Monthly P&amp;L'!$M$5:$M$16,MATCH(A18,'Monthly P&amp;L'!$A$5:$A$16,0))/Settings!$B$15,2),0))</f>
        <v/>
      </c>
      <c r="K18" s="18" t="str">
        <f aca="false">IF(A18="","",ROUND(H18-J18,2))</f>
        <v/>
      </c>
    </row>
    <row r="19" customFormat="false" ht="15" hidden="false" customHeight="false" outlineLevel="0" collapsed="false">
      <c r="A19" s="16"/>
      <c r="B19" s="21"/>
      <c r="C19" s="22"/>
      <c r="D19" s="8"/>
      <c r="E19" s="17"/>
      <c r="F19" s="17"/>
      <c r="G19" s="18" t="str">
        <f aca="false">IF(A19="","",ROUND(E19-F19,2))</f>
        <v/>
      </c>
      <c r="H19" s="18" t="str">
        <f aca="false">IF(A19="","",IFERROR(ROUND(G19/C19,2),0))</f>
        <v/>
      </c>
      <c r="I19" s="18" t="str">
        <f aca="false">IF(A19="","",IFERROR(ROUND(G19/D19,2),0))</f>
        <v/>
      </c>
      <c r="J19" s="18" t="str">
        <f aca="false">IF(A19="","",IFERROR(ROUND(INDEX('Monthly P&amp;L'!$M$5:$M$16,MATCH(A19,'Monthly P&amp;L'!$A$5:$A$16,0))/Settings!$B$15,2),0))</f>
        <v/>
      </c>
      <c r="K19" s="18" t="str">
        <f aca="false">IF(A19="","",ROUND(H19-J19,2))</f>
        <v/>
      </c>
    </row>
    <row r="20" customFormat="false" ht="15" hidden="false" customHeight="false" outlineLevel="0" collapsed="false">
      <c r="A20" s="16"/>
      <c r="B20" s="21"/>
      <c r="C20" s="22"/>
      <c r="D20" s="8"/>
      <c r="E20" s="17"/>
      <c r="F20" s="17"/>
      <c r="G20" s="18" t="str">
        <f aca="false">IF(A20="","",ROUND(E20-F20,2))</f>
        <v/>
      </c>
      <c r="H20" s="18" t="str">
        <f aca="false">IF(A20="","",IFERROR(ROUND(G20/C20,2),0))</f>
        <v/>
      </c>
      <c r="I20" s="18" t="str">
        <f aca="false">IF(A20="","",IFERROR(ROUND(G20/D20,2),0))</f>
        <v/>
      </c>
      <c r="J20" s="18" t="str">
        <f aca="false">IF(A20="","",IFERROR(ROUND(INDEX('Monthly P&amp;L'!$M$5:$M$16,MATCH(A20,'Monthly P&amp;L'!$A$5:$A$16,0))/Settings!$B$15,2),0))</f>
        <v/>
      </c>
      <c r="K20" s="18" t="str">
        <f aca="false">IF(A20="","",ROUND(H20-J20,2))</f>
        <v/>
      </c>
    </row>
    <row r="21" customFormat="false" ht="15" hidden="false" customHeight="false" outlineLevel="0" collapsed="false">
      <c r="A21" s="16"/>
      <c r="B21" s="21"/>
      <c r="C21" s="22"/>
      <c r="D21" s="8"/>
      <c r="E21" s="17"/>
      <c r="F21" s="17"/>
      <c r="G21" s="18" t="str">
        <f aca="false">IF(A21="","",ROUND(E21-F21,2))</f>
        <v/>
      </c>
      <c r="H21" s="18" t="str">
        <f aca="false">IF(A21="","",IFERROR(ROUND(G21/C21,2),0))</f>
        <v/>
      </c>
      <c r="I21" s="18" t="str">
        <f aca="false">IF(A21="","",IFERROR(ROUND(G21/D21,2),0))</f>
        <v/>
      </c>
      <c r="J21" s="18" t="str">
        <f aca="false">IF(A21="","",IFERROR(ROUND(INDEX('Monthly P&amp;L'!$M$5:$M$16,MATCH(A21,'Monthly P&amp;L'!$A$5:$A$16,0))/Settings!$B$15,2),0))</f>
        <v/>
      </c>
      <c r="K21" s="18" t="str">
        <f aca="false">IF(A21="","",ROUND(H21-J21,2))</f>
        <v/>
      </c>
    </row>
    <row r="22" customFormat="false" ht="15" hidden="false" customHeight="false" outlineLevel="0" collapsed="false">
      <c r="A22" s="16"/>
      <c r="B22" s="21"/>
      <c r="C22" s="22"/>
      <c r="D22" s="8"/>
      <c r="E22" s="17"/>
      <c r="F22" s="17"/>
      <c r="G22" s="18" t="str">
        <f aca="false">IF(A22="","",ROUND(E22-F22,2))</f>
        <v/>
      </c>
      <c r="H22" s="18" t="str">
        <f aca="false">IF(A22="","",IFERROR(ROUND(G22/C22,2),0))</f>
        <v/>
      </c>
      <c r="I22" s="18" t="str">
        <f aca="false">IF(A22="","",IFERROR(ROUND(G22/D22,2),0))</f>
        <v/>
      </c>
      <c r="J22" s="18" t="str">
        <f aca="false">IF(A22="","",IFERROR(ROUND(INDEX('Monthly P&amp;L'!$M$5:$M$16,MATCH(A22,'Monthly P&amp;L'!$A$5:$A$16,0))/Settings!$B$15,2),0))</f>
        <v/>
      </c>
      <c r="K22" s="18" t="str">
        <f aca="false">IF(A22="","",ROUND(H22-J22,2))</f>
        <v/>
      </c>
    </row>
    <row r="23" customFormat="false" ht="15" hidden="false" customHeight="false" outlineLevel="0" collapsed="false">
      <c r="A23" s="16"/>
      <c r="B23" s="21"/>
      <c r="C23" s="22"/>
      <c r="D23" s="8"/>
      <c r="E23" s="17"/>
      <c r="F23" s="17"/>
      <c r="G23" s="18" t="str">
        <f aca="false">IF(A23="","",ROUND(E23-F23,2))</f>
        <v/>
      </c>
      <c r="H23" s="18" t="str">
        <f aca="false">IF(A23="","",IFERROR(ROUND(G23/C23,2),0))</f>
        <v/>
      </c>
      <c r="I23" s="18" t="str">
        <f aca="false">IF(A23="","",IFERROR(ROUND(G23/D23,2),0))</f>
        <v/>
      </c>
      <c r="J23" s="18" t="str">
        <f aca="false">IF(A23="","",IFERROR(ROUND(INDEX('Monthly P&amp;L'!$M$5:$M$16,MATCH(A23,'Monthly P&amp;L'!$A$5:$A$16,0))/Settings!$B$15,2),0))</f>
        <v/>
      </c>
      <c r="K23" s="18" t="str">
        <f aca="false">IF(A23="","",ROUND(H23-J23,2))</f>
        <v/>
      </c>
    </row>
    <row r="24" customFormat="false" ht="15" hidden="false" customHeight="false" outlineLevel="0" collapsed="false">
      <c r="A24" s="16"/>
      <c r="B24" s="21"/>
      <c r="C24" s="22"/>
      <c r="D24" s="8"/>
      <c r="E24" s="17"/>
      <c r="F24" s="17"/>
      <c r="G24" s="18" t="str">
        <f aca="false">IF(A24="","",ROUND(E24-F24,2))</f>
        <v/>
      </c>
      <c r="H24" s="18" t="str">
        <f aca="false">IF(A24="","",IFERROR(ROUND(G24/C24,2),0))</f>
        <v/>
      </c>
      <c r="I24" s="18" t="str">
        <f aca="false">IF(A24="","",IFERROR(ROUND(G24/D24,2),0))</f>
        <v/>
      </c>
      <c r="J24" s="18" t="str">
        <f aca="false">IF(A24="","",IFERROR(ROUND(INDEX('Monthly P&amp;L'!$M$5:$M$16,MATCH(A24,'Monthly P&amp;L'!$A$5:$A$16,0))/Settings!$B$15,2),0))</f>
        <v/>
      </c>
      <c r="K24" s="18" t="str">
        <f aca="false">IF(A24="","",ROUND(H24-J24,2))</f>
        <v/>
      </c>
    </row>
    <row r="25" customFormat="false" ht="15" hidden="false" customHeight="false" outlineLevel="0" collapsed="false">
      <c r="A25" s="5" t="s">
        <v>77</v>
      </c>
      <c r="C25" s="23" t="n">
        <f aca="false">SUM(C5:C24)</f>
        <v>1146</v>
      </c>
      <c r="D25" s="24" t="n">
        <f aca="false">SUM(D5:D24)</f>
        <v>148</v>
      </c>
      <c r="E25" s="14" t="n">
        <f aca="false">SUM(E5:E24)</f>
        <v>393000</v>
      </c>
      <c r="F25" s="14" t="n">
        <f aca="false">SUM(F5:F24)</f>
        <v>60100</v>
      </c>
      <c r="G25" s="14" t="n">
        <f aca="false">SUM(G5:G24)</f>
        <v>332900</v>
      </c>
      <c r="H25" s="14" t="n">
        <f aca="false">IFERROR(ROUND(G25/C25,2),0)</f>
        <v>290.49</v>
      </c>
      <c r="I25" s="14" t="n">
        <f aca="false">IFERROR(ROUND(G25/D25,2),0)</f>
        <v>2249.32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3"/>
    <col collapsed="false" customWidth="true" hidden="false" outlineLevel="0" max="4" min="3" style="1" width="12"/>
    <col collapsed="false" customWidth="true" hidden="false" outlineLevel="0" max="5" min="5" style="1" width="11"/>
    <col collapsed="false" customWidth="true" hidden="false" outlineLevel="0" max="8" min="6" style="1" width="12"/>
    <col collapsed="false" customWidth="true" hidden="false" outlineLevel="0" max="9" min="9" style="1" width="13"/>
    <col collapsed="false" customWidth="true" hidden="false" outlineLevel="0" max="10" min="10" style="1" width="10"/>
    <col collapsed="false" customWidth="true" hidden="false" outlineLevel="0" max="11" min="11" style="1" width="12"/>
    <col collapsed="false" customWidth="true" hidden="false" outlineLevel="0" max="13" min="12" style="1" width="11"/>
  </cols>
  <sheetData>
    <row r="1" customFormat="false" ht="17.35" hidden="false" customHeight="false" outlineLevel="0" collapsed="false">
      <c r="A1" s="2" t="s">
        <v>90</v>
      </c>
    </row>
    <row r="2" customFormat="false" ht="15" hidden="false" customHeight="false" outlineLevel="0" collapsed="false">
      <c r="A2" s="3" t="s">
        <v>91</v>
      </c>
    </row>
    <row r="4" customFormat="false" ht="26.85" hidden="false" customHeight="false" outlineLevel="0" collapsed="false">
      <c r="A4" s="15" t="s">
        <v>59</v>
      </c>
      <c r="B4" s="15" t="s">
        <v>92</v>
      </c>
      <c r="C4" s="15" t="s">
        <v>93</v>
      </c>
      <c r="D4" s="15" t="s">
        <v>94</v>
      </c>
      <c r="E4" s="15" t="s">
        <v>95</v>
      </c>
      <c r="F4" s="15" t="s">
        <v>96</v>
      </c>
      <c r="G4" s="15" t="s">
        <v>97</v>
      </c>
      <c r="H4" s="15" t="s">
        <v>98</v>
      </c>
      <c r="I4" s="15" t="s">
        <v>99</v>
      </c>
      <c r="J4" s="15" t="s">
        <v>100</v>
      </c>
      <c r="K4" s="15" t="s">
        <v>84</v>
      </c>
      <c r="L4" s="15" t="s">
        <v>101</v>
      </c>
      <c r="M4" s="15" t="s">
        <v>102</v>
      </c>
    </row>
    <row r="5" customFormat="false" ht="15" hidden="false" customHeight="false" outlineLevel="0" collapsed="false">
      <c r="A5" s="16" t="n">
        <v>46023</v>
      </c>
      <c r="B5" s="10" t="n">
        <v>18000</v>
      </c>
      <c r="C5" s="10" t="n">
        <v>7800</v>
      </c>
      <c r="D5" s="17" t="n">
        <v>900</v>
      </c>
      <c r="E5" s="22" t="n">
        <v>300</v>
      </c>
      <c r="F5" s="17" t="n">
        <v>2500</v>
      </c>
      <c r="G5" s="18" t="n">
        <f aca="false">IF(A5="","",ROUND(C5*(1+Settings!$B$7/100),2))</f>
        <v>8970</v>
      </c>
      <c r="H5" s="18" t="n">
        <f aca="false">IF(A5="","",ROUND(G5+D5+F5,2))</f>
        <v>12370</v>
      </c>
      <c r="I5" s="18" t="n">
        <f aca="false">IF(A5="","",ROUND(B5-H5,2))</f>
        <v>5630</v>
      </c>
      <c r="J5" s="19" t="n">
        <f aca="false">IF(A5="","",IFERROR(ROUND(I5/B5*100,2),0))</f>
        <v>31.28</v>
      </c>
      <c r="K5" s="18" t="n">
        <f aca="false">IF(A5="","",IFERROR(ROUND(B5/E5,2),0))</f>
        <v>60</v>
      </c>
      <c r="L5" s="18" t="n">
        <f aca="false">IF(A5="","",IFERROR(ROUND(H5/E5,2),0))</f>
        <v>41.23</v>
      </c>
      <c r="M5" s="19" t="n">
        <f aca="false">IF(A5="","",ROUND(J5-Settings!$B$10,2))</f>
        <v>1.28</v>
      </c>
    </row>
    <row r="6" customFormat="false" ht="15" hidden="false" customHeight="false" outlineLevel="0" collapsed="false">
      <c r="A6" s="16" t="n">
        <v>46054</v>
      </c>
      <c r="B6" s="17" t="n">
        <v>17000</v>
      </c>
      <c r="C6" s="17" t="n">
        <v>7800</v>
      </c>
      <c r="D6" s="17" t="n">
        <v>850</v>
      </c>
      <c r="E6" s="22" t="n">
        <v>290</v>
      </c>
      <c r="F6" s="17" t="n">
        <v>2500</v>
      </c>
      <c r="G6" s="18" t="n">
        <f aca="false">IF(A6="","",ROUND(C6*(1+Settings!$B$7/100),2))</f>
        <v>8970</v>
      </c>
      <c r="H6" s="18" t="n">
        <f aca="false">IF(A6="","",ROUND(G6+D6+F6,2))</f>
        <v>12320</v>
      </c>
      <c r="I6" s="18" t="n">
        <f aca="false">IF(A6="","",ROUND(B6-H6,2))</f>
        <v>4680</v>
      </c>
      <c r="J6" s="19" t="n">
        <f aca="false">IF(A6="","",IFERROR(ROUND(I6/B6*100,2),0))</f>
        <v>27.53</v>
      </c>
      <c r="K6" s="18" t="n">
        <f aca="false">IF(A6="","",IFERROR(ROUND(B6/E6,2),0))</f>
        <v>58.62</v>
      </c>
      <c r="L6" s="18" t="n">
        <f aca="false">IF(A6="","",IFERROR(ROUND(H6/E6,2),0))</f>
        <v>42.48</v>
      </c>
      <c r="M6" s="19" t="n">
        <f aca="false">IF(A6="","",ROUND(J6-Settings!$B$10,2))</f>
        <v>-2.47</v>
      </c>
    </row>
    <row r="7" customFormat="false" ht="15" hidden="false" customHeight="false" outlineLevel="0" collapsed="false">
      <c r="A7" s="16" t="n">
        <v>46082</v>
      </c>
      <c r="B7" s="17" t="n">
        <v>20000</v>
      </c>
      <c r="C7" s="17" t="n">
        <v>8200</v>
      </c>
      <c r="D7" s="17" t="n">
        <v>950</v>
      </c>
      <c r="E7" s="22" t="n">
        <v>310</v>
      </c>
      <c r="F7" s="17" t="n">
        <v>2500</v>
      </c>
      <c r="G7" s="18" t="n">
        <f aca="false">IF(A7="","",ROUND(C7*(1+Settings!$B$7/100),2))</f>
        <v>9430</v>
      </c>
      <c r="H7" s="18" t="n">
        <f aca="false">IF(A7="","",ROUND(G7+D7+F7,2))</f>
        <v>12880</v>
      </c>
      <c r="I7" s="18" t="n">
        <f aca="false">IF(A7="","",ROUND(B7-H7,2))</f>
        <v>7120</v>
      </c>
      <c r="J7" s="19" t="n">
        <f aca="false">IF(A7="","",IFERROR(ROUND(I7/B7*100,2),0))</f>
        <v>35.6</v>
      </c>
      <c r="K7" s="18" t="n">
        <f aca="false">IF(A7="","",IFERROR(ROUND(B7/E7,2),0))</f>
        <v>64.52</v>
      </c>
      <c r="L7" s="18" t="n">
        <f aca="false">IF(A7="","",IFERROR(ROUND(H7/E7,2),0))</f>
        <v>41.55</v>
      </c>
      <c r="M7" s="19" t="n">
        <f aca="false">IF(A7="","",ROUND(J7-Settings!$B$10,2))</f>
        <v>5.6</v>
      </c>
    </row>
    <row r="8" customFormat="false" ht="15" hidden="false" customHeight="false" outlineLevel="0" collapsed="false">
      <c r="A8" s="16" t="n">
        <v>46113</v>
      </c>
      <c r="B8" s="17" t="n">
        <v>17000</v>
      </c>
      <c r="C8" s="17" t="n">
        <v>8200</v>
      </c>
      <c r="D8" s="17" t="n">
        <v>900</v>
      </c>
      <c r="E8" s="22" t="n">
        <v>300</v>
      </c>
      <c r="F8" s="17" t="n">
        <v>2500</v>
      </c>
      <c r="G8" s="18" t="n">
        <f aca="false">IF(A8="","",ROUND(C8*(1+Settings!$B$7/100),2))</f>
        <v>9430</v>
      </c>
      <c r="H8" s="18" t="n">
        <f aca="false">IF(A8="","",ROUND(G8+D8+F8,2))</f>
        <v>12830</v>
      </c>
      <c r="I8" s="18" t="n">
        <f aca="false">IF(A8="","",ROUND(B8-H8,2))</f>
        <v>4170</v>
      </c>
      <c r="J8" s="19" t="n">
        <f aca="false">IF(A8="","",IFERROR(ROUND(I8/B8*100,2),0))</f>
        <v>24.53</v>
      </c>
      <c r="K8" s="18" t="n">
        <f aca="false">IF(A8="","",IFERROR(ROUND(B8/E8,2),0))</f>
        <v>56.67</v>
      </c>
      <c r="L8" s="18" t="n">
        <f aca="false">IF(A8="","",IFERROR(ROUND(H8/E8,2),0))</f>
        <v>42.77</v>
      </c>
      <c r="M8" s="19" t="n">
        <f aca="false">IF(A8="","",ROUND(J8-Settings!$B$10,2))</f>
        <v>-5.47</v>
      </c>
    </row>
    <row r="9" customFormat="false" ht="15" hidden="false" customHeight="false" outlineLevel="0" collapsed="false">
      <c r="A9" s="16" t="n">
        <v>46143</v>
      </c>
      <c r="B9" s="17" t="n">
        <v>19500</v>
      </c>
      <c r="C9" s="17" t="n">
        <v>8200</v>
      </c>
      <c r="D9" s="17" t="n">
        <v>950</v>
      </c>
      <c r="E9" s="22" t="n">
        <v>305</v>
      </c>
      <c r="F9" s="17" t="n">
        <v>2500</v>
      </c>
      <c r="G9" s="18" t="n">
        <f aca="false">IF(A9="","",ROUND(C9*(1+Settings!$B$7/100),2))</f>
        <v>9430</v>
      </c>
      <c r="H9" s="18" t="n">
        <f aca="false">IF(A9="","",ROUND(G9+D9+F9,2))</f>
        <v>12880</v>
      </c>
      <c r="I9" s="18" t="n">
        <f aca="false">IF(A9="","",ROUND(B9-H9,2))</f>
        <v>6620</v>
      </c>
      <c r="J9" s="19" t="n">
        <f aca="false">IF(A9="","",IFERROR(ROUND(I9/B9*100,2),0))</f>
        <v>33.95</v>
      </c>
      <c r="K9" s="18" t="n">
        <f aca="false">IF(A9="","",IFERROR(ROUND(B9/E9,2),0))</f>
        <v>63.93</v>
      </c>
      <c r="L9" s="18" t="n">
        <f aca="false">IF(A9="","",IFERROR(ROUND(H9/E9,2),0))</f>
        <v>42.23</v>
      </c>
      <c r="M9" s="19" t="n">
        <f aca="false">IF(A9="","",ROUND(J9-Settings!$B$10,2))</f>
        <v>3.95</v>
      </c>
    </row>
    <row r="10" customFormat="false" ht="15" hidden="false" customHeight="false" outlineLevel="0" collapsed="false">
      <c r="A10" s="16" t="n">
        <v>46174</v>
      </c>
      <c r="B10" s="17" t="n">
        <v>21000</v>
      </c>
      <c r="C10" s="17" t="n">
        <v>8400</v>
      </c>
      <c r="D10" s="17" t="n">
        <v>1000</v>
      </c>
      <c r="E10" s="22" t="n">
        <v>320</v>
      </c>
      <c r="F10" s="17" t="n">
        <v>2500</v>
      </c>
      <c r="G10" s="18" t="n">
        <f aca="false">IF(A10="","",ROUND(C10*(1+Settings!$B$7/100),2))</f>
        <v>9660</v>
      </c>
      <c r="H10" s="18" t="n">
        <f aca="false">IF(A10="","",ROUND(G10+D10+F10,2))</f>
        <v>13160</v>
      </c>
      <c r="I10" s="18" t="n">
        <f aca="false">IF(A10="","",ROUND(B10-H10,2))</f>
        <v>7840</v>
      </c>
      <c r="J10" s="19" t="n">
        <f aca="false">IF(A10="","",IFERROR(ROUND(I10/B10*100,2),0))</f>
        <v>37.33</v>
      </c>
      <c r="K10" s="18" t="n">
        <f aca="false">IF(A10="","",IFERROR(ROUND(B10/E10,2),0))</f>
        <v>65.63</v>
      </c>
      <c r="L10" s="18" t="n">
        <f aca="false">IF(A10="","",IFERROR(ROUND(H10/E10,2),0))</f>
        <v>41.13</v>
      </c>
      <c r="M10" s="19" t="n">
        <f aca="false">IF(A10="","",ROUND(J10-Settings!$B$10,2))</f>
        <v>7.33</v>
      </c>
    </row>
    <row r="11" customFormat="false" ht="15" hidden="false" customHeight="false" outlineLevel="0" collapsed="false">
      <c r="A11" s="16"/>
      <c r="B11" s="17"/>
      <c r="C11" s="17"/>
      <c r="D11" s="17"/>
      <c r="E11" s="22"/>
      <c r="F11" s="17"/>
      <c r="G11" s="18" t="str">
        <f aca="false">IF(A11="","",ROUND(C11*(1+Settings!$B$7/100),2))</f>
        <v/>
      </c>
      <c r="H11" s="18" t="str">
        <f aca="false">IF(A11="","",ROUND(G11+D11+F11,2))</f>
        <v/>
      </c>
      <c r="I11" s="18" t="str">
        <f aca="false">IF(A11="","",ROUND(B11-H11,2))</f>
        <v/>
      </c>
      <c r="J11" s="19" t="str">
        <f aca="false">IF(A11="","",IFERROR(ROUND(I11/B11*100,2),0))</f>
        <v/>
      </c>
      <c r="K11" s="18" t="str">
        <f aca="false">IF(A11="","",IFERROR(ROUND(B11/E11,2),0))</f>
        <v/>
      </c>
      <c r="L11" s="18" t="str">
        <f aca="false">IF(A11="","",IFERROR(ROUND(H11/E11,2),0))</f>
        <v/>
      </c>
      <c r="M11" s="19" t="str">
        <f aca="false">IF(A11="","",ROUND(J11-Settings!$B$10,2))</f>
        <v/>
      </c>
    </row>
    <row r="12" customFormat="false" ht="15" hidden="false" customHeight="false" outlineLevel="0" collapsed="false">
      <c r="A12" s="16"/>
      <c r="B12" s="17"/>
      <c r="C12" s="17"/>
      <c r="D12" s="17"/>
      <c r="E12" s="22"/>
      <c r="F12" s="17"/>
      <c r="G12" s="18" t="str">
        <f aca="false">IF(A12="","",ROUND(C12*(1+Settings!$B$7/100),2))</f>
        <v/>
      </c>
      <c r="H12" s="18" t="str">
        <f aca="false">IF(A12="","",ROUND(G12+D12+F12,2))</f>
        <v/>
      </c>
      <c r="I12" s="18" t="str">
        <f aca="false">IF(A12="","",ROUND(B12-H12,2))</f>
        <v/>
      </c>
      <c r="J12" s="19" t="str">
        <f aca="false">IF(A12="","",IFERROR(ROUND(I12/B12*100,2),0))</f>
        <v/>
      </c>
      <c r="K12" s="18" t="str">
        <f aca="false">IF(A12="","",IFERROR(ROUND(B12/E12,2),0))</f>
        <v/>
      </c>
      <c r="L12" s="18" t="str">
        <f aca="false">IF(A12="","",IFERROR(ROUND(H12/E12,2),0))</f>
        <v/>
      </c>
      <c r="M12" s="19" t="str">
        <f aca="false">IF(A12="","",ROUND(J12-Settings!$B$10,2))</f>
        <v/>
      </c>
    </row>
    <row r="13" customFormat="false" ht="15" hidden="false" customHeight="false" outlineLevel="0" collapsed="false">
      <c r="A13" s="16"/>
      <c r="B13" s="17"/>
      <c r="C13" s="17"/>
      <c r="D13" s="17"/>
      <c r="E13" s="22"/>
      <c r="F13" s="17"/>
      <c r="G13" s="18" t="str">
        <f aca="false">IF(A13="","",ROUND(C13*(1+Settings!$B$7/100),2))</f>
        <v/>
      </c>
      <c r="H13" s="18" t="str">
        <f aca="false">IF(A13="","",ROUND(G13+D13+F13,2))</f>
        <v/>
      </c>
      <c r="I13" s="18" t="str">
        <f aca="false">IF(A13="","",ROUND(B13-H13,2))</f>
        <v/>
      </c>
      <c r="J13" s="19" t="str">
        <f aca="false">IF(A13="","",IFERROR(ROUND(I13/B13*100,2),0))</f>
        <v/>
      </c>
      <c r="K13" s="18" t="str">
        <f aca="false">IF(A13="","",IFERROR(ROUND(B13/E13,2),0))</f>
        <v/>
      </c>
      <c r="L13" s="18" t="str">
        <f aca="false">IF(A13="","",IFERROR(ROUND(H13/E13,2),0))</f>
        <v/>
      </c>
      <c r="M13" s="19" t="str">
        <f aca="false">IF(A13="","",ROUND(J13-Settings!$B$10,2))</f>
        <v/>
      </c>
    </row>
    <row r="14" customFormat="false" ht="15" hidden="false" customHeight="false" outlineLevel="0" collapsed="false">
      <c r="A14" s="16"/>
      <c r="B14" s="17"/>
      <c r="C14" s="17"/>
      <c r="D14" s="17"/>
      <c r="E14" s="22"/>
      <c r="F14" s="17"/>
      <c r="G14" s="18" t="str">
        <f aca="false">IF(A14="","",ROUND(C14*(1+Settings!$B$7/100),2))</f>
        <v/>
      </c>
      <c r="H14" s="18" t="str">
        <f aca="false">IF(A14="","",ROUND(G14+D14+F14,2))</f>
        <v/>
      </c>
      <c r="I14" s="18" t="str">
        <f aca="false">IF(A14="","",ROUND(B14-H14,2))</f>
        <v/>
      </c>
      <c r="J14" s="19" t="str">
        <f aca="false">IF(A14="","",IFERROR(ROUND(I14/B14*100,2),0))</f>
        <v/>
      </c>
      <c r="K14" s="18" t="str">
        <f aca="false">IF(A14="","",IFERROR(ROUND(B14/E14,2),0))</f>
        <v/>
      </c>
      <c r="L14" s="18" t="str">
        <f aca="false">IF(A14="","",IFERROR(ROUND(H14/E14,2),0))</f>
        <v/>
      </c>
      <c r="M14" s="19" t="str">
        <f aca="false">IF(A14="","",ROUND(J14-Settings!$B$10,2))</f>
        <v/>
      </c>
    </row>
    <row r="15" customFormat="false" ht="15" hidden="false" customHeight="false" outlineLevel="0" collapsed="false">
      <c r="A15" s="16"/>
      <c r="B15" s="17"/>
      <c r="C15" s="17"/>
      <c r="D15" s="17"/>
      <c r="E15" s="22"/>
      <c r="F15" s="17"/>
      <c r="G15" s="18" t="str">
        <f aca="false">IF(A15="","",ROUND(C15*(1+Settings!$B$7/100),2))</f>
        <v/>
      </c>
      <c r="H15" s="18" t="str">
        <f aca="false">IF(A15="","",ROUND(G15+D15+F15,2))</f>
        <v/>
      </c>
      <c r="I15" s="18" t="str">
        <f aca="false">IF(A15="","",ROUND(B15-H15,2))</f>
        <v/>
      </c>
      <c r="J15" s="19" t="str">
        <f aca="false">IF(A15="","",IFERROR(ROUND(I15/B15*100,2),0))</f>
        <v/>
      </c>
      <c r="K15" s="18" t="str">
        <f aca="false">IF(A15="","",IFERROR(ROUND(B15/E15,2),0))</f>
        <v/>
      </c>
      <c r="L15" s="18" t="str">
        <f aca="false">IF(A15="","",IFERROR(ROUND(H15/E15,2),0))</f>
        <v/>
      </c>
      <c r="M15" s="19" t="str">
        <f aca="false">IF(A15="","",ROUND(J15-Settings!$B$10,2))</f>
        <v/>
      </c>
    </row>
    <row r="16" customFormat="false" ht="15" hidden="false" customHeight="false" outlineLevel="0" collapsed="false">
      <c r="A16" s="16"/>
      <c r="B16" s="17"/>
      <c r="C16" s="17"/>
      <c r="D16" s="17"/>
      <c r="E16" s="22"/>
      <c r="F16" s="17"/>
      <c r="G16" s="18" t="str">
        <f aca="false">IF(A16="","",ROUND(C16*(1+Settings!$B$7/100),2))</f>
        <v/>
      </c>
      <c r="H16" s="18" t="str">
        <f aca="false">IF(A16="","",ROUND(G16+D16+F16,2))</f>
        <v/>
      </c>
      <c r="I16" s="18" t="str">
        <f aca="false">IF(A16="","",ROUND(B16-H16,2))</f>
        <v/>
      </c>
      <c r="J16" s="19" t="str">
        <f aca="false">IF(A16="","",IFERROR(ROUND(I16/B16*100,2),0))</f>
        <v/>
      </c>
      <c r="K16" s="18" t="str">
        <f aca="false">IF(A16="","",IFERROR(ROUND(B16/E16,2),0))</f>
        <v/>
      </c>
      <c r="L16" s="18" t="str">
        <f aca="false">IF(A16="","",IFERROR(ROUND(H16/E16,2),0))</f>
        <v/>
      </c>
      <c r="M16" s="19" t="str">
        <f aca="false">IF(A16="","",ROUND(J16-Settings!$B$10,2))</f>
        <v/>
      </c>
    </row>
    <row r="17" customFormat="false" ht="15" hidden="false" customHeight="false" outlineLevel="0" collapsed="false">
      <c r="A17" s="5" t="s">
        <v>77</v>
      </c>
      <c r="B17" s="14" t="n">
        <f aca="false">SUM(B5:B16)</f>
        <v>112500</v>
      </c>
      <c r="C17" s="14" t="n">
        <f aca="false">SUM(C5:C16)</f>
        <v>48600</v>
      </c>
      <c r="D17" s="14" t="n">
        <f aca="false">SUM(D5:D16)</f>
        <v>5550</v>
      </c>
      <c r="E17" s="23" t="n">
        <f aca="false">SUM(E5:E16)</f>
        <v>1825</v>
      </c>
      <c r="F17" s="14" t="n">
        <f aca="false">SUM(F5:F16)</f>
        <v>15000</v>
      </c>
      <c r="G17" s="14" t="n">
        <f aca="false">SUM(G5:G16)</f>
        <v>55890</v>
      </c>
      <c r="H17" s="14" t="n">
        <f aca="false">SUM(H5:H16)</f>
        <v>76440</v>
      </c>
      <c r="I17" s="14" t="n">
        <f aca="false">SUM(I5:I16)</f>
        <v>36060</v>
      </c>
      <c r="J17" s="20" t="n">
        <f aca="false">IFERROR(ROUND(I17/B17*100,2),0)</f>
        <v>32.05</v>
      </c>
      <c r="K17" s="14" t="n">
        <f aca="false">IFERROR(ROUND(B17/E17,2),0)</f>
        <v>61.64</v>
      </c>
      <c r="L17" s="14" t="n">
        <f aca="false">IFERROR(ROUND(H17/E17,2),0)</f>
        <v>41.88</v>
      </c>
      <c r="M17" s="20" t="n">
        <f aca="false">ROUND(J17-Settings!$B$10,2)</f>
        <v>2.05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2"/>
    <col collapsed="false" customWidth="true" hidden="false" outlineLevel="0" max="3" min="3" style="1" width="16"/>
    <col collapsed="false" customWidth="true" hidden="false" outlineLevel="0" max="4" min="4" style="1" width="12"/>
    <col collapsed="false" customWidth="true" hidden="false" outlineLevel="0" max="5" min="5" style="1" width="13"/>
    <col collapsed="false" customWidth="true" hidden="false" outlineLevel="0" max="6" min="6" style="1" width="12"/>
    <col collapsed="false" customWidth="true" hidden="false" outlineLevel="0" max="8" min="7" style="1" width="11"/>
    <col collapsed="false" customWidth="true" hidden="false" outlineLevel="0" max="10" min="9" style="1" width="14"/>
  </cols>
  <sheetData>
    <row r="1" customFormat="false" ht="17.35" hidden="false" customHeight="false" outlineLevel="0" collapsed="false">
      <c r="A1" s="2" t="s">
        <v>103</v>
      </c>
    </row>
    <row r="2" customFormat="false" ht="15" hidden="false" customHeight="false" outlineLevel="0" collapsed="false">
      <c r="A2" s="3" t="s">
        <v>104</v>
      </c>
    </row>
    <row r="4" customFormat="false" ht="39.55" hidden="false" customHeight="false" outlineLevel="0" collapsed="false">
      <c r="A4" s="15" t="s">
        <v>59</v>
      </c>
      <c r="B4" s="15" t="s">
        <v>105</v>
      </c>
      <c r="C4" s="15" t="s">
        <v>106</v>
      </c>
      <c r="D4" s="15" t="s">
        <v>107</v>
      </c>
      <c r="E4" s="15" t="s">
        <v>108</v>
      </c>
      <c r="F4" s="15" t="s">
        <v>109</v>
      </c>
      <c r="G4" s="15" t="s">
        <v>110</v>
      </c>
      <c r="H4" s="15" t="s">
        <v>111</v>
      </c>
      <c r="I4" s="15" t="s">
        <v>112</v>
      </c>
      <c r="J4" s="15" t="s">
        <v>113</v>
      </c>
    </row>
    <row r="5" customFormat="false" ht="15" hidden="false" customHeight="false" outlineLevel="0" collapsed="false">
      <c r="A5" s="16" t="n">
        <v>46023</v>
      </c>
      <c r="B5" s="7" t="n">
        <v>470</v>
      </c>
      <c r="C5" s="18" t="n">
        <f aca="false">IF(A5="","",IFERROR(ROUND(INDEX('Monthly P&amp;L'!$K$5:$K$16,MATCH(A5,'Monthly P&amp;L'!$A$5:$A$16,0))/B5,2),0))</f>
        <v>217.02</v>
      </c>
      <c r="D5" s="17"/>
      <c r="E5" s="18" t="n">
        <f aca="false">IF(A5="","",IF(D5&lt;&gt;"",D5,C5))</f>
        <v>217.02</v>
      </c>
      <c r="F5" s="13" t="n">
        <f aca="false">IF(A5="","",Settings!$B$14)</f>
        <v>640</v>
      </c>
      <c r="G5" s="19" t="n">
        <f aca="false">IF(A5="","",IFERROR(ROUND(B5/F5*100,2),0))</f>
        <v>73.44</v>
      </c>
      <c r="H5" s="25" t="n">
        <f aca="false">IF(A5="","",ROUND(F5-B5,2))</f>
        <v>170</v>
      </c>
      <c r="I5" s="18" t="n">
        <f aca="false">IF(A5="","",ROUND(F5*E5,2))</f>
        <v>138892.8</v>
      </c>
      <c r="J5" s="18" t="n">
        <f aca="false">IF(A5="","",ROUND(H5*E5,2))</f>
        <v>36893.4</v>
      </c>
    </row>
    <row r="6" customFormat="false" ht="15" hidden="false" customHeight="false" outlineLevel="0" collapsed="false">
      <c r="A6" s="16" t="n">
        <v>46054</v>
      </c>
      <c r="B6" s="22" t="n">
        <v>455</v>
      </c>
      <c r="C6" s="18" t="n">
        <f aca="false">IF(A6="","",IFERROR(ROUND(INDEX('Monthly P&amp;L'!$K$5:$K$16,MATCH(A6,'Monthly P&amp;L'!$A$5:$A$16,0))/B6,2),0))</f>
        <v>209.89</v>
      </c>
      <c r="D6" s="17"/>
      <c r="E6" s="18" t="n">
        <f aca="false">IF(A6="","",IF(D6&lt;&gt;"",D6,C6))</f>
        <v>209.89</v>
      </c>
      <c r="F6" s="13" t="n">
        <f aca="false">IF(A6="","",Settings!$B$14)</f>
        <v>640</v>
      </c>
      <c r="G6" s="19" t="n">
        <f aca="false">IF(A6="","",IFERROR(ROUND(B6/F6*100,2),0))</f>
        <v>71.09</v>
      </c>
      <c r="H6" s="25" t="n">
        <f aca="false">IF(A6="","",ROUND(F6-B6,2))</f>
        <v>185</v>
      </c>
      <c r="I6" s="18" t="n">
        <f aca="false">IF(A6="","",ROUND(F6*E6,2))</f>
        <v>134329.6</v>
      </c>
      <c r="J6" s="18" t="n">
        <f aca="false">IF(A6="","",ROUND(H6*E6,2))</f>
        <v>38829.65</v>
      </c>
    </row>
    <row r="7" customFormat="false" ht="15" hidden="false" customHeight="false" outlineLevel="0" collapsed="false">
      <c r="A7" s="16" t="n">
        <v>46082</v>
      </c>
      <c r="B7" s="22" t="n">
        <v>500</v>
      </c>
      <c r="C7" s="18" t="n">
        <f aca="false">IF(A7="","",IFERROR(ROUND(INDEX('Monthly P&amp;L'!$K$5:$K$16,MATCH(A7,'Monthly P&amp;L'!$A$5:$A$16,0))/B7,2),0))</f>
        <v>218</v>
      </c>
      <c r="D7" s="17"/>
      <c r="E7" s="18" t="n">
        <f aca="false">IF(A7="","",IF(D7&lt;&gt;"",D7,C7))</f>
        <v>218</v>
      </c>
      <c r="F7" s="13" t="n">
        <f aca="false">IF(A7="","",Settings!$B$14)</f>
        <v>640</v>
      </c>
      <c r="G7" s="19" t="n">
        <f aca="false">IF(A7="","",IFERROR(ROUND(B7/F7*100,2),0))</f>
        <v>78.13</v>
      </c>
      <c r="H7" s="25" t="n">
        <f aca="false">IF(A7="","",ROUND(F7-B7,2))</f>
        <v>140</v>
      </c>
      <c r="I7" s="18" t="n">
        <f aca="false">IF(A7="","",ROUND(F7*E7,2))</f>
        <v>139520</v>
      </c>
      <c r="J7" s="18" t="n">
        <f aca="false">IF(A7="","",ROUND(H7*E7,2))</f>
        <v>30520</v>
      </c>
    </row>
    <row r="8" customFormat="false" ht="15" hidden="false" customHeight="false" outlineLevel="0" collapsed="false">
      <c r="A8" s="16" t="n">
        <v>46113</v>
      </c>
      <c r="B8" s="22" t="n">
        <v>430</v>
      </c>
      <c r="C8" s="18" t="n">
        <f aca="false">IF(A8="","",IFERROR(ROUND(INDEX('Monthly P&amp;L'!$K$5:$K$16,MATCH(A8,'Monthly P&amp;L'!$A$5:$A$16,0))/B8,2),0))</f>
        <v>207.44</v>
      </c>
      <c r="D8" s="17" t="n">
        <v>230</v>
      </c>
      <c r="E8" s="18" t="n">
        <f aca="false">IF(A8="","",IF(D8&lt;&gt;"",D8,C8))</f>
        <v>230</v>
      </c>
      <c r="F8" s="13" t="n">
        <f aca="false">IF(A8="","",Settings!$B$14)</f>
        <v>640</v>
      </c>
      <c r="G8" s="19" t="n">
        <f aca="false">IF(A8="","",IFERROR(ROUND(B8/F8*100,2),0))</f>
        <v>67.19</v>
      </c>
      <c r="H8" s="25" t="n">
        <f aca="false">IF(A8="","",ROUND(F8-B8,2))</f>
        <v>210</v>
      </c>
      <c r="I8" s="18" t="n">
        <f aca="false">IF(A8="","",ROUND(F8*E8,2))</f>
        <v>147200</v>
      </c>
      <c r="J8" s="18" t="n">
        <f aca="false">IF(A8="","",ROUND(H8*E8,2))</f>
        <v>48300</v>
      </c>
    </row>
    <row r="9" customFormat="false" ht="15" hidden="false" customHeight="false" outlineLevel="0" collapsed="false">
      <c r="A9" s="16" t="n">
        <v>46143</v>
      </c>
      <c r="B9" s="22" t="n">
        <v>480</v>
      </c>
      <c r="C9" s="18" t="n">
        <f aca="false">IF(A9="","",IFERROR(ROUND(INDEX('Monthly P&amp;L'!$K$5:$K$16,MATCH(A9,'Monthly P&amp;L'!$A$5:$A$16,0))/B9,2),0))</f>
        <v>219.79</v>
      </c>
      <c r="D9" s="17"/>
      <c r="E9" s="18" t="n">
        <f aca="false">IF(A9="","",IF(D9&lt;&gt;"",D9,C9))</f>
        <v>219.79</v>
      </c>
      <c r="F9" s="13" t="n">
        <f aca="false">IF(A9="","",Settings!$B$14)</f>
        <v>640</v>
      </c>
      <c r="G9" s="19" t="n">
        <f aca="false">IF(A9="","",IFERROR(ROUND(B9/F9*100,2),0))</f>
        <v>75</v>
      </c>
      <c r="H9" s="25" t="n">
        <f aca="false">IF(A9="","",ROUND(F9-B9,2))</f>
        <v>160</v>
      </c>
      <c r="I9" s="18" t="n">
        <f aca="false">IF(A9="","",ROUND(F9*E9,2))</f>
        <v>140665.6</v>
      </c>
      <c r="J9" s="18" t="n">
        <f aca="false">IF(A9="","",ROUND(H9*E9,2))</f>
        <v>35166.4</v>
      </c>
    </row>
    <row r="10" customFormat="false" ht="15" hidden="false" customHeight="false" outlineLevel="0" collapsed="false">
      <c r="A10" s="16" t="n">
        <v>46174</v>
      </c>
      <c r="B10" s="22" t="n">
        <v>510</v>
      </c>
      <c r="C10" s="18" t="n">
        <f aca="false">IF(A10="","",IFERROR(ROUND(INDEX('Monthly P&amp;L'!$K$5:$K$16,MATCH(A10,'Monthly P&amp;L'!$A$5:$A$16,0))/B10,2),0))</f>
        <v>218.63</v>
      </c>
      <c r="D10" s="17"/>
      <c r="E10" s="18" t="n">
        <f aca="false">IF(A10="","",IF(D10&lt;&gt;"",D10,C10))</f>
        <v>218.63</v>
      </c>
      <c r="F10" s="13" t="n">
        <f aca="false">IF(A10="","",Settings!$B$14)</f>
        <v>640</v>
      </c>
      <c r="G10" s="19" t="n">
        <f aca="false">IF(A10="","",IFERROR(ROUND(B10/F10*100,2),0))</f>
        <v>79.69</v>
      </c>
      <c r="H10" s="25" t="n">
        <f aca="false">IF(A10="","",ROUND(F10-B10,2))</f>
        <v>130</v>
      </c>
      <c r="I10" s="18" t="n">
        <f aca="false">IF(A10="","",ROUND(F10*E10,2))</f>
        <v>139923.2</v>
      </c>
      <c r="J10" s="18" t="n">
        <f aca="false">IF(A10="","",ROUND(H10*E10,2))</f>
        <v>28421.9</v>
      </c>
    </row>
    <row r="11" customFormat="false" ht="15" hidden="false" customHeight="false" outlineLevel="0" collapsed="false">
      <c r="A11" s="16"/>
      <c r="B11" s="22"/>
      <c r="C11" s="18" t="str">
        <f aca="false">IF(A11="","",IFERROR(ROUND(INDEX('Monthly P&amp;L'!$K$5:$K$16,MATCH(A11,'Monthly P&amp;L'!$A$5:$A$16,0))/B11,2),0))</f>
        <v/>
      </c>
      <c r="D11" s="17"/>
      <c r="E11" s="18" t="str">
        <f aca="false">IF(A11="","",IF(D11&lt;&gt;"",D11,C11))</f>
        <v/>
      </c>
      <c r="F11" s="13" t="str">
        <f aca="false">IF(A11="","",Settings!$B$14)</f>
        <v/>
      </c>
      <c r="G11" s="19" t="str">
        <f aca="false">IF(A11="","",IFERROR(ROUND(B11/F11*100,2),0))</f>
        <v/>
      </c>
      <c r="H11" s="25" t="str">
        <f aca="false">IF(A11="","",ROUND(F11-B11,2))</f>
        <v/>
      </c>
      <c r="I11" s="18" t="str">
        <f aca="false">IF(A11="","",ROUND(F11*E11,2))</f>
        <v/>
      </c>
      <c r="J11" s="18" t="str">
        <f aca="false">IF(A11="","",ROUND(H11*E11,2))</f>
        <v/>
      </c>
    </row>
    <row r="12" customFormat="false" ht="15" hidden="false" customHeight="false" outlineLevel="0" collapsed="false">
      <c r="A12" s="16"/>
      <c r="B12" s="22"/>
      <c r="C12" s="18" t="str">
        <f aca="false">IF(A12="","",IFERROR(ROUND(INDEX('Monthly P&amp;L'!$K$5:$K$16,MATCH(A12,'Monthly P&amp;L'!$A$5:$A$16,0))/B12,2),0))</f>
        <v/>
      </c>
      <c r="D12" s="17"/>
      <c r="E12" s="18" t="str">
        <f aca="false">IF(A12="","",IF(D12&lt;&gt;"",D12,C12))</f>
        <v/>
      </c>
      <c r="F12" s="13" t="str">
        <f aca="false">IF(A12="","",Settings!$B$14)</f>
        <v/>
      </c>
      <c r="G12" s="19" t="str">
        <f aca="false">IF(A12="","",IFERROR(ROUND(B12/F12*100,2),0))</f>
        <v/>
      </c>
      <c r="H12" s="25" t="str">
        <f aca="false">IF(A12="","",ROUND(F12-B12,2))</f>
        <v/>
      </c>
      <c r="I12" s="18" t="str">
        <f aca="false">IF(A12="","",ROUND(F12*E12,2))</f>
        <v/>
      </c>
      <c r="J12" s="18" t="str">
        <f aca="false">IF(A12="","",ROUND(H12*E12,2))</f>
        <v/>
      </c>
    </row>
    <row r="13" customFormat="false" ht="15" hidden="false" customHeight="false" outlineLevel="0" collapsed="false">
      <c r="A13" s="16"/>
      <c r="B13" s="22"/>
      <c r="C13" s="18" t="str">
        <f aca="false">IF(A13="","",IFERROR(ROUND(INDEX('Monthly P&amp;L'!$K$5:$K$16,MATCH(A13,'Monthly P&amp;L'!$A$5:$A$16,0))/B13,2),0))</f>
        <v/>
      </c>
      <c r="D13" s="17"/>
      <c r="E13" s="18" t="str">
        <f aca="false">IF(A13="","",IF(D13&lt;&gt;"",D13,C13))</f>
        <v/>
      </c>
      <c r="F13" s="13" t="str">
        <f aca="false">IF(A13="","",Settings!$B$14)</f>
        <v/>
      </c>
      <c r="G13" s="19" t="str">
        <f aca="false">IF(A13="","",IFERROR(ROUND(B13/F13*100,2),0))</f>
        <v/>
      </c>
      <c r="H13" s="25" t="str">
        <f aca="false">IF(A13="","",ROUND(F13-B13,2))</f>
        <v/>
      </c>
      <c r="I13" s="18" t="str">
        <f aca="false">IF(A13="","",ROUND(F13*E13,2))</f>
        <v/>
      </c>
      <c r="J13" s="18" t="str">
        <f aca="false">IF(A13="","",ROUND(H13*E13,2))</f>
        <v/>
      </c>
    </row>
    <row r="14" customFormat="false" ht="15" hidden="false" customHeight="false" outlineLevel="0" collapsed="false">
      <c r="A14" s="16"/>
      <c r="B14" s="22"/>
      <c r="C14" s="18" t="str">
        <f aca="false">IF(A14="","",IFERROR(ROUND(INDEX('Monthly P&amp;L'!$K$5:$K$16,MATCH(A14,'Monthly P&amp;L'!$A$5:$A$16,0))/B14,2),0))</f>
        <v/>
      </c>
      <c r="D14" s="17"/>
      <c r="E14" s="18" t="str">
        <f aca="false">IF(A14="","",IF(D14&lt;&gt;"",D14,C14))</f>
        <v/>
      </c>
      <c r="F14" s="13" t="str">
        <f aca="false">IF(A14="","",Settings!$B$14)</f>
        <v/>
      </c>
      <c r="G14" s="19" t="str">
        <f aca="false">IF(A14="","",IFERROR(ROUND(B14/F14*100,2),0))</f>
        <v/>
      </c>
      <c r="H14" s="25" t="str">
        <f aca="false">IF(A14="","",ROUND(F14-B14,2))</f>
        <v/>
      </c>
      <c r="I14" s="18" t="str">
        <f aca="false">IF(A14="","",ROUND(F14*E14,2))</f>
        <v/>
      </c>
      <c r="J14" s="18" t="str">
        <f aca="false">IF(A14="","",ROUND(H14*E14,2))</f>
        <v/>
      </c>
    </row>
    <row r="15" customFormat="false" ht="15" hidden="false" customHeight="false" outlineLevel="0" collapsed="false">
      <c r="A15" s="16"/>
      <c r="B15" s="22"/>
      <c r="C15" s="18" t="str">
        <f aca="false">IF(A15="","",IFERROR(ROUND(INDEX('Monthly P&amp;L'!$K$5:$K$16,MATCH(A15,'Monthly P&amp;L'!$A$5:$A$16,0))/B15,2),0))</f>
        <v/>
      </c>
      <c r="D15" s="17"/>
      <c r="E15" s="18" t="str">
        <f aca="false">IF(A15="","",IF(D15&lt;&gt;"",D15,C15))</f>
        <v/>
      </c>
      <c r="F15" s="13" t="str">
        <f aca="false">IF(A15="","",Settings!$B$14)</f>
        <v/>
      </c>
      <c r="G15" s="19" t="str">
        <f aca="false">IF(A15="","",IFERROR(ROUND(B15/F15*100,2),0))</f>
        <v/>
      </c>
      <c r="H15" s="25" t="str">
        <f aca="false">IF(A15="","",ROUND(F15-B15,2))</f>
        <v/>
      </c>
      <c r="I15" s="18" t="str">
        <f aca="false">IF(A15="","",ROUND(F15*E15,2))</f>
        <v/>
      </c>
      <c r="J15" s="18" t="str">
        <f aca="false">IF(A15="","",ROUND(H15*E15,2))</f>
        <v/>
      </c>
    </row>
    <row r="16" customFormat="false" ht="15" hidden="false" customHeight="false" outlineLevel="0" collapsed="false">
      <c r="A16" s="16"/>
      <c r="B16" s="22"/>
      <c r="C16" s="18" t="str">
        <f aca="false">IF(A16="","",IFERROR(ROUND(INDEX('Monthly P&amp;L'!$K$5:$K$16,MATCH(A16,'Monthly P&amp;L'!$A$5:$A$16,0))/B16,2),0))</f>
        <v/>
      </c>
      <c r="D16" s="17"/>
      <c r="E16" s="18" t="str">
        <f aca="false">IF(A16="","",IF(D16&lt;&gt;"",D16,C16))</f>
        <v/>
      </c>
      <c r="F16" s="13" t="str">
        <f aca="false">IF(A16="","",Settings!$B$14)</f>
        <v/>
      </c>
      <c r="G16" s="19" t="str">
        <f aca="false">IF(A16="","",IFERROR(ROUND(B16/F16*100,2),0))</f>
        <v/>
      </c>
      <c r="H16" s="25" t="str">
        <f aca="false">IF(A16="","",ROUND(F16-B16,2))</f>
        <v/>
      </c>
      <c r="I16" s="18" t="str">
        <f aca="false">IF(A16="","",ROUND(F16*E16,2))</f>
        <v/>
      </c>
      <c r="J16" s="18" t="str">
        <f aca="false">IF(A16="","",ROUND(H16*E16,2))</f>
        <v/>
      </c>
    </row>
    <row r="17" customFormat="false" ht="15" hidden="false" customHeight="false" outlineLevel="0" collapsed="false">
      <c r="A17" s="5" t="s">
        <v>77</v>
      </c>
      <c r="B17" s="23" t="n">
        <f aca="false">SUM(B5:B16)</f>
        <v>2845</v>
      </c>
      <c r="F17" s="12" t="n">
        <f aca="false">SUM(F5:F16)</f>
        <v>3840</v>
      </c>
      <c r="G17" s="20" t="n">
        <f aca="false">IFERROR(ROUND(B17/F17*100,2),0)</f>
        <v>74.09</v>
      </c>
      <c r="H17" s="26" t="n">
        <f aca="false">SUM(H5:H16)</f>
        <v>995</v>
      </c>
      <c r="I17" s="14" t="n">
        <f aca="false">SUM(I5:I16)</f>
        <v>840531.2</v>
      </c>
      <c r="J17" s="14" t="n">
        <f aca="false">SUM(J5:J16)</f>
        <v>218131.35</v>
      </c>
    </row>
    <row r="19" customFormat="false" ht="15" hidden="false" customHeight="false" outlineLevel="0" collapsed="false">
      <c r="A19" s="5" t="s">
        <v>114</v>
      </c>
    </row>
    <row r="20" customFormat="false" ht="15" hidden="false" customHeight="false" outlineLevel="0" collapsed="false">
      <c r="A20" s="3" t="s">
        <v>115</v>
      </c>
    </row>
    <row r="21" customFormat="false" ht="52.2" hidden="false" customHeight="false" outlineLevel="0" collapsed="false">
      <c r="A21" s="15" t="s">
        <v>59</v>
      </c>
      <c r="B21" s="15" t="s">
        <v>116</v>
      </c>
      <c r="C21" s="15" t="s">
        <v>107</v>
      </c>
      <c r="D21" s="15" t="s">
        <v>117</v>
      </c>
      <c r="E21" s="15" t="s">
        <v>114</v>
      </c>
      <c r="F21" s="15" t="s">
        <v>118</v>
      </c>
      <c r="G21" s="15" t="s">
        <v>119</v>
      </c>
      <c r="H21" s="15" t="s">
        <v>120</v>
      </c>
      <c r="I21" s="15" t="s">
        <v>121</v>
      </c>
      <c r="J21" s="15" t="s">
        <v>122</v>
      </c>
    </row>
    <row r="22" customFormat="false" ht="15" hidden="false" customHeight="false" outlineLevel="0" collapsed="false">
      <c r="A22" s="16" t="n">
        <v>46023</v>
      </c>
      <c r="B22" s="18" t="n">
        <f aca="false">IF(A22="","",IFERROR(INDEX('Monthly P&amp;L'!$I$5:$I$16,MATCH(A22,'Monthly P&amp;L'!$A$5:$A$16,0)),0))</f>
        <v>3000</v>
      </c>
      <c r="C22" s="17"/>
      <c r="D22" s="18" t="n">
        <f aca="false">IF(A22="","",IF(C22&lt;&gt;"",C22,B22))</f>
        <v>3000</v>
      </c>
      <c r="E22" s="6" t="n">
        <v>40</v>
      </c>
      <c r="F22" s="18" t="n">
        <f aca="false">IF(A22="","",IFERROR(ROUND(D22/E22,2),0))</f>
        <v>75</v>
      </c>
      <c r="G22" s="18" t="n">
        <f aca="false">IF(A22="","",ROUND(Settings!$B$13+Settings!$B$13*Settings!$B$11/100*(Settings!$B$12-1),2))</f>
        <v>1980</v>
      </c>
      <c r="H22" s="27" t="n">
        <f aca="false">IF(A22="","",IFERROR(ROUND(G22/F22,2),0))</f>
        <v>26.4</v>
      </c>
      <c r="I22" s="18" t="n">
        <f aca="false">IF(A22="","",ROUND(G22-F22,2))</f>
        <v>1905</v>
      </c>
      <c r="J22" s="13" t="n">
        <f aca="false">IF(A22="","",IFERROR(ROUND(D22/Settings!$B$13,2),0))</f>
        <v>3.33</v>
      </c>
    </row>
    <row r="23" customFormat="false" ht="15" hidden="false" customHeight="false" outlineLevel="0" collapsed="false">
      <c r="A23" s="16" t="n">
        <v>46054</v>
      </c>
      <c r="B23" s="18" t="n">
        <f aca="false">IF(A23="","",IFERROR(INDEX('Monthly P&amp;L'!$I$5:$I$16,MATCH(A23,'Monthly P&amp;L'!$A$5:$A$16,0)),0))</f>
        <v>3500</v>
      </c>
      <c r="C23" s="17" t="n">
        <v>4200</v>
      </c>
      <c r="D23" s="18" t="n">
        <f aca="false">IF(A23="","",IF(C23&lt;&gt;"",C23,B23))</f>
        <v>4200</v>
      </c>
      <c r="E23" s="8" t="n">
        <v>38</v>
      </c>
      <c r="F23" s="18" t="n">
        <f aca="false">IF(A23="","",IFERROR(ROUND(D23/E23,2),0))</f>
        <v>110.53</v>
      </c>
      <c r="G23" s="18" t="n">
        <f aca="false">IF(A23="","",ROUND(Settings!$B$13+Settings!$B$13*Settings!$B$11/100*(Settings!$B$12-1),2))</f>
        <v>1980</v>
      </c>
      <c r="H23" s="27" t="n">
        <f aca="false">IF(A23="","",IFERROR(ROUND(G23/F23,2),0))</f>
        <v>17.91</v>
      </c>
      <c r="I23" s="18" t="n">
        <f aca="false">IF(A23="","",ROUND(G23-F23,2))</f>
        <v>1869.47</v>
      </c>
      <c r="J23" s="13" t="n">
        <f aca="false">IF(A23="","",IFERROR(ROUND(D23/Settings!$B$13,2),0))</f>
        <v>4.67</v>
      </c>
    </row>
    <row r="24" customFormat="false" ht="15" hidden="false" customHeight="false" outlineLevel="0" collapsed="false">
      <c r="A24" s="16" t="n">
        <v>46082</v>
      </c>
      <c r="B24" s="18" t="n">
        <f aca="false">IF(A24="","",IFERROR(INDEX('Monthly P&amp;L'!$I$5:$I$16,MATCH(A24,'Monthly P&amp;L'!$A$5:$A$16,0)),0))</f>
        <v>3000</v>
      </c>
      <c r="C24" s="17"/>
      <c r="D24" s="18" t="n">
        <f aca="false">IF(A24="","",IF(C24&lt;&gt;"",C24,B24))</f>
        <v>3000</v>
      </c>
      <c r="E24" s="8" t="n">
        <v>45</v>
      </c>
      <c r="F24" s="18" t="n">
        <f aca="false">IF(A24="","",IFERROR(ROUND(D24/E24,2),0))</f>
        <v>66.67</v>
      </c>
      <c r="G24" s="18" t="n">
        <f aca="false">IF(A24="","",ROUND(Settings!$B$13+Settings!$B$13*Settings!$B$11/100*(Settings!$B$12-1),2))</f>
        <v>1980</v>
      </c>
      <c r="H24" s="27" t="n">
        <f aca="false">IF(A24="","",IFERROR(ROUND(G24/F24,2),0))</f>
        <v>29.7</v>
      </c>
      <c r="I24" s="18" t="n">
        <f aca="false">IF(A24="","",ROUND(G24-F24,2))</f>
        <v>1913.33</v>
      </c>
      <c r="J24" s="13" t="n">
        <f aca="false">IF(A24="","",IFERROR(ROUND(D24/Settings!$B$13,2),0))</f>
        <v>3.33</v>
      </c>
    </row>
    <row r="25" customFormat="false" ht="15" hidden="false" customHeight="false" outlineLevel="0" collapsed="false">
      <c r="A25" s="16" t="n">
        <v>46113</v>
      </c>
      <c r="B25" s="18" t="n">
        <f aca="false">IF(A25="","",IFERROR(INDEX('Monthly P&amp;L'!$I$5:$I$16,MATCH(A25,'Monthly P&amp;L'!$A$5:$A$16,0)),0))</f>
        <v>4500</v>
      </c>
      <c r="C25" s="17"/>
      <c r="D25" s="18" t="n">
        <f aca="false">IF(A25="","",IF(C25&lt;&gt;"",C25,B25))</f>
        <v>4500</v>
      </c>
      <c r="E25" s="8" t="n">
        <v>52</v>
      </c>
      <c r="F25" s="18" t="n">
        <f aca="false">IF(A25="","",IFERROR(ROUND(D25/E25,2),0))</f>
        <v>86.54</v>
      </c>
      <c r="G25" s="18" t="n">
        <f aca="false">IF(A25="","",ROUND(Settings!$B$13+Settings!$B$13*Settings!$B$11/100*(Settings!$B$12-1),2))</f>
        <v>1980</v>
      </c>
      <c r="H25" s="27" t="n">
        <f aca="false">IF(A25="","",IFERROR(ROUND(G25/F25,2),0))</f>
        <v>22.88</v>
      </c>
      <c r="I25" s="18" t="n">
        <f aca="false">IF(A25="","",ROUND(G25-F25,2))</f>
        <v>1893.46</v>
      </c>
      <c r="J25" s="13" t="n">
        <f aca="false">IF(A25="","",IFERROR(ROUND(D25/Settings!$B$13,2),0))</f>
        <v>5</v>
      </c>
    </row>
    <row r="26" customFormat="false" ht="15" hidden="false" customHeight="false" outlineLevel="0" collapsed="false">
      <c r="A26" s="16" t="n">
        <v>46143</v>
      </c>
      <c r="B26" s="18" t="n">
        <f aca="false">IF(A26="","",IFERROR(INDEX('Monthly P&amp;L'!$I$5:$I$16,MATCH(A26,'Monthly P&amp;L'!$A$5:$A$16,0)),0))</f>
        <v>3200</v>
      </c>
      <c r="C26" s="17"/>
      <c r="D26" s="18" t="n">
        <f aca="false">IF(A26="","",IF(C26&lt;&gt;"",C26,B26))</f>
        <v>3200</v>
      </c>
      <c r="E26" s="8" t="n">
        <v>42</v>
      </c>
      <c r="F26" s="18" t="n">
        <f aca="false">IF(A26="","",IFERROR(ROUND(D26/E26,2),0))</f>
        <v>76.19</v>
      </c>
      <c r="G26" s="18" t="n">
        <f aca="false">IF(A26="","",ROUND(Settings!$B$13+Settings!$B$13*Settings!$B$11/100*(Settings!$B$12-1),2))</f>
        <v>1980</v>
      </c>
      <c r="H26" s="27" t="n">
        <f aca="false">IF(A26="","",IFERROR(ROUND(G26/F26,2),0))</f>
        <v>25.99</v>
      </c>
      <c r="I26" s="18" t="n">
        <f aca="false">IF(A26="","",ROUND(G26-F26,2))</f>
        <v>1903.81</v>
      </c>
      <c r="J26" s="13" t="n">
        <f aca="false">IF(A26="","",IFERROR(ROUND(D26/Settings!$B$13,2),0))</f>
        <v>3.56</v>
      </c>
    </row>
    <row r="27" customFormat="false" ht="15" hidden="false" customHeight="false" outlineLevel="0" collapsed="false">
      <c r="A27" s="16" t="n">
        <v>46174</v>
      </c>
      <c r="B27" s="18" t="n">
        <f aca="false">IF(A27="","",IFERROR(INDEX('Monthly P&amp;L'!$I$5:$I$16,MATCH(A27,'Monthly P&amp;L'!$A$5:$A$16,0)),0))</f>
        <v>3000</v>
      </c>
      <c r="C27" s="17"/>
      <c r="D27" s="18" t="n">
        <f aca="false">IF(A27="","",IF(C27&lt;&gt;"",C27,B27))</f>
        <v>3000</v>
      </c>
      <c r="E27" s="8" t="n">
        <v>47</v>
      </c>
      <c r="F27" s="18" t="n">
        <f aca="false">IF(A27="","",IFERROR(ROUND(D27/E27,2),0))</f>
        <v>63.83</v>
      </c>
      <c r="G27" s="18" t="n">
        <f aca="false">IF(A27="","",ROUND(Settings!$B$13+Settings!$B$13*Settings!$B$11/100*(Settings!$B$12-1),2))</f>
        <v>1980</v>
      </c>
      <c r="H27" s="27" t="n">
        <f aca="false">IF(A27="","",IFERROR(ROUND(G27/F27,2),0))</f>
        <v>31.02</v>
      </c>
      <c r="I27" s="18" t="n">
        <f aca="false">IF(A27="","",ROUND(G27-F27,2))</f>
        <v>1916.17</v>
      </c>
      <c r="J27" s="13" t="n">
        <f aca="false">IF(A27="","",IFERROR(ROUND(D27/Settings!$B$13,2),0))</f>
        <v>3.33</v>
      </c>
    </row>
    <row r="28" customFormat="false" ht="15" hidden="false" customHeight="false" outlineLevel="0" collapsed="false">
      <c r="A28" s="16"/>
      <c r="B28" s="18" t="str">
        <f aca="false">IF(A28="","",IFERROR(INDEX('Monthly P&amp;L'!$I$5:$I$16,MATCH(A28,'Monthly P&amp;L'!$A$5:$A$16,0)),0))</f>
        <v/>
      </c>
      <c r="C28" s="17"/>
      <c r="D28" s="18" t="str">
        <f aca="false">IF(A28="","",IF(C28&lt;&gt;"",C28,B28))</f>
        <v/>
      </c>
      <c r="E28" s="8"/>
      <c r="F28" s="18" t="str">
        <f aca="false">IF(A28="","",IFERROR(ROUND(D28/E28,2),0))</f>
        <v/>
      </c>
      <c r="G28" s="18" t="str">
        <f aca="false">IF(A28="","",ROUND(Settings!$B$13+Settings!$B$13*Settings!$B$11/100*(Settings!$B$12-1),2))</f>
        <v/>
      </c>
      <c r="H28" s="27" t="str">
        <f aca="false">IF(A28="","",IFERROR(ROUND(G28/F28,2),0))</f>
        <v/>
      </c>
      <c r="I28" s="18" t="str">
        <f aca="false">IF(A28="","",ROUND(G28-F28,2))</f>
        <v/>
      </c>
      <c r="J28" s="13" t="str">
        <f aca="false">IF(A28="","",IFERROR(ROUND(D28/Settings!$B$13,2),0))</f>
        <v/>
      </c>
    </row>
    <row r="29" customFormat="false" ht="15" hidden="false" customHeight="false" outlineLevel="0" collapsed="false">
      <c r="A29" s="16"/>
      <c r="B29" s="18" t="str">
        <f aca="false">IF(A29="","",IFERROR(INDEX('Monthly P&amp;L'!$I$5:$I$16,MATCH(A29,'Monthly P&amp;L'!$A$5:$A$16,0)),0))</f>
        <v/>
      </c>
      <c r="C29" s="17"/>
      <c r="D29" s="18" t="str">
        <f aca="false">IF(A29="","",IF(C29&lt;&gt;"",C29,B29))</f>
        <v/>
      </c>
      <c r="E29" s="8"/>
      <c r="F29" s="18" t="str">
        <f aca="false">IF(A29="","",IFERROR(ROUND(D29/E29,2),0))</f>
        <v/>
      </c>
      <c r="G29" s="18" t="str">
        <f aca="false">IF(A29="","",ROUND(Settings!$B$13+Settings!$B$13*Settings!$B$11/100*(Settings!$B$12-1),2))</f>
        <v/>
      </c>
      <c r="H29" s="27" t="str">
        <f aca="false">IF(A29="","",IFERROR(ROUND(G29/F29,2),0))</f>
        <v/>
      </c>
      <c r="I29" s="18" t="str">
        <f aca="false">IF(A29="","",ROUND(G29-F29,2))</f>
        <v/>
      </c>
      <c r="J29" s="13" t="str">
        <f aca="false">IF(A29="","",IFERROR(ROUND(D29/Settings!$B$13,2),0))</f>
        <v/>
      </c>
    </row>
    <row r="30" customFormat="false" ht="15" hidden="false" customHeight="false" outlineLevel="0" collapsed="false">
      <c r="A30" s="16"/>
      <c r="B30" s="18" t="str">
        <f aca="false">IF(A30="","",IFERROR(INDEX('Monthly P&amp;L'!$I$5:$I$16,MATCH(A30,'Monthly P&amp;L'!$A$5:$A$16,0)),0))</f>
        <v/>
      </c>
      <c r="C30" s="17"/>
      <c r="D30" s="18" t="str">
        <f aca="false">IF(A30="","",IF(C30&lt;&gt;"",C30,B30))</f>
        <v/>
      </c>
      <c r="E30" s="8"/>
      <c r="F30" s="18" t="str">
        <f aca="false">IF(A30="","",IFERROR(ROUND(D30/E30,2),0))</f>
        <v/>
      </c>
      <c r="G30" s="18" t="str">
        <f aca="false">IF(A30="","",ROUND(Settings!$B$13+Settings!$B$13*Settings!$B$11/100*(Settings!$B$12-1),2))</f>
        <v/>
      </c>
      <c r="H30" s="27" t="str">
        <f aca="false">IF(A30="","",IFERROR(ROUND(G30/F30,2),0))</f>
        <v/>
      </c>
      <c r="I30" s="18" t="str">
        <f aca="false">IF(A30="","",ROUND(G30-F30,2))</f>
        <v/>
      </c>
      <c r="J30" s="13" t="str">
        <f aca="false">IF(A30="","",IFERROR(ROUND(D30/Settings!$B$13,2),0))</f>
        <v/>
      </c>
    </row>
    <row r="31" customFormat="false" ht="15" hidden="false" customHeight="false" outlineLevel="0" collapsed="false">
      <c r="A31" s="16"/>
      <c r="B31" s="18" t="str">
        <f aca="false">IF(A31="","",IFERROR(INDEX('Monthly P&amp;L'!$I$5:$I$16,MATCH(A31,'Monthly P&amp;L'!$A$5:$A$16,0)),0))</f>
        <v/>
      </c>
      <c r="C31" s="17"/>
      <c r="D31" s="18" t="str">
        <f aca="false">IF(A31="","",IF(C31&lt;&gt;"",C31,B31))</f>
        <v/>
      </c>
      <c r="E31" s="8"/>
      <c r="F31" s="18" t="str">
        <f aca="false">IF(A31="","",IFERROR(ROUND(D31/E31,2),0))</f>
        <v/>
      </c>
      <c r="G31" s="18" t="str">
        <f aca="false">IF(A31="","",ROUND(Settings!$B$13+Settings!$B$13*Settings!$B$11/100*(Settings!$B$12-1),2))</f>
        <v/>
      </c>
      <c r="H31" s="27" t="str">
        <f aca="false">IF(A31="","",IFERROR(ROUND(G31/F31,2),0))</f>
        <v/>
      </c>
      <c r="I31" s="18" t="str">
        <f aca="false">IF(A31="","",ROUND(G31-F31,2))</f>
        <v/>
      </c>
      <c r="J31" s="13" t="str">
        <f aca="false">IF(A31="","",IFERROR(ROUND(D31/Settings!$B$13,2),0))</f>
        <v/>
      </c>
    </row>
    <row r="32" customFormat="false" ht="15" hidden="false" customHeight="false" outlineLevel="0" collapsed="false">
      <c r="A32" s="16"/>
      <c r="B32" s="18" t="str">
        <f aca="false">IF(A32="","",IFERROR(INDEX('Monthly P&amp;L'!$I$5:$I$16,MATCH(A32,'Monthly P&amp;L'!$A$5:$A$16,0)),0))</f>
        <v/>
      </c>
      <c r="C32" s="17"/>
      <c r="D32" s="18" t="str">
        <f aca="false">IF(A32="","",IF(C32&lt;&gt;"",C32,B32))</f>
        <v/>
      </c>
      <c r="E32" s="8"/>
      <c r="F32" s="18" t="str">
        <f aca="false">IF(A32="","",IFERROR(ROUND(D32/E32,2),0))</f>
        <v/>
      </c>
      <c r="G32" s="18" t="str">
        <f aca="false">IF(A32="","",ROUND(Settings!$B$13+Settings!$B$13*Settings!$B$11/100*(Settings!$B$12-1),2))</f>
        <v/>
      </c>
      <c r="H32" s="27" t="str">
        <f aca="false">IF(A32="","",IFERROR(ROUND(G32/F32,2),0))</f>
        <v/>
      </c>
      <c r="I32" s="18" t="str">
        <f aca="false">IF(A32="","",ROUND(G32-F32,2))</f>
        <v/>
      </c>
      <c r="J32" s="13" t="str">
        <f aca="false">IF(A32="","",IFERROR(ROUND(D32/Settings!$B$13,2),0))</f>
        <v/>
      </c>
    </row>
    <row r="33" customFormat="false" ht="15" hidden="false" customHeight="false" outlineLevel="0" collapsed="false">
      <c r="A33" s="16"/>
      <c r="B33" s="18" t="str">
        <f aca="false">IF(A33="","",IFERROR(INDEX('Monthly P&amp;L'!$I$5:$I$16,MATCH(A33,'Monthly P&amp;L'!$A$5:$A$16,0)),0))</f>
        <v/>
      </c>
      <c r="C33" s="17"/>
      <c r="D33" s="18" t="str">
        <f aca="false">IF(A33="","",IF(C33&lt;&gt;"",C33,B33))</f>
        <v/>
      </c>
      <c r="E33" s="8"/>
      <c r="F33" s="18" t="str">
        <f aca="false">IF(A33="","",IFERROR(ROUND(D33/E33,2),0))</f>
        <v/>
      </c>
      <c r="G33" s="18" t="str">
        <f aca="false">IF(A33="","",ROUND(Settings!$B$13+Settings!$B$13*Settings!$B$11/100*(Settings!$B$12-1),2))</f>
        <v/>
      </c>
      <c r="H33" s="27" t="str">
        <f aca="false">IF(A33="","",IFERROR(ROUND(G33/F33,2),0))</f>
        <v/>
      </c>
      <c r="I33" s="18" t="str">
        <f aca="false">IF(A33="","",ROUND(G33-F33,2))</f>
        <v/>
      </c>
      <c r="J33" s="13" t="str">
        <f aca="false">IF(A33="","",IFERROR(ROUND(D33/Settings!$B$13,2),0))</f>
        <v/>
      </c>
    </row>
    <row r="34" customFormat="false" ht="15" hidden="false" customHeight="false" outlineLevel="0" collapsed="false">
      <c r="A34" s="5" t="s">
        <v>77</v>
      </c>
      <c r="D34" s="14" t="n">
        <f aca="false">SUM(D22:D33)</f>
        <v>20900</v>
      </c>
      <c r="E34" s="24" t="n">
        <f aca="false">SUM(E22:E33)</f>
        <v>264</v>
      </c>
      <c r="F34" s="14" t="n">
        <f aca="false">IFERROR(ROUND(D34/E34,2),0)</f>
        <v>79.17</v>
      </c>
      <c r="J34" s="12" t="n">
        <f aca="false">IFERROR(ROUND(D34/Settings!$B$13,2),0)</f>
        <v>23.22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64"/>
  </cols>
  <sheetData>
    <row r="1" customFormat="false" ht="17.35" hidden="false" customHeight="false" outlineLevel="0" collapsed="false">
      <c r="A1" s="2" t="s">
        <v>123</v>
      </c>
    </row>
    <row r="2" customFormat="false" ht="15" hidden="false" customHeight="false" outlineLevel="0" collapsed="false">
      <c r="A2" s="5" t="s">
        <v>124</v>
      </c>
      <c r="B2" s="14" t="n">
        <f aca="false">'Monthly P&amp;L'!D17</f>
        <v>587500</v>
      </c>
      <c r="C2" s="3" t="s">
        <v>125</v>
      </c>
    </row>
    <row r="3" customFormat="false" ht="15" hidden="false" customHeight="false" outlineLevel="0" collapsed="false">
      <c r="A3" s="5" t="s">
        <v>126</v>
      </c>
      <c r="B3" s="14" t="n">
        <f aca="false">'Monthly P&amp;L'!K17</f>
        <v>612700</v>
      </c>
      <c r="C3" s="3" t="s">
        <v>127</v>
      </c>
    </row>
    <row r="4" customFormat="false" ht="15" hidden="false" customHeight="false" outlineLevel="0" collapsed="false">
      <c r="A4" s="5" t="s">
        <v>70</v>
      </c>
      <c r="B4" s="20" t="n">
        <f aca="false">'Monthly P&amp;L'!L17</f>
        <v>95.89</v>
      </c>
      <c r="C4" s="3" t="s">
        <v>128</v>
      </c>
    </row>
    <row r="5" customFormat="false" ht="15" hidden="false" customHeight="false" outlineLevel="0" collapsed="false">
      <c r="A5" s="5" t="s">
        <v>72</v>
      </c>
      <c r="B5" s="20" t="n">
        <f aca="false">'Monthly P&amp;L'!N17</f>
        <v>54.8</v>
      </c>
      <c r="C5" s="3" t="s">
        <v>129</v>
      </c>
    </row>
    <row r="6" customFormat="false" ht="15" hidden="false" customHeight="false" outlineLevel="0" collapsed="false">
      <c r="A6" s="5" t="s">
        <v>130</v>
      </c>
      <c r="B6" s="20" t="n">
        <f aca="false">Settings!$B$9</f>
        <v>60</v>
      </c>
      <c r="C6" s="3" t="s">
        <v>131</v>
      </c>
    </row>
    <row r="7" customFormat="false" ht="15" hidden="false" customHeight="false" outlineLevel="0" collapsed="false">
      <c r="A7" s="5" t="s">
        <v>76</v>
      </c>
      <c r="B7" s="20" t="n">
        <f aca="false">'Monthly P&amp;L'!R17</f>
        <v>-5.2</v>
      </c>
      <c r="C7" s="3" t="s">
        <v>132</v>
      </c>
    </row>
    <row r="8" customFormat="false" ht="15" hidden="false" customHeight="false" outlineLevel="0" collapsed="false">
      <c r="A8" s="5" t="s">
        <v>133</v>
      </c>
      <c r="B8" s="14" t="n">
        <f aca="false">'Monthly P&amp;L'!O17</f>
        <v>265525</v>
      </c>
      <c r="C8" s="3" t="s">
        <v>134</v>
      </c>
    </row>
    <row r="9" customFormat="false" ht="15" hidden="false" customHeight="false" outlineLevel="0" collapsed="false">
      <c r="A9" s="5" t="s">
        <v>135</v>
      </c>
      <c r="B9" s="14" t="n">
        <f aca="false">'Monthly P&amp;L'!P17</f>
        <v>193525</v>
      </c>
      <c r="C9" s="3" t="s">
        <v>136</v>
      </c>
    </row>
    <row r="10" customFormat="false" ht="15" hidden="false" customHeight="false" outlineLevel="0" collapsed="false">
      <c r="A10" s="5" t="s">
        <v>137</v>
      </c>
      <c r="B10" s="28" t="n">
        <f aca="false">IFERROR(INDEX('Monthly P&amp;L'!$A$5:$A$16,MATCH(MAX('Monthly P&amp;L'!$P$5:$P$16),'Monthly P&amp;L'!$P$5:$P$16,0)),"")</f>
        <v>46174</v>
      </c>
      <c r="C10" s="3" t="s">
        <v>138</v>
      </c>
    </row>
    <row r="11" customFormat="false" ht="15" hidden="false" customHeight="false" outlineLevel="0" collapsed="false">
      <c r="A11" s="5" t="s">
        <v>139</v>
      </c>
      <c r="B11" s="28" t="n">
        <f aca="false">IFERROR(INDEX('Monthly P&amp;L'!$A$5:$A$16,MATCH(MIN('Monthly P&amp;L'!$P$5:$P$16),'Monthly P&amp;L'!$P$5:$P$16,0)),"")</f>
        <v>46113</v>
      </c>
      <c r="C11" s="3" t="s">
        <v>140</v>
      </c>
    </row>
    <row r="12" customFormat="false" ht="15" hidden="false" customHeight="false" outlineLevel="0" collapsed="false">
      <c r="A12" s="5" t="s">
        <v>141</v>
      </c>
      <c r="B12" s="14" t="n">
        <f aca="false">'Provider Production'!H25</f>
        <v>290.49</v>
      </c>
      <c r="C12" s="3" t="s">
        <v>142</v>
      </c>
    </row>
    <row r="13" customFormat="false" ht="15" hidden="false" customHeight="false" outlineLevel="0" collapsed="false">
      <c r="A13" s="5" t="s">
        <v>143</v>
      </c>
      <c r="B13" s="20" t="n">
        <f aca="false">Hygiene!J17</f>
        <v>32.05</v>
      </c>
      <c r="C13" s="3" t="s">
        <v>144</v>
      </c>
    </row>
    <row r="14" customFormat="false" ht="15" hidden="false" customHeight="false" outlineLevel="0" collapsed="false">
      <c r="A14" s="5" t="s">
        <v>145</v>
      </c>
      <c r="B14" s="20" t="n">
        <f aca="false">Hygiene!M17</f>
        <v>2.05</v>
      </c>
      <c r="C14" s="3" t="s">
        <v>132</v>
      </c>
    </row>
    <row r="15" customFormat="false" ht="15" hidden="false" customHeight="false" outlineLevel="0" collapsed="false">
      <c r="A15" s="5" t="s">
        <v>146</v>
      </c>
      <c r="B15" s="20" t="n">
        <f aca="false">'Chairs &amp; New Patients'!G17</f>
        <v>74.09</v>
      </c>
      <c r="C15" s="3" t="s">
        <v>147</v>
      </c>
    </row>
    <row r="16" customFormat="false" ht="15" hidden="false" customHeight="false" outlineLevel="0" collapsed="false">
      <c r="A16" s="5" t="s">
        <v>148</v>
      </c>
      <c r="B16" s="14" t="n">
        <f aca="false">'Chairs &amp; New Patients'!J17</f>
        <v>218131.35</v>
      </c>
      <c r="C16" s="3" t="s">
        <v>149</v>
      </c>
    </row>
    <row r="17" customFormat="false" ht="15" hidden="false" customHeight="false" outlineLevel="0" collapsed="false">
      <c r="A17" s="5" t="s">
        <v>150</v>
      </c>
      <c r="B17" s="14" t="n">
        <f aca="false">'Chairs &amp; New Patients'!F34</f>
        <v>79.17</v>
      </c>
      <c r="C17" s="3" t="s">
        <v>151</v>
      </c>
    </row>
    <row r="18" customFormat="false" ht="15" hidden="false" customHeight="false" outlineLevel="0" collapsed="false">
      <c r="A18" s="5" t="s">
        <v>152</v>
      </c>
      <c r="B18" s="24" t="n">
        <f aca="false">'Chairs &amp; New Patients'!E34</f>
        <v>264</v>
      </c>
    </row>
    <row r="19" customFormat="false" ht="15" hidden="false" customHeight="false" outlineLevel="0" collapsed="false">
      <c r="A19" s="5" t="s">
        <v>153</v>
      </c>
      <c r="B19" s="24" t="n">
        <f aca="false">COUNTIF('Monthly P&amp;L'!$R$5:$R$16,"&gt;0")</f>
        <v>1</v>
      </c>
      <c r="C19" s="3" t="s">
        <v>154</v>
      </c>
    </row>
    <row r="20" customFormat="false" ht="15" hidden="false" customHeight="false" outlineLevel="0" collapsed="false">
      <c r="A20" s="5" t="s">
        <v>55</v>
      </c>
      <c r="B20" s="14" t="n">
        <f aca="false">Settings!$B$18</f>
        <v>1980</v>
      </c>
      <c r="C20" s="3" t="s">
        <v>155</v>
      </c>
    </row>
    <row r="21" customFormat="false" ht="15" hidden="false" customHeight="false" outlineLevel="0" collapsed="false">
      <c r="A21" s="5" t="s">
        <v>51</v>
      </c>
      <c r="B21" s="12" t="n">
        <f aca="false">Settings!$B$16</f>
        <v>320</v>
      </c>
      <c r="C21" s="3"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2026-10-06T13:16:28Z</dcterms:created>
  <dc:creator>openpyxl</dc:creator>
  <dc:description/>
  <dc:language>en-US</dc:language>
  <cp:lastModifiedBy/>
  <dcterms:modified xsi:type="dcterms:W3CDTF">2026-10-06T13:16:28Z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