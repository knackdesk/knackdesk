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6.vml" ContentType="application/vnd.openxmlformats-officedocument.vmlDrawing"/>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7.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Book by Line" sheetId="3" state="visible" r:id="rId5"/>
    <sheet name="Producers" sheetId="4" state="visible" r:id="rId6"/>
    <sheet name="Acquisition" sheetId="5" state="visible" r:id="rId7"/>
    <sheet name="Commission Splits"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2" authorId="0">
      <text>
        <r>
          <rPr>
            <sz val="10"/>
            <rFont val="Arial"/>
            <family val="2"/>
          </rPr>
          <t xml:space="preserve">Assumption: 15% is a placeholder. First-year commission varies by carrier and line; override it per line.</t>
        </r>
      </text>
    </comment>
    <comment ref="B3" authorId="0">
      <text>
        <r>
          <rPr>
            <sz val="10"/>
            <rFont val="Arial"/>
            <family val="2"/>
          </rPr>
          <t xml:space="preserve">Assumption: 10% is a placeholder. Renewal commission varies by carrier and line; override it per line.</t>
        </r>
      </text>
    </comment>
    <comment ref="B4" authorId="0">
      <text>
        <r>
          <rPr>
            <sz val="10"/>
            <rFont val="Arial"/>
            <family val="2"/>
          </rPr>
          <t xml:space="preserve">Assumption: 60% is a placeholder. Use the split in each producer's agreement.</t>
        </r>
      </text>
    </comment>
    <comment ref="B6" authorId="0">
      <text>
        <r>
          <rPr>
            <sz val="10"/>
            <rFont val="Arial"/>
            <family val="2"/>
          </rPr>
          <t xml:space="preserve">Your own placeholder, not a recommendation and not an industry benchmark.</t>
        </r>
      </text>
    </comment>
    <comment ref="B7" authorId="0">
      <text>
        <r>
          <rPr>
            <sz val="10"/>
            <rFont val="Arial"/>
            <family val="2"/>
          </rPr>
          <t xml:space="preserve">Your own placeholder, not a recommendation and not an industry benchmark.</t>
        </r>
      </text>
    </comment>
    <comment ref="B8" authorId="0">
      <text>
        <r>
          <rPr>
            <sz val="10"/>
            <rFont val="Arial"/>
            <family val="2"/>
          </rPr>
          <t xml:space="preserve">Assumption: 45 an hour is a placeholder. Use producer pay plus payroll costs ÷ hours worked.</t>
        </r>
      </text>
    </comment>
    <comment ref="B9" authorId="0">
      <text>
        <r>
          <rPr>
            <sz val="10"/>
            <rFont val="Arial"/>
            <family val="2"/>
          </rPr>
          <t xml:space="preserve">Whole years from 1 to 5. 1 = first-year commission only.</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Policies in force on this line on the first day of the year.</t>
        </r>
      </text>
    </comment>
    <comment ref="C5" authorId="0">
      <text>
        <r>
          <rPr>
            <sz val="10"/>
            <rFont val="Arial"/>
            <family val="2"/>
          </rPr>
          <t xml:space="preserve">Policies from the start-of-year book that lapsed, were cancelled or were not renewed during the year.</t>
        </r>
      </text>
    </comment>
    <comment ref="E5" authorId="0">
      <text>
        <r>
          <rPr>
            <sz val="10"/>
            <rFont val="Arial"/>
            <family val="2"/>
          </rPr>
          <t xml:space="preserve">Assumption: the average annual premium per policy on this line; commission is a % of it.</t>
        </r>
      </text>
    </comment>
    <comment ref="E17" authorId="0">
      <text>
        <r>
          <rPr>
            <sz val="10"/>
            <rFont val="Arial"/>
            <family val="2"/>
          </rPr>
          <t xml:space="preserve">Average premium weighted by policies at the start of the year. Acquisition uses it for the default commission per policy.</t>
        </r>
      </text>
    </comment>
    <comment ref="G7" authorId="0">
      <text>
        <r>
          <rPr>
            <sz val="10"/>
            <rFont val="Arial"/>
            <family val="2"/>
          </rPr>
          <t xml:space="preserve">Example override: a carrier that pays a higher renewal commission on commercial lines.</t>
        </r>
      </text>
    </comment>
    <comment ref="J8" authorId="0">
      <text>
        <r>
          <rPr>
            <sz val="10"/>
            <rFont val="Arial"/>
            <family val="2"/>
          </rPr>
          <t xml:space="preserve">Example override: life policies often pay a high first-year commission and a small renewal; use your contract terms.</t>
        </r>
      </text>
    </comment>
    <comment ref="M5" authorId="0">
      <text>
        <r>
          <rPr>
            <sz val="10"/>
            <rFont val="Arial"/>
            <family val="2"/>
          </rPr>
          <t xml:space="preserve">(Policies at start − policies lost) ÷ policies at start. 0 when no start policies are typed.</t>
        </r>
      </text>
    </comment>
    <comment ref="M17" authorId="0">
      <text>
        <r>
          <rPr>
            <sz val="10"/>
            <rFont val="Arial"/>
            <family val="2"/>
          </rPr>
          <t xml:space="preserve">From the totals, not an average of the rows.</t>
        </r>
      </text>
    </comment>
    <comment ref="P5" authorId="0">
      <text>
        <r>
          <rPr>
            <sz val="10"/>
            <rFont val="Arial"/>
            <family val="2"/>
          </rPr>
          <t xml:space="preserve">Assumption: every retained policy renews at the average premium and renewal % on this row.</t>
        </r>
      </text>
    </comment>
    <comment ref="R5" authorId="0">
      <text>
        <r>
          <rPr>
            <sz val="10"/>
            <rFont val="Arial"/>
            <family val="2"/>
          </rPr>
          <t xml:space="preserve">Renewal commission the lapsed policies would have paid this year at the same premium and renewal %.</t>
        </r>
      </text>
    </comment>
    <comment ref="S5" authorId="0">
      <text>
        <r>
          <rPr>
            <sz val="10"/>
            <rFont val="Arial"/>
            <family val="2"/>
          </rPr>
          <t xml:space="preserve">Retention % − your target retention % on Settings. Negative = below your own target.</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A9" authorId="0">
      <text>
        <r>
          <rPr>
            <sz val="10"/>
            <rFont val="Arial"/>
            <family val="2"/>
          </rPr>
          <t xml:space="preserve">Example: a producer who left mid-year. Keep the row so the year's totals stay complete.</t>
        </r>
      </text>
    </comment>
    <comment ref="E5" authorId="0">
      <text>
        <r>
          <rPr>
            <sz val="10"/>
            <rFont val="Arial"/>
            <family val="2"/>
          </rPr>
          <t xml:space="preserve">Commission revenue the agency credits to this producer for the year (new business and renewals), from your own records.</t>
        </r>
      </text>
    </comment>
    <comment ref="F5" authorId="0">
      <text>
        <r>
          <rPr>
            <sz val="10"/>
            <rFont val="Arial"/>
            <family val="2"/>
          </rPr>
          <t xml:space="preserve">Everything paid to the producer for the year: salary, commission share and bonuses.</t>
        </r>
      </text>
    </comment>
    <comment ref="G5" authorId="0">
      <text>
        <r>
          <rPr>
            <sz val="10"/>
            <rFont val="Arial"/>
            <family val="2"/>
          </rPr>
          <t xml:space="preserve">Hours spent prospecting for new business. Acquisition divides the total by 12 for its default monthly hours.</t>
        </r>
      </text>
    </comment>
    <comment ref="I5" authorId="0">
      <text>
        <r>
          <rPr>
            <sz val="10"/>
            <rFont val="Arial"/>
            <family val="2"/>
          </rPr>
          <t xml:space="preserve">Compensation paid ÷ commission revenue credited. 0 when no revenue is typed.</t>
        </r>
      </text>
    </comment>
    <comment ref="I17" authorId="0">
      <text>
        <r>
          <rPr>
            <sz val="10"/>
            <rFont val="Arial"/>
            <family val="2"/>
          </rPr>
          <t xml:space="preserve">From the totals, not an average of the rows.</t>
        </r>
      </text>
    </comment>
    <comment ref="J5" authorId="0">
      <text>
        <r>
          <rPr>
            <sz val="10"/>
            <rFont val="Arial"/>
            <family val="2"/>
          </rPr>
          <t xml:space="preserve">Assumption: premium written × the default new-business % on Settings. A check only; the credited figure is yours.</t>
        </r>
      </text>
    </comment>
    <comment ref="L5" authorId="0">
      <text>
        <r>
          <rPr>
            <sz val="10"/>
            <rFont val="Arial"/>
            <family val="2"/>
          </rPr>
          <t xml:space="preserve">Compensation ratio % − your target on Settings. Positive = above your own target.</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Advertising, website, mailers and sponsorships for the month.</t>
        </r>
      </text>
    </comment>
    <comment ref="C5" authorId="0">
      <text>
        <r>
          <rPr>
            <sz val="10"/>
            <rFont val="Arial"/>
            <family val="2"/>
          </rPr>
          <t xml:space="preserve">Bought leads, quote-comparison sites and referral fees for the month.</t>
        </r>
      </text>
    </comment>
    <comment ref="D5" authorId="0">
      <text>
        <r>
          <rPr>
            <sz val="10"/>
            <rFont val="Arial"/>
            <family val="2"/>
          </rPr>
          <t xml:space="preserve">Assumption: the year's prospecting hours on Producers spread evenly over 12 months.</t>
        </r>
      </text>
    </comment>
    <comment ref="E7" authorId="0">
      <text>
        <r>
          <rPr>
            <sz val="10"/>
            <rFont val="Arial"/>
            <family val="2"/>
          </rPr>
          <t xml:space="preserve">Example override: a month with an extra prospecting push.</t>
        </r>
      </text>
    </comment>
    <comment ref="H5" authorId="0">
      <text>
        <r>
          <rPr>
            <sz val="10"/>
            <rFont val="Arial"/>
            <family val="2"/>
          </rPr>
          <t xml:space="preserve">Assumption: default new-business % on Settings × the average premium on Book by Line totals.</t>
        </r>
      </text>
    </comment>
    <comment ref="I9" authorId="0">
      <text>
        <r>
          <rPr>
            <sz val="10"/>
            <rFont val="Arial"/>
            <family val="2"/>
          </rPr>
          <t xml:space="preserve">Example override: a month weighted to commercial policies with a higher first-year commission.</t>
        </r>
      </text>
    </comment>
    <comment ref="J17" authorId="0">
      <text>
        <r>
          <rPr>
            <sz val="10"/>
            <rFont val="Arial"/>
            <family val="2"/>
          </rPr>
          <t xml:space="preserve">Average per policy, weighted by policies written each month.</t>
        </r>
      </text>
    </comment>
    <comment ref="N5" authorId="0">
      <text>
        <r>
          <rPr>
            <sz val="10"/>
            <rFont val="Arial"/>
            <family val="2"/>
          </rPr>
          <t xml:space="preserve">Marketing spend + lead costs + producer hours × producer cost per hour on Settings.</t>
        </r>
      </text>
    </comment>
    <comment ref="O17" authorId="0">
      <text>
        <r>
          <rPr>
            <sz val="10"/>
            <rFont val="Arial"/>
            <family val="2"/>
          </rPr>
          <t xml:space="preserve">From the totals, not an average of the months.</t>
        </r>
      </text>
    </comment>
    <comment ref="P5" authorId="0">
      <text>
        <r>
          <rPr>
            <sz val="10"/>
            <rFont val="Arial"/>
            <family val="2"/>
          </rPr>
          <t xml:space="preserve">Assumption: first-year commission + renewal commission × (r + r² + ...) for the years on Settings (up to 5), where r is the total retention % on Book by Line.</t>
        </r>
      </text>
    </comment>
    <comment ref="Q5" authorId="0">
      <text>
        <r>
          <rPr>
            <sz val="10"/>
            <rFont val="Arial"/>
            <family val="2"/>
          </rPr>
          <t xml:space="preserve">Lifetime commission per policy ÷ cost per policy. Above 1 = a policy earns back more than it cost to acquire.</t>
        </r>
      </text>
    </comment>
    <comment ref="R5" authorId="0">
      <text>
        <r>
          <rPr>
            <sz val="10"/>
            <rFont val="Arial"/>
            <family val="2"/>
          </rPr>
          <t xml:space="preserve">Total acquisition cost ÷ first-year commission per policy: how many new policies' first-year commission pays back the month's cost.</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A28" authorId="0">
      <text>
        <r>
          <rPr>
            <sz val="10"/>
            <rFont val="Arial"/>
            <family val="2"/>
          </rPr>
          <t xml:space="preserve">Type or pick each producer once; their splits above are counted and summed by name.</t>
        </r>
      </text>
    </comment>
    <comment ref="D5" authorId="0">
      <text>
        <r>
          <rPr>
            <sz val="10"/>
            <rFont val="Arial"/>
            <family val="2"/>
          </rPr>
          <t xml:space="preserve">The commission % the carrier pays the agency on this policy, from your carrier contract.</t>
        </r>
      </text>
    </comment>
    <comment ref="F7" authorId="0">
      <text>
        <r>
          <rPr>
            <sz val="10"/>
            <rFont val="Arial"/>
            <family val="2"/>
          </rPr>
          <t xml:space="preserve">Example override: a lower split on a house account the producer took over.</t>
        </r>
      </text>
    </comment>
    <comment ref="I10" authorId="0">
      <text>
        <r>
          <rPr>
            <sz val="10"/>
            <rFont val="Arial"/>
            <family val="2"/>
          </rPr>
          <t xml:space="preserve">Example override: no agency fee on this policy.</t>
        </r>
      </text>
    </comment>
    <comment ref="N5" authorId="0">
      <text>
        <r>
          <rPr>
            <sz val="10"/>
            <rFont val="Arial"/>
            <family val="2"/>
          </rPr>
          <t xml:space="preserve">Agent share − agency fee. Can be negative on a small policy where the fee is larger than the share.</t>
        </r>
      </text>
    </comment>
    <comment ref="O5" authorId="0">
      <text>
        <r>
          <rPr>
            <sz val="10"/>
            <rFont val="Arial"/>
            <family val="2"/>
          </rPr>
          <t xml:space="preserve">Agent net ÷ premium: the share of the premium the producer keeps.</t>
        </r>
      </text>
    </comment>
  </commentList>
</comments>
</file>

<file path=xl/comments7.xml><?xml version="1.0" encoding="utf-8"?>
<comments xmlns="http://schemas.openxmlformats.org/spreadsheetml/2006/main" xmlns:xdr="http://schemas.openxmlformats.org/drawingml/2006/spreadsheetDrawing">
  <authors>
    <author>Knackdesk</author>
  </authors>
  <commentList>
    <comment ref="B4" authorId="0">
      <text>
        <r>
          <rPr>
            <sz val="10"/>
            <rFont val="Arial"/>
            <family val="2"/>
          </rPr>
          <t xml:space="preserve">Your own placeholder, not a recommendation and not an industry benchmark.</t>
        </r>
      </text>
    </comment>
    <comment ref="B11" authorId="0">
      <text>
        <r>
          <rPr>
            <sz val="10"/>
            <rFont val="Arial"/>
            <family val="2"/>
          </rPr>
          <t xml:space="preserve">Arithmetic only. The workbook supplies no benchmarks or valuation multiples to compare it with.</t>
        </r>
      </text>
    </comment>
  </commentList>
</comments>
</file>

<file path=xl/sharedStrings.xml><?xml version="1.0" encoding="utf-8"?>
<sst xmlns="http://schemas.openxmlformats.org/spreadsheetml/2006/main" count="232" uniqueCount="195">
  <si>
    <t xml:space="preserve">Insurance Agency Numbers Workbook</t>
  </si>
  <si>
    <t xml:space="preserve">by Knackdesk · knackdesk.com</t>
  </si>
  <si>
    <t xml:space="preserve">HOW TO USE</t>
  </si>
  <si>
    <t xml:space="preserve">1. Settings: default new-business and renewal commission %, default agent split %, agency fee per policy, your target retention % and target compensation ratio %, producer cost per hour, years for lifetime commission and support staff count. Producers, employees, policies on the book, the book's renewal commission and the book's retention % are calculated from the other sheets.</t>
  </si>
  <si>
    <t xml:space="preserve">2. Book by Line: one row per line of business with policies at the start of the year, policies lost, new policies and average premium; renewal and new-business commission % default from Settings (type your own to override). Policies at the end, retention %, lapse %, net growth %, renewal commission on the retained book, new-business commission, commission lost and retention against your target are calculated, with totals.</t>
  </si>
  <si>
    <t xml:space="preserve">3. Producers: one row per producer with status, policies written, premium written, the commission revenue credited to them, compensation paid and hours on prospecting. Revenue per policy, compensation ratio %, a new-business commission check at the Settings % and the ratio against your target are calculated, with totals and a per-producer average.</t>
  </si>
  <si>
    <t xml:space="preserve">4. Acquisition: one row per month with marketing spend, lead costs, producer hours (default from Producers, type your own to override), policies written and first-year and renewal commission per policy (defaults from Settings and the book's average premium). Total acquisition cost, cost per policy, lifetime commission per policy, value-to-cost ratio and payback policies are calculated.</t>
  </si>
  <si>
    <t xml:space="preserve">5. Commission Splits: one row per policy or client with producer, premium and carrier commission %; agent split % and agency fee default from Settings (type your own to override). Gross commission, agent share, agency share, agent net after fee, the agent's effective % of premium and agency net are calculated, with a per-producer block below.</t>
  </si>
  <si>
    <t xml:space="preserve">6. Summary: policies on the book and retention against your target, renewal commission and commission lost, lines below target, revenue per producer and per employee, compensation ratio, acquisition cost, lifetime commission and value-to-cost, the best line and best producer, and total agent and agency net from splits.</t>
  </si>
  <si>
    <t xml:space="preserve">LEGEND</t>
  </si>
  <si>
    <t xml:space="preserve">Blue text = a cell you type into.   Black text = a formula, leave it alone.   Yellow fill = key inputs.</t>
  </si>
  <si>
    <t xml:space="preserve">DEFINITIONS</t>
  </si>
  <si>
    <t xml:space="preserve">Producer: a licensed agent who writes new business for the agency and is usually paid a share of the commission it earns.</t>
  </si>
  <si>
    <t xml:space="preserve">Book of business: all the policies the agency services and earns commission on. Policies at the end = policies at the start − policies lost + new policies.</t>
  </si>
  <si>
    <t xml:space="preserve">Policy retention: the share of the policies on the book at the start of the year that are still on it at the end. Retention % = (policies at start − policies lost) ÷ policies at start. New policies are not counted in retention.</t>
  </si>
  <si>
    <t xml:space="preserve">Lapse: a policy that is cancelled or not renewed. Lapse % = policies lost ÷ policies at start = 100% − retention %.</t>
  </si>
  <si>
    <t xml:space="preserve">Renewal commission and residuals: the commission the carrier pays each year a policy renews, usually a lower % than in the first year. Annual renewal commission on the retained book = (policies at start − policies lost) × average premium × renewal commission %.</t>
  </si>
  <si>
    <t xml:space="preserve">Revenue per producer: agency commission revenue (renewal plus new business on Book by Line) ÷ number of producers. Revenue per employee divides the same revenue by producers plus support staff.</t>
  </si>
  <si>
    <t xml:space="preserve">Cost per policy acquired: marketing spend + lead costs + producer hours × producer cost per hour, divided by the policies written in the period.</t>
  </si>
  <si>
    <t xml:space="preserve">Commission split: how the commission a carrier pays on a policy is shared between the producer (agent split %) and the agency, with any per-policy agency fee charged to the agent. Agent net = agent share − agency fee; agency net = agency share + agency fee.</t>
  </si>
  <si>
    <t xml:space="preserve">The targets in this workbook are your own; it does not supply industry benchmarks or valuation multiples. Set them from your own history and plan.</t>
  </si>
  <si>
    <t xml:space="preserve">Commission structures are set by your carriers and producer contracts; the workbook applies the terms you enter and does not check them.</t>
  </si>
  <si>
    <t xml:space="preserve">Support: hello@knackdesk.com</t>
  </si>
  <si>
    <t xml:space="preserve">Arithmetic only; not financial, legal or licensing advice.</t>
  </si>
  <si>
    <t xml:space="preserve">Settings</t>
  </si>
  <si>
    <t xml:space="preserve">Default new-business commission %</t>
  </si>
  <si>
    <t xml:space="preserve">Default 15. Placeholder; use the first-year commission % in your carrier contracts. Each line can override it on Book by Line.</t>
  </si>
  <si>
    <t xml:space="preserve">Default renewal commission %</t>
  </si>
  <si>
    <t xml:space="preserve">Default 10. Placeholder; use the renewal commission % in your carrier contracts. Each line can override it on Book by Line.</t>
  </si>
  <si>
    <t xml:space="preserve">Default agent split %</t>
  </si>
  <si>
    <t xml:space="preserve">Default 60. Placeholder; the producer's share of the commission in your producer agreements. Each split can override it.</t>
  </si>
  <si>
    <t xml:space="preserve">Agency fee per policy</t>
  </si>
  <si>
    <t xml:space="preserve">Default 10. Placeholder; a per-policy fee charged to the producer on Commission Splits. Type 0 if you do not charge one.</t>
  </si>
  <si>
    <t xml:space="preserve">Target retention %</t>
  </si>
  <si>
    <t xml:space="preserve">Default 90. Your own placeholder, not a recommendation and not an industry benchmark: the retention you are aiming for.</t>
  </si>
  <si>
    <t xml:space="preserve">Target compensation ratio %</t>
  </si>
  <si>
    <t xml:space="preserve">Default 35. Your own placeholder, not a recommendation and not an industry benchmark: producer pay as a % of the commission revenue credited to them.</t>
  </si>
  <si>
    <t xml:space="preserve">Producer cost per hour for acquisition time</t>
  </si>
  <si>
    <t xml:space="preserve">Default 45. Placeholder; what an hour of producer prospecting time costs you, used in Acquisition cost.</t>
  </si>
  <si>
    <t xml:space="preserve">Years for lifetime commission (1 to 5)</t>
  </si>
  <si>
    <t xml:space="preserve">Default 3. How many years of commission (first year plus renewals) a new policy is valued at on Acquisition; up to 5.</t>
  </si>
  <si>
    <t xml:space="preserve">Support staff count</t>
  </si>
  <si>
    <t xml:space="preserve">Default 3. Account managers, CSRs and admin who are not producers; used for revenue per employee.</t>
  </si>
  <si>
    <t xml:space="preserve">Producers</t>
  </si>
  <si>
    <t xml:space="preserve">formula: names on the Producers sheet (including anyone who left during the year)</t>
  </si>
  <si>
    <t xml:space="preserve">Total employees</t>
  </si>
  <si>
    <t xml:space="preserve">formula: producers + support staff count</t>
  </si>
  <si>
    <t xml:space="preserve">Policies on the book now</t>
  </si>
  <si>
    <t xml:space="preserve">formula: policies at the end of the year, from the Book by Line totals</t>
  </si>
  <si>
    <t xml:space="preserve">Book annual renewal commission</t>
  </si>
  <si>
    <t xml:space="preserve">formula: annual renewal commission on the retained book, from the Book by Line totals</t>
  </si>
  <si>
    <t xml:space="preserve">Book retention %</t>
  </si>
  <si>
    <t xml:space="preserve">formula: total retention from the Book by Line totals; Acquisition values renewals at this rate</t>
  </si>
  <si>
    <t xml:space="preserve">Book by Line</t>
  </si>
  <si>
    <t xml:space="preserve">One row per line of business. Renewal and new-business commission % default from Settings; type your own to override them. Retention counts only the policies on the book at the start of the year.</t>
  </si>
  <si>
    <t xml:space="preserve">Line of business</t>
  </si>
  <si>
    <t xml:space="preserve">Policies at start of year</t>
  </si>
  <si>
    <t xml:space="preserve">Policies lost</t>
  </si>
  <si>
    <t xml:space="preserve">New policies</t>
  </si>
  <si>
    <t xml:space="preserve">Average premium</t>
  </si>
  <si>
    <t xml:space="preserve">Default renewal commission % (Settings)</t>
  </si>
  <si>
    <t xml:space="preserve">or type your own renewal %</t>
  </si>
  <si>
    <t xml:space="preserve">Renewal % used</t>
  </si>
  <si>
    <t xml:space="preserve">Default new-business commission % (Settings)</t>
  </si>
  <si>
    <t xml:space="preserve">or type your own new-business %</t>
  </si>
  <si>
    <t xml:space="preserve">New-business % used</t>
  </si>
  <si>
    <t xml:space="preserve">Policies at end</t>
  </si>
  <si>
    <t xml:space="preserve">Retention %</t>
  </si>
  <si>
    <t xml:space="preserve">Lapse %</t>
  </si>
  <si>
    <t xml:space="preserve">Net growth %</t>
  </si>
  <si>
    <t xml:space="preserve">Annual renewal commission (retained book)</t>
  </si>
  <si>
    <t xml:space="preserve">New-business commission</t>
  </si>
  <si>
    <t xml:space="preserve">Commission lost to lapses</t>
  </si>
  <si>
    <t xml:space="preserve">Retention vs target (points)</t>
  </si>
  <si>
    <t xml:space="preserve">Personal auto</t>
  </si>
  <si>
    <t xml:space="preserve">Homeowners</t>
  </si>
  <si>
    <t xml:space="preserve">Commercial</t>
  </si>
  <si>
    <t xml:space="preserve">Life</t>
  </si>
  <si>
    <t xml:space="preserve">Health</t>
  </si>
  <si>
    <t xml:space="preserve">Umbrella</t>
  </si>
  <si>
    <t xml:space="preserve">Total</t>
  </si>
  <si>
    <t xml:space="preserve">One row per producer for the year, including anyone who left. Commission revenue credited, compensation paid and hours come from your own records; the check column applies the Settings new-business % to premium written.</t>
  </si>
  <si>
    <t xml:space="preserve">Producer</t>
  </si>
  <si>
    <t xml:space="preserve">Status</t>
  </si>
  <si>
    <t xml:space="preserve">Policies written this year</t>
  </si>
  <si>
    <t xml:space="preserve">Premium written</t>
  </si>
  <si>
    <t xml:space="preserve">Commission revenue credited</t>
  </si>
  <si>
    <t xml:space="preserve">Compensation paid</t>
  </si>
  <si>
    <t xml:space="preserve">Hours on prospecting</t>
  </si>
  <si>
    <t xml:space="preserve">Revenue per policy</t>
  </si>
  <si>
    <t xml:space="preserve">Compensation ratio %</t>
  </si>
  <si>
    <t xml:space="preserve">New-business commission at Settings % (check)</t>
  </si>
  <si>
    <t xml:space="preserve">Credited − check</t>
  </si>
  <si>
    <t xml:space="preserve">Compensation ratio vs target (points)</t>
  </si>
  <si>
    <t xml:space="preserve">A. Rivera</t>
  </si>
  <si>
    <t xml:space="preserve">active</t>
  </si>
  <si>
    <t xml:space="preserve">B. Cole</t>
  </si>
  <si>
    <t xml:space="preserve">C. Park</t>
  </si>
  <si>
    <t xml:space="preserve">D. Shah</t>
  </si>
  <si>
    <t xml:space="preserve">E. Grant</t>
  </si>
  <si>
    <t xml:space="preserve">left</t>
  </si>
  <si>
    <t xml:space="preserve">Per-producer average</t>
  </si>
  <si>
    <t xml:space="preserve">Acquisition</t>
  </si>
  <si>
    <t xml:space="preserve">One row per month. Producer hours default from Producers ÷ 12; commission per policy defaults from the Settings % on the book's average premium. Type your own to override them.</t>
  </si>
  <si>
    <t xml:space="preserve">Month</t>
  </si>
  <si>
    <t xml:space="preserve">Marketing spend</t>
  </si>
  <si>
    <t xml:space="preserve">Lead costs</t>
  </si>
  <si>
    <t xml:space="preserve">Default producer hours (Producers ÷ 12)</t>
  </si>
  <si>
    <t xml:space="preserve">or type your own hours</t>
  </si>
  <si>
    <t xml:space="preserve">Producer hours used</t>
  </si>
  <si>
    <t xml:space="preserve">Policies written</t>
  </si>
  <si>
    <t xml:space="preserve">Default first-year commission per policy</t>
  </si>
  <si>
    <t xml:space="preserve">or type your own first-year</t>
  </si>
  <si>
    <t xml:space="preserve">First-year commission used</t>
  </si>
  <si>
    <t xml:space="preserve">Default renewal commission per policy</t>
  </si>
  <si>
    <t xml:space="preserve">or type your own renewal</t>
  </si>
  <si>
    <t xml:space="preserve">Renewal commission used</t>
  </si>
  <si>
    <t xml:space="preserve">Total acquisition cost</t>
  </si>
  <si>
    <t xml:space="preserve">Cost per policy</t>
  </si>
  <si>
    <t xml:space="preserve">Lifetime commission per policy</t>
  </si>
  <si>
    <t xml:space="preserve">Value-to-cost ratio</t>
  </si>
  <si>
    <t xml:space="preserve">Payback policies</t>
  </si>
  <si>
    <t xml:space="preserve">Jan</t>
  </si>
  <si>
    <t xml:space="preserve">Feb</t>
  </si>
  <si>
    <t xml:space="preserve">Mar</t>
  </si>
  <si>
    <t xml:space="preserve">Apr</t>
  </si>
  <si>
    <t xml:space="preserve">May</t>
  </si>
  <si>
    <t xml:space="preserve">Jun</t>
  </si>
  <si>
    <t xml:space="preserve">Commission Splits</t>
  </si>
  <si>
    <t xml:space="preserve">One row per policy or client. Agent split % and agency fee default from Settings; type your own to override them. The carrier commission % is the one in your carrier contract for this policy.</t>
  </si>
  <si>
    <t xml:space="preserve">Policy or client</t>
  </si>
  <si>
    <t xml:space="preserve">Premium</t>
  </si>
  <si>
    <t xml:space="preserve">Carrier commission %</t>
  </si>
  <si>
    <t xml:space="preserve">Default agent split % (Settings)</t>
  </si>
  <si>
    <t xml:space="preserve">or type your own split %</t>
  </si>
  <si>
    <t xml:space="preserve">Agent split % used</t>
  </si>
  <si>
    <t xml:space="preserve">Default agency fee (Settings)</t>
  </si>
  <si>
    <t xml:space="preserve">or type your own fee</t>
  </si>
  <si>
    <t xml:space="preserve">Agency fee used</t>
  </si>
  <si>
    <t xml:space="preserve">Gross commission</t>
  </si>
  <si>
    <t xml:space="preserve">Agent share</t>
  </si>
  <si>
    <t xml:space="preserve">Agency share</t>
  </si>
  <si>
    <t xml:space="preserve">Agent net after fee</t>
  </si>
  <si>
    <t xml:space="preserve">Agent effective % of premium</t>
  </si>
  <si>
    <t xml:space="preserve">Agency net</t>
  </si>
  <si>
    <t xml:space="preserve">Miller auto</t>
  </si>
  <si>
    <t xml:space="preserve">Lopez home</t>
  </si>
  <si>
    <t xml:space="preserve">Harbor Cafe BOP</t>
  </si>
  <si>
    <t xml:space="preserve">Nguyen life</t>
  </si>
  <si>
    <t xml:space="preserve">Patel auto</t>
  </si>
  <si>
    <t xml:space="preserve">Okafor home</t>
  </si>
  <si>
    <t xml:space="preserve">Summit Builders GL</t>
  </si>
  <si>
    <t xml:space="preserve">Reyes umbrella</t>
  </si>
  <si>
    <t xml:space="preserve">Kim health</t>
  </si>
  <si>
    <t xml:space="preserve">Baker auto</t>
  </si>
  <si>
    <t xml:space="preserve">PER-PRODUCER TOTALS</t>
  </si>
  <si>
    <t xml:space="preserve">Policies</t>
  </si>
  <si>
    <t xml:space="preserve">Summary</t>
  </si>
  <si>
    <t xml:space="preserve">Book by Line totals: start − lost + new</t>
  </si>
  <si>
    <t xml:space="preserve">Book by Line totals: (start − lost) ÷ start</t>
  </si>
  <si>
    <t xml:space="preserve">Target retention % (your own)</t>
  </si>
  <si>
    <t xml:space="preserve">from Settings: your own placeholder, not a benchmark</t>
  </si>
  <si>
    <t xml:space="preserve">negative = below your own target</t>
  </si>
  <si>
    <t xml:space="preserve">Annual renewal commission on the retained book</t>
  </si>
  <si>
    <t xml:space="preserve">retained policies × average premium × renewal %</t>
  </si>
  <si>
    <t xml:space="preserve">lost policies × average premium × renewal %</t>
  </si>
  <si>
    <t xml:space="preserve">Lines below target retention</t>
  </si>
  <si>
    <t xml:space="preserve">Book by Line rows with retention below your target</t>
  </si>
  <si>
    <t xml:space="preserve">Agency commission revenue</t>
  </si>
  <si>
    <t xml:space="preserve">Book by Line: renewal commission + new-business commission</t>
  </si>
  <si>
    <t xml:space="preserve">names on the Producers sheet</t>
  </si>
  <si>
    <t xml:space="preserve">Revenue per producer</t>
  </si>
  <si>
    <t xml:space="preserve">agency commission revenue ÷ producers</t>
  </si>
  <si>
    <t xml:space="preserve">Revenue per employee</t>
  </si>
  <si>
    <t xml:space="preserve">agency commission revenue ÷ (producers + support staff)</t>
  </si>
  <si>
    <t xml:space="preserve">Producers totals: compensation paid ÷ commission revenue credited</t>
  </si>
  <si>
    <t xml:space="preserve">positive = above your own target</t>
  </si>
  <si>
    <t xml:space="preserve">Acquisition cost year to date</t>
  </si>
  <si>
    <t xml:space="preserve">Acquisition totals: marketing + leads + producer time</t>
  </si>
  <si>
    <t xml:space="preserve">Cost per policy acquired</t>
  </si>
  <si>
    <t xml:space="preserve">Acquisition totals: cost ÷ policies written</t>
  </si>
  <si>
    <t xml:space="preserve">first-year + renewals over the Settings years at book retention</t>
  </si>
  <si>
    <t xml:space="preserve">lifetime commission per policy ÷ cost per policy</t>
  </si>
  <si>
    <t xml:space="preserve">Best line by net growth</t>
  </si>
  <si>
    <t xml:space="preserve">highest net growth % on Book by Line</t>
  </si>
  <si>
    <t xml:space="preserve">Its net growth %</t>
  </si>
  <si>
    <t xml:space="preserve">policies at end vs start</t>
  </si>
  <si>
    <t xml:space="preserve">Best producer by commission revenue</t>
  </si>
  <si>
    <t xml:space="preserve">highest commission revenue credited on Producers</t>
  </si>
  <si>
    <t xml:space="preserve">Their commission revenue</t>
  </si>
  <si>
    <t xml:space="preserve">commission revenue credited</t>
  </si>
  <si>
    <t xml:space="preserve">Total agent net from splits</t>
  </si>
  <si>
    <t xml:space="preserve">Commission Splits totals: agent share − agency fees</t>
  </si>
  <si>
    <t xml:space="preserve">Total agency net from splits</t>
  </si>
  <si>
    <t xml:space="preserve">Commission Splits totals: agency share + agency fees</t>
  </si>
</sst>
</file>

<file path=xl/styles.xml><?xml version="1.0" encoding="utf-8"?>
<styleSheet xmlns="http://schemas.openxmlformats.org/spreadsheetml/2006/main">
  <numFmts count="7">
    <numFmt numFmtId="164" formatCode="General"/>
    <numFmt numFmtId="165" formatCode="0.00\%"/>
    <numFmt numFmtId="166" formatCode="#,##0.00;\(#,##0.00\);\-"/>
    <numFmt numFmtId="167" formatCode="0"/>
    <numFmt numFmtId="168" formatCode="0.0"/>
    <numFmt numFmtId="169" formatCode="0&quot; producers&quot;"/>
    <numFmt numFmtId="170" formatCode="0.00\x"/>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row r="26" customFormat="false" ht="15" hidden="false" customHeight="false" outlineLevel="0" collapsed="false">
      <c r="A26" s="4" t="s">
        <v>22</v>
      </c>
    </row>
    <row r="27" customFormat="false" ht="15" hidden="false" customHeight="false" outlineLevel="0" collapsed="false">
      <c r="A27"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90"/>
  </cols>
  <sheetData>
    <row r="1" customFormat="false" ht="17.35" hidden="false" customHeight="false" outlineLevel="0" collapsed="false">
      <c r="A1" s="2" t="s">
        <v>24</v>
      </c>
    </row>
    <row r="2" customFormat="false" ht="15" hidden="false" customHeight="false" outlineLevel="0" collapsed="false">
      <c r="A2" s="4" t="s">
        <v>25</v>
      </c>
      <c r="B2" s="6" t="n">
        <v>15</v>
      </c>
      <c r="C2" s="3" t="s">
        <v>26</v>
      </c>
    </row>
    <row r="3" customFormat="false" ht="15" hidden="false" customHeight="false" outlineLevel="0" collapsed="false">
      <c r="A3" s="4" t="s">
        <v>27</v>
      </c>
      <c r="B3" s="6" t="n">
        <v>10</v>
      </c>
      <c r="C3" s="3" t="s">
        <v>28</v>
      </c>
    </row>
    <row r="4" customFormat="false" ht="15" hidden="false" customHeight="false" outlineLevel="0" collapsed="false">
      <c r="A4" s="4" t="s">
        <v>29</v>
      </c>
      <c r="B4" s="6" t="n">
        <v>60</v>
      </c>
      <c r="C4" s="3" t="s">
        <v>30</v>
      </c>
    </row>
    <row r="5" customFormat="false" ht="15" hidden="false" customHeight="false" outlineLevel="0" collapsed="false">
      <c r="A5" s="4" t="s">
        <v>31</v>
      </c>
      <c r="B5" s="7" t="n">
        <v>10</v>
      </c>
      <c r="C5" s="3" t="s">
        <v>32</v>
      </c>
    </row>
    <row r="6" customFormat="false" ht="15" hidden="false" customHeight="false" outlineLevel="0" collapsed="false">
      <c r="A6" s="4" t="s">
        <v>33</v>
      </c>
      <c r="B6" s="6" t="n">
        <v>90</v>
      </c>
      <c r="C6" s="3" t="s">
        <v>34</v>
      </c>
    </row>
    <row r="7" customFormat="false" ht="15" hidden="false" customHeight="false" outlineLevel="0" collapsed="false">
      <c r="A7" s="4" t="s">
        <v>35</v>
      </c>
      <c r="B7" s="6" t="n">
        <v>35</v>
      </c>
      <c r="C7" s="3" t="s">
        <v>36</v>
      </c>
    </row>
    <row r="8" customFormat="false" ht="15" hidden="false" customHeight="false" outlineLevel="0" collapsed="false">
      <c r="A8" s="4" t="s">
        <v>37</v>
      </c>
      <c r="B8" s="7" t="n">
        <v>45</v>
      </c>
      <c r="C8" s="3" t="s">
        <v>38</v>
      </c>
    </row>
    <row r="9" customFormat="false" ht="15" hidden="false" customHeight="false" outlineLevel="0" collapsed="false">
      <c r="A9" s="4" t="s">
        <v>39</v>
      </c>
      <c r="B9" s="8" t="n">
        <v>3</v>
      </c>
      <c r="C9" s="3" t="s">
        <v>40</v>
      </c>
    </row>
    <row r="10" customFormat="false" ht="15" hidden="false" customHeight="false" outlineLevel="0" collapsed="false">
      <c r="A10" s="4" t="s">
        <v>41</v>
      </c>
      <c r="B10" s="9" t="n">
        <v>3</v>
      </c>
      <c r="C10" s="3" t="s">
        <v>42</v>
      </c>
    </row>
    <row r="11" customFormat="false" ht="15" hidden="false" customHeight="false" outlineLevel="0" collapsed="false">
      <c r="A11" s="5" t="s">
        <v>43</v>
      </c>
      <c r="B11" s="10" t="n">
        <f aca="false">COUNTA(Producers!A5:A16)</f>
        <v>5</v>
      </c>
      <c r="C11" s="3" t="s">
        <v>44</v>
      </c>
    </row>
    <row r="12" customFormat="false" ht="15" hidden="false" customHeight="false" outlineLevel="0" collapsed="false">
      <c r="A12" s="5" t="s">
        <v>45</v>
      </c>
      <c r="B12" s="10" t="n">
        <f aca="false">B11+B10</f>
        <v>8</v>
      </c>
      <c r="C12" s="3" t="s">
        <v>46</v>
      </c>
    </row>
    <row r="13" customFormat="false" ht="15" hidden="false" customHeight="false" outlineLevel="0" collapsed="false">
      <c r="A13" s="5" t="s">
        <v>47</v>
      </c>
      <c r="B13" s="10" t="n">
        <f aca="false">'Book by Line'!L17</f>
        <v>1132</v>
      </c>
      <c r="C13" s="3" t="s">
        <v>48</v>
      </c>
    </row>
    <row r="14" customFormat="false" ht="15" hidden="false" customHeight="false" outlineLevel="0" collapsed="false">
      <c r="A14" s="5" t="s">
        <v>49</v>
      </c>
      <c r="B14" s="11" t="n">
        <f aca="false">'Book by Line'!P17</f>
        <v>164761</v>
      </c>
      <c r="C14" s="3" t="s">
        <v>50</v>
      </c>
    </row>
    <row r="15" customFormat="false" ht="15" hidden="false" customHeight="false" outlineLevel="0" collapsed="false">
      <c r="A15" s="5" t="s">
        <v>51</v>
      </c>
      <c r="B15" s="12" t="n">
        <f aca="false">'Book by Line'!M17</f>
        <v>91.12</v>
      </c>
      <c r="C15" s="3" t="s">
        <v>52</v>
      </c>
    </row>
  </sheetData>
  <dataValidations count="1">
    <dataValidation allowBlank="false" errorStyle="stop" operator="between" showDropDown="false" showErrorMessage="false" showInputMessage="false" sqref="B9"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4" min="3" style="1" width="9"/>
    <col collapsed="false" customWidth="true" hidden="false" outlineLevel="0" max="6" min="5" style="1" width="11"/>
    <col collapsed="false" customWidth="true" hidden="false" outlineLevel="0" max="7" min="7" style="1" width="10"/>
    <col collapsed="false" customWidth="true" hidden="false" outlineLevel="0" max="8" min="8" style="1" width="9"/>
    <col collapsed="false" customWidth="true" hidden="false" outlineLevel="0" max="9" min="9" style="1" width="11"/>
    <col collapsed="false" customWidth="true" hidden="false" outlineLevel="0" max="10" min="10" style="1" width="10"/>
    <col collapsed="false" customWidth="true" hidden="false" outlineLevel="0" max="15" min="11" style="1" width="9"/>
    <col collapsed="false" customWidth="true" hidden="false" outlineLevel="0" max="16" min="16" style="1" width="13"/>
    <col collapsed="false" customWidth="true" hidden="false" outlineLevel="0" max="18" min="17" style="1" width="12"/>
    <col collapsed="false" customWidth="true" hidden="false" outlineLevel="0" max="19" min="19" style="1" width="11"/>
  </cols>
  <sheetData>
    <row r="1" customFormat="false" ht="17.35" hidden="false" customHeight="false" outlineLevel="0" collapsed="false">
      <c r="A1" s="2" t="s">
        <v>53</v>
      </c>
    </row>
    <row r="2" customFormat="false" ht="15" hidden="false" customHeight="false" outlineLevel="0" collapsed="false">
      <c r="A2" s="3" t="s">
        <v>54</v>
      </c>
    </row>
    <row r="4" customFormat="false" ht="77.6" hidden="false" customHeight="false" outlineLevel="0" collapsed="false">
      <c r="A4" s="13" t="s">
        <v>55</v>
      </c>
      <c r="B4" s="13" t="s">
        <v>56</v>
      </c>
      <c r="C4" s="13" t="s">
        <v>57</v>
      </c>
      <c r="D4" s="13" t="s">
        <v>58</v>
      </c>
      <c r="E4" s="13" t="s">
        <v>59</v>
      </c>
      <c r="F4" s="13" t="s">
        <v>60</v>
      </c>
      <c r="G4" s="13" t="s">
        <v>61</v>
      </c>
      <c r="H4" s="13" t="s">
        <v>62</v>
      </c>
      <c r="I4" s="13" t="s">
        <v>63</v>
      </c>
      <c r="J4" s="13" t="s">
        <v>64</v>
      </c>
      <c r="K4" s="13" t="s">
        <v>65</v>
      </c>
      <c r="L4" s="13" t="s">
        <v>66</v>
      </c>
      <c r="M4" s="13" t="s">
        <v>67</v>
      </c>
      <c r="N4" s="13" t="s">
        <v>68</v>
      </c>
      <c r="O4" s="13" t="s">
        <v>69</v>
      </c>
      <c r="P4" s="13" t="s">
        <v>70</v>
      </c>
      <c r="Q4" s="13" t="s">
        <v>71</v>
      </c>
      <c r="R4" s="13" t="s">
        <v>72</v>
      </c>
      <c r="S4" s="13" t="s">
        <v>73</v>
      </c>
    </row>
    <row r="5" customFormat="false" ht="15" hidden="false" customHeight="false" outlineLevel="0" collapsed="false">
      <c r="A5" s="14" t="s">
        <v>74</v>
      </c>
      <c r="B5" s="8" t="n">
        <v>420</v>
      </c>
      <c r="C5" s="8" t="n">
        <v>46</v>
      </c>
      <c r="D5" s="8" t="n">
        <v>70</v>
      </c>
      <c r="E5" s="15" t="n">
        <v>1400</v>
      </c>
      <c r="F5" s="16" t="n">
        <f aca="false">IF(A5="","",Settings!$B$3)</f>
        <v>10</v>
      </c>
      <c r="G5" s="17"/>
      <c r="H5" s="16" t="n">
        <f aca="false">IF(A5="","",IF(G5&lt;&gt;"",G5,F5))</f>
        <v>10</v>
      </c>
      <c r="I5" s="16" t="n">
        <f aca="false">IF(A5="","",Settings!$B$2)</f>
        <v>15</v>
      </c>
      <c r="J5" s="17"/>
      <c r="K5" s="16" t="n">
        <f aca="false">IF(A5="","",IF(J5&lt;&gt;"",J5,I5))</f>
        <v>15</v>
      </c>
      <c r="L5" s="18" t="n">
        <f aca="false">IF(A5="","",B5-C5+D5)</f>
        <v>444</v>
      </c>
      <c r="M5" s="16" t="n">
        <f aca="false">IF(A5="","",IFERROR(ROUND((B5-C5)/B5*100,2),0))</f>
        <v>89.05</v>
      </c>
      <c r="N5" s="16" t="n">
        <f aca="false">IF(A5="","",IFERROR(ROUND(C5/B5*100,2),0))</f>
        <v>10.95</v>
      </c>
      <c r="O5" s="16" t="n">
        <f aca="false">IF(A5="","",IFERROR(ROUND((L5-B5)/B5*100,2),0))</f>
        <v>5.71</v>
      </c>
      <c r="P5" s="19" t="n">
        <f aca="false">IF(A5="","",ROUND((B5-C5)*E5*H5/100,2))</f>
        <v>52360</v>
      </c>
      <c r="Q5" s="19" t="n">
        <f aca="false">IF(A5="","",ROUND(D5*E5*K5/100,2))</f>
        <v>14700</v>
      </c>
      <c r="R5" s="19" t="n">
        <f aca="false">IF(A5="","",ROUND(C5*E5*H5/100,2))</f>
        <v>6440</v>
      </c>
      <c r="S5" s="16" t="n">
        <f aca="false">IF(A5="","",ROUND(M5-Settings!$B$6,2))</f>
        <v>-0.95</v>
      </c>
    </row>
    <row r="6" customFormat="false" ht="15" hidden="false" customHeight="false" outlineLevel="0" collapsed="false">
      <c r="A6" s="14" t="s">
        <v>75</v>
      </c>
      <c r="B6" s="8" t="n">
        <v>310</v>
      </c>
      <c r="C6" s="8" t="n">
        <v>25</v>
      </c>
      <c r="D6" s="8" t="n">
        <v>40</v>
      </c>
      <c r="E6" s="15" t="n">
        <v>1600</v>
      </c>
      <c r="F6" s="16" t="n">
        <f aca="false">IF(A6="","",Settings!$B$3)</f>
        <v>10</v>
      </c>
      <c r="G6" s="17"/>
      <c r="H6" s="16" t="n">
        <f aca="false">IF(A6="","",IF(G6&lt;&gt;"",G6,F6))</f>
        <v>10</v>
      </c>
      <c r="I6" s="16" t="n">
        <f aca="false">IF(A6="","",Settings!$B$2)</f>
        <v>15</v>
      </c>
      <c r="J6" s="17"/>
      <c r="K6" s="16" t="n">
        <f aca="false">IF(A6="","",IF(J6&lt;&gt;"",J6,I6))</f>
        <v>15</v>
      </c>
      <c r="L6" s="18" t="n">
        <f aca="false">IF(A6="","",B6-C6+D6)</f>
        <v>325</v>
      </c>
      <c r="M6" s="16" t="n">
        <f aca="false">IF(A6="","",IFERROR(ROUND((B6-C6)/B6*100,2),0))</f>
        <v>91.94</v>
      </c>
      <c r="N6" s="16" t="n">
        <f aca="false">IF(A6="","",IFERROR(ROUND(C6/B6*100,2),0))</f>
        <v>8.06</v>
      </c>
      <c r="O6" s="16" t="n">
        <f aca="false">IF(A6="","",IFERROR(ROUND((L6-B6)/B6*100,2),0))</f>
        <v>4.84</v>
      </c>
      <c r="P6" s="19" t="n">
        <f aca="false">IF(A6="","",ROUND((B6-C6)*E6*H6/100,2))</f>
        <v>45600</v>
      </c>
      <c r="Q6" s="19" t="n">
        <f aca="false">IF(A6="","",ROUND(D6*E6*K6/100,2))</f>
        <v>9600</v>
      </c>
      <c r="R6" s="19" t="n">
        <f aca="false">IF(A6="","",ROUND(C6*E6*H6/100,2))</f>
        <v>4000</v>
      </c>
      <c r="S6" s="16" t="n">
        <f aca="false">IF(A6="","",ROUND(M6-Settings!$B$6,2))</f>
        <v>1.94</v>
      </c>
    </row>
    <row r="7" customFormat="false" ht="15" hidden="false" customHeight="false" outlineLevel="0" collapsed="false">
      <c r="A7" s="14" t="s">
        <v>76</v>
      </c>
      <c r="B7" s="8" t="n">
        <v>85</v>
      </c>
      <c r="C7" s="8" t="n">
        <v>6</v>
      </c>
      <c r="D7" s="8" t="n">
        <v>12</v>
      </c>
      <c r="E7" s="15" t="n">
        <v>5200</v>
      </c>
      <c r="F7" s="16" t="n">
        <f aca="false">IF(A7="","",Settings!$B$3)</f>
        <v>10</v>
      </c>
      <c r="G7" s="17" t="n">
        <v>12</v>
      </c>
      <c r="H7" s="16" t="n">
        <f aca="false">IF(A7="","",IF(G7&lt;&gt;"",G7,F7))</f>
        <v>12</v>
      </c>
      <c r="I7" s="16" t="n">
        <f aca="false">IF(A7="","",Settings!$B$2)</f>
        <v>15</v>
      </c>
      <c r="J7" s="17"/>
      <c r="K7" s="16" t="n">
        <f aca="false">IF(A7="","",IF(J7&lt;&gt;"",J7,I7))</f>
        <v>15</v>
      </c>
      <c r="L7" s="18" t="n">
        <f aca="false">IF(A7="","",B7-C7+D7)</f>
        <v>91</v>
      </c>
      <c r="M7" s="16" t="n">
        <f aca="false">IF(A7="","",IFERROR(ROUND((B7-C7)/B7*100,2),0))</f>
        <v>92.94</v>
      </c>
      <c r="N7" s="16" t="n">
        <f aca="false">IF(A7="","",IFERROR(ROUND(C7/B7*100,2),0))</f>
        <v>7.06</v>
      </c>
      <c r="O7" s="16" t="n">
        <f aca="false">IF(A7="","",IFERROR(ROUND((L7-B7)/B7*100,2),0))</f>
        <v>7.06</v>
      </c>
      <c r="P7" s="19" t="n">
        <f aca="false">IF(A7="","",ROUND((B7-C7)*E7*H7/100,2))</f>
        <v>49296</v>
      </c>
      <c r="Q7" s="19" t="n">
        <f aca="false">IF(A7="","",ROUND(D7*E7*K7/100,2))</f>
        <v>9360</v>
      </c>
      <c r="R7" s="19" t="n">
        <f aca="false">IF(A7="","",ROUND(C7*E7*H7/100,2))</f>
        <v>3744</v>
      </c>
      <c r="S7" s="16" t="n">
        <f aca="false">IF(A7="","",ROUND(M7-Settings!$B$6,2))</f>
        <v>2.94</v>
      </c>
    </row>
    <row r="8" customFormat="false" ht="15" hidden="false" customHeight="false" outlineLevel="0" collapsed="false">
      <c r="A8" s="14" t="s">
        <v>77</v>
      </c>
      <c r="B8" s="8" t="n">
        <v>120</v>
      </c>
      <c r="C8" s="8" t="n">
        <v>5</v>
      </c>
      <c r="D8" s="8" t="n">
        <v>15</v>
      </c>
      <c r="E8" s="15" t="n">
        <v>900</v>
      </c>
      <c r="F8" s="16" t="n">
        <f aca="false">IF(A8="","",Settings!$B$3)</f>
        <v>10</v>
      </c>
      <c r="G8" s="17" t="n">
        <v>2</v>
      </c>
      <c r="H8" s="16" t="n">
        <f aca="false">IF(A8="","",IF(G8&lt;&gt;"",G8,F8))</f>
        <v>2</v>
      </c>
      <c r="I8" s="16" t="n">
        <f aca="false">IF(A8="","",Settings!$B$2)</f>
        <v>15</v>
      </c>
      <c r="J8" s="17" t="n">
        <v>50</v>
      </c>
      <c r="K8" s="16" t="n">
        <f aca="false">IF(A8="","",IF(J8&lt;&gt;"",J8,I8))</f>
        <v>50</v>
      </c>
      <c r="L8" s="18" t="n">
        <f aca="false">IF(A8="","",B8-C8+D8)</f>
        <v>130</v>
      </c>
      <c r="M8" s="16" t="n">
        <f aca="false">IF(A8="","",IFERROR(ROUND((B8-C8)/B8*100,2),0))</f>
        <v>95.83</v>
      </c>
      <c r="N8" s="16" t="n">
        <f aca="false">IF(A8="","",IFERROR(ROUND(C8/B8*100,2),0))</f>
        <v>4.17</v>
      </c>
      <c r="O8" s="16" t="n">
        <f aca="false">IF(A8="","",IFERROR(ROUND((L8-B8)/B8*100,2),0))</f>
        <v>8.33</v>
      </c>
      <c r="P8" s="19" t="n">
        <f aca="false">IF(A8="","",ROUND((B8-C8)*E8*H8/100,2))</f>
        <v>2070</v>
      </c>
      <c r="Q8" s="19" t="n">
        <f aca="false">IF(A8="","",ROUND(D8*E8*K8/100,2))</f>
        <v>6750</v>
      </c>
      <c r="R8" s="19" t="n">
        <f aca="false">IF(A8="","",ROUND(C8*E8*H8/100,2))</f>
        <v>90</v>
      </c>
      <c r="S8" s="16" t="n">
        <f aca="false">IF(A8="","",ROUND(M8-Settings!$B$6,2))</f>
        <v>5.83</v>
      </c>
    </row>
    <row r="9" customFormat="false" ht="15" hidden="false" customHeight="false" outlineLevel="0" collapsed="false">
      <c r="A9" s="14" t="s">
        <v>78</v>
      </c>
      <c r="B9" s="8" t="n">
        <v>60</v>
      </c>
      <c r="C9" s="8" t="n">
        <v>9</v>
      </c>
      <c r="D9" s="8" t="n">
        <v>10</v>
      </c>
      <c r="E9" s="15" t="n">
        <v>2400</v>
      </c>
      <c r="F9" s="16" t="n">
        <f aca="false">IF(A9="","",Settings!$B$3)</f>
        <v>10</v>
      </c>
      <c r="G9" s="17"/>
      <c r="H9" s="16" t="n">
        <f aca="false">IF(A9="","",IF(G9&lt;&gt;"",G9,F9))</f>
        <v>10</v>
      </c>
      <c r="I9" s="16" t="n">
        <f aca="false">IF(A9="","",Settings!$B$2)</f>
        <v>15</v>
      </c>
      <c r="J9" s="17"/>
      <c r="K9" s="16" t="n">
        <f aca="false">IF(A9="","",IF(J9&lt;&gt;"",J9,I9))</f>
        <v>15</v>
      </c>
      <c r="L9" s="18" t="n">
        <f aca="false">IF(A9="","",B9-C9+D9)</f>
        <v>61</v>
      </c>
      <c r="M9" s="16" t="n">
        <f aca="false">IF(A9="","",IFERROR(ROUND((B9-C9)/B9*100,2),0))</f>
        <v>85</v>
      </c>
      <c r="N9" s="16" t="n">
        <f aca="false">IF(A9="","",IFERROR(ROUND(C9/B9*100,2),0))</f>
        <v>15</v>
      </c>
      <c r="O9" s="16" t="n">
        <f aca="false">IF(A9="","",IFERROR(ROUND((L9-B9)/B9*100,2),0))</f>
        <v>1.67</v>
      </c>
      <c r="P9" s="19" t="n">
        <f aca="false">IF(A9="","",ROUND((B9-C9)*E9*H9/100,2))</f>
        <v>12240</v>
      </c>
      <c r="Q9" s="19" t="n">
        <f aca="false">IF(A9="","",ROUND(D9*E9*K9/100,2))</f>
        <v>3600</v>
      </c>
      <c r="R9" s="19" t="n">
        <f aca="false">IF(A9="","",ROUND(C9*E9*H9/100,2))</f>
        <v>2160</v>
      </c>
      <c r="S9" s="16" t="n">
        <f aca="false">IF(A9="","",ROUND(M9-Settings!$B$6,2))</f>
        <v>-5</v>
      </c>
    </row>
    <row r="10" customFormat="false" ht="15" hidden="false" customHeight="false" outlineLevel="0" collapsed="false">
      <c r="A10" s="14" t="s">
        <v>79</v>
      </c>
      <c r="B10" s="8" t="n">
        <v>75</v>
      </c>
      <c r="C10" s="8" t="n">
        <v>4</v>
      </c>
      <c r="D10" s="8" t="n">
        <v>10</v>
      </c>
      <c r="E10" s="15" t="n">
        <v>450</v>
      </c>
      <c r="F10" s="16" t="n">
        <f aca="false">IF(A10="","",Settings!$B$3)</f>
        <v>10</v>
      </c>
      <c r="G10" s="17"/>
      <c r="H10" s="16" t="n">
        <f aca="false">IF(A10="","",IF(G10&lt;&gt;"",G10,F10))</f>
        <v>10</v>
      </c>
      <c r="I10" s="16" t="n">
        <f aca="false">IF(A10="","",Settings!$B$2)</f>
        <v>15</v>
      </c>
      <c r="J10" s="17"/>
      <c r="K10" s="16" t="n">
        <f aca="false">IF(A10="","",IF(J10&lt;&gt;"",J10,I10))</f>
        <v>15</v>
      </c>
      <c r="L10" s="18" t="n">
        <f aca="false">IF(A10="","",B10-C10+D10)</f>
        <v>81</v>
      </c>
      <c r="M10" s="16" t="n">
        <f aca="false">IF(A10="","",IFERROR(ROUND((B10-C10)/B10*100,2),0))</f>
        <v>94.67</v>
      </c>
      <c r="N10" s="16" t="n">
        <f aca="false">IF(A10="","",IFERROR(ROUND(C10/B10*100,2),0))</f>
        <v>5.33</v>
      </c>
      <c r="O10" s="16" t="n">
        <f aca="false">IF(A10="","",IFERROR(ROUND((L10-B10)/B10*100,2),0))</f>
        <v>8</v>
      </c>
      <c r="P10" s="19" t="n">
        <f aca="false">IF(A10="","",ROUND((B10-C10)*E10*H10/100,2))</f>
        <v>3195</v>
      </c>
      <c r="Q10" s="19" t="n">
        <f aca="false">IF(A10="","",ROUND(D10*E10*K10/100,2))</f>
        <v>675</v>
      </c>
      <c r="R10" s="19" t="n">
        <f aca="false">IF(A10="","",ROUND(C10*E10*H10/100,2))</f>
        <v>180</v>
      </c>
      <c r="S10" s="16" t="n">
        <f aca="false">IF(A10="","",ROUND(M10-Settings!$B$6,2))</f>
        <v>4.67</v>
      </c>
    </row>
    <row r="11" customFormat="false" ht="15" hidden="false" customHeight="false" outlineLevel="0" collapsed="false">
      <c r="A11" s="14"/>
      <c r="B11" s="9"/>
      <c r="C11" s="9"/>
      <c r="D11" s="9"/>
      <c r="E11" s="7"/>
      <c r="F11" s="16" t="str">
        <f aca="false">IF(A11="","",Settings!$B$3)</f>
        <v/>
      </c>
      <c r="G11" s="17"/>
      <c r="H11" s="16" t="str">
        <f aca="false">IF(A11="","",IF(G11&lt;&gt;"",G11,F11))</f>
        <v/>
      </c>
      <c r="I11" s="16" t="str">
        <f aca="false">IF(A11="","",Settings!$B$2)</f>
        <v/>
      </c>
      <c r="J11" s="17"/>
      <c r="K11" s="16" t="str">
        <f aca="false">IF(A11="","",IF(J11&lt;&gt;"",J11,I11))</f>
        <v/>
      </c>
      <c r="L11" s="18" t="str">
        <f aca="false">IF(A11="","",B11-C11+D11)</f>
        <v/>
      </c>
      <c r="M11" s="16" t="str">
        <f aca="false">IF(A11="","",IFERROR(ROUND((B11-C11)/B11*100,2),0))</f>
        <v/>
      </c>
      <c r="N11" s="16" t="str">
        <f aca="false">IF(A11="","",IFERROR(ROUND(C11/B11*100,2),0))</f>
        <v/>
      </c>
      <c r="O11" s="16" t="str">
        <f aca="false">IF(A11="","",IFERROR(ROUND((L11-B11)/B11*100,2),0))</f>
        <v/>
      </c>
      <c r="P11" s="19" t="str">
        <f aca="false">IF(A11="","",ROUND((B11-C11)*E11*H11/100,2))</f>
        <v/>
      </c>
      <c r="Q11" s="19" t="str">
        <f aca="false">IF(A11="","",ROUND(D11*E11*K11/100,2))</f>
        <v/>
      </c>
      <c r="R11" s="19" t="str">
        <f aca="false">IF(A11="","",ROUND(C11*E11*H11/100,2))</f>
        <v/>
      </c>
      <c r="S11" s="16" t="str">
        <f aca="false">IF(A11="","",ROUND(M11-Settings!$B$6,2))</f>
        <v/>
      </c>
    </row>
    <row r="12" customFormat="false" ht="15" hidden="false" customHeight="false" outlineLevel="0" collapsed="false">
      <c r="A12" s="14"/>
      <c r="B12" s="9"/>
      <c r="C12" s="9"/>
      <c r="D12" s="9"/>
      <c r="E12" s="7"/>
      <c r="F12" s="16" t="str">
        <f aca="false">IF(A12="","",Settings!$B$3)</f>
        <v/>
      </c>
      <c r="G12" s="17"/>
      <c r="H12" s="16" t="str">
        <f aca="false">IF(A12="","",IF(G12&lt;&gt;"",G12,F12))</f>
        <v/>
      </c>
      <c r="I12" s="16" t="str">
        <f aca="false">IF(A12="","",Settings!$B$2)</f>
        <v/>
      </c>
      <c r="J12" s="17"/>
      <c r="K12" s="16" t="str">
        <f aca="false">IF(A12="","",IF(J12&lt;&gt;"",J12,I12))</f>
        <v/>
      </c>
      <c r="L12" s="18" t="str">
        <f aca="false">IF(A12="","",B12-C12+D12)</f>
        <v/>
      </c>
      <c r="M12" s="16" t="str">
        <f aca="false">IF(A12="","",IFERROR(ROUND((B12-C12)/B12*100,2),0))</f>
        <v/>
      </c>
      <c r="N12" s="16" t="str">
        <f aca="false">IF(A12="","",IFERROR(ROUND(C12/B12*100,2),0))</f>
        <v/>
      </c>
      <c r="O12" s="16" t="str">
        <f aca="false">IF(A12="","",IFERROR(ROUND((L12-B12)/B12*100,2),0))</f>
        <v/>
      </c>
      <c r="P12" s="19" t="str">
        <f aca="false">IF(A12="","",ROUND((B12-C12)*E12*H12/100,2))</f>
        <v/>
      </c>
      <c r="Q12" s="19" t="str">
        <f aca="false">IF(A12="","",ROUND(D12*E12*K12/100,2))</f>
        <v/>
      </c>
      <c r="R12" s="19" t="str">
        <f aca="false">IF(A12="","",ROUND(C12*E12*H12/100,2))</f>
        <v/>
      </c>
      <c r="S12" s="16" t="str">
        <f aca="false">IF(A12="","",ROUND(M12-Settings!$B$6,2))</f>
        <v/>
      </c>
    </row>
    <row r="13" customFormat="false" ht="15" hidden="false" customHeight="false" outlineLevel="0" collapsed="false">
      <c r="A13" s="14"/>
      <c r="B13" s="9"/>
      <c r="C13" s="9"/>
      <c r="D13" s="9"/>
      <c r="E13" s="7"/>
      <c r="F13" s="16" t="str">
        <f aca="false">IF(A13="","",Settings!$B$3)</f>
        <v/>
      </c>
      <c r="G13" s="17"/>
      <c r="H13" s="16" t="str">
        <f aca="false">IF(A13="","",IF(G13&lt;&gt;"",G13,F13))</f>
        <v/>
      </c>
      <c r="I13" s="16" t="str">
        <f aca="false">IF(A13="","",Settings!$B$2)</f>
        <v/>
      </c>
      <c r="J13" s="17"/>
      <c r="K13" s="16" t="str">
        <f aca="false">IF(A13="","",IF(J13&lt;&gt;"",J13,I13))</f>
        <v/>
      </c>
      <c r="L13" s="18" t="str">
        <f aca="false">IF(A13="","",B13-C13+D13)</f>
        <v/>
      </c>
      <c r="M13" s="16" t="str">
        <f aca="false">IF(A13="","",IFERROR(ROUND((B13-C13)/B13*100,2),0))</f>
        <v/>
      </c>
      <c r="N13" s="16" t="str">
        <f aca="false">IF(A13="","",IFERROR(ROUND(C13/B13*100,2),0))</f>
        <v/>
      </c>
      <c r="O13" s="16" t="str">
        <f aca="false">IF(A13="","",IFERROR(ROUND((L13-B13)/B13*100,2),0))</f>
        <v/>
      </c>
      <c r="P13" s="19" t="str">
        <f aca="false">IF(A13="","",ROUND((B13-C13)*E13*H13/100,2))</f>
        <v/>
      </c>
      <c r="Q13" s="19" t="str">
        <f aca="false">IF(A13="","",ROUND(D13*E13*K13/100,2))</f>
        <v/>
      </c>
      <c r="R13" s="19" t="str">
        <f aca="false">IF(A13="","",ROUND(C13*E13*H13/100,2))</f>
        <v/>
      </c>
      <c r="S13" s="16" t="str">
        <f aca="false">IF(A13="","",ROUND(M13-Settings!$B$6,2))</f>
        <v/>
      </c>
    </row>
    <row r="14" customFormat="false" ht="15" hidden="false" customHeight="false" outlineLevel="0" collapsed="false">
      <c r="A14" s="14"/>
      <c r="B14" s="9"/>
      <c r="C14" s="9"/>
      <c r="D14" s="9"/>
      <c r="E14" s="7"/>
      <c r="F14" s="16" t="str">
        <f aca="false">IF(A14="","",Settings!$B$3)</f>
        <v/>
      </c>
      <c r="G14" s="17"/>
      <c r="H14" s="16" t="str">
        <f aca="false">IF(A14="","",IF(G14&lt;&gt;"",G14,F14))</f>
        <v/>
      </c>
      <c r="I14" s="16" t="str">
        <f aca="false">IF(A14="","",Settings!$B$2)</f>
        <v/>
      </c>
      <c r="J14" s="17"/>
      <c r="K14" s="16" t="str">
        <f aca="false">IF(A14="","",IF(J14&lt;&gt;"",J14,I14))</f>
        <v/>
      </c>
      <c r="L14" s="18" t="str">
        <f aca="false">IF(A14="","",B14-C14+D14)</f>
        <v/>
      </c>
      <c r="M14" s="16" t="str">
        <f aca="false">IF(A14="","",IFERROR(ROUND((B14-C14)/B14*100,2),0))</f>
        <v/>
      </c>
      <c r="N14" s="16" t="str">
        <f aca="false">IF(A14="","",IFERROR(ROUND(C14/B14*100,2),0))</f>
        <v/>
      </c>
      <c r="O14" s="16" t="str">
        <f aca="false">IF(A14="","",IFERROR(ROUND((L14-B14)/B14*100,2),0))</f>
        <v/>
      </c>
      <c r="P14" s="19" t="str">
        <f aca="false">IF(A14="","",ROUND((B14-C14)*E14*H14/100,2))</f>
        <v/>
      </c>
      <c r="Q14" s="19" t="str">
        <f aca="false">IF(A14="","",ROUND(D14*E14*K14/100,2))</f>
        <v/>
      </c>
      <c r="R14" s="19" t="str">
        <f aca="false">IF(A14="","",ROUND(C14*E14*H14/100,2))</f>
        <v/>
      </c>
      <c r="S14" s="16" t="str">
        <f aca="false">IF(A14="","",ROUND(M14-Settings!$B$6,2))</f>
        <v/>
      </c>
    </row>
    <row r="15" customFormat="false" ht="15" hidden="false" customHeight="false" outlineLevel="0" collapsed="false">
      <c r="A15" s="14"/>
      <c r="B15" s="9"/>
      <c r="C15" s="9"/>
      <c r="D15" s="9"/>
      <c r="E15" s="7"/>
      <c r="F15" s="16" t="str">
        <f aca="false">IF(A15="","",Settings!$B$3)</f>
        <v/>
      </c>
      <c r="G15" s="17"/>
      <c r="H15" s="16" t="str">
        <f aca="false">IF(A15="","",IF(G15&lt;&gt;"",G15,F15))</f>
        <v/>
      </c>
      <c r="I15" s="16" t="str">
        <f aca="false">IF(A15="","",Settings!$B$2)</f>
        <v/>
      </c>
      <c r="J15" s="17"/>
      <c r="K15" s="16" t="str">
        <f aca="false">IF(A15="","",IF(J15&lt;&gt;"",J15,I15))</f>
        <v/>
      </c>
      <c r="L15" s="18" t="str">
        <f aca="false">IF(A15="","",B15-C15+D15)</f>
        <v/>
      </c>
      <c r="M15" s="16" t="str">
        <f aca="false">IF(A15="","",IFERROR(ROUND((B15-C15)/B15*100,2),0))</f>
        <v/>
      </c>
      <c r="N15" s="16" t="str">
        <f aca="false">IF(A15="","",IFERROR(ROUND(C15/B15*100,2),0))</f>
        <v/>
      </c>
      <c r="O15" s="16" t="str">
        <f aca="false">IF(A15="","",IFERROR(ROUND((L15-B15)/B15*100,2),0))</f>
        <v/>
      </c>
      <c r="P15" s="19" t="str">
        <f aca="false">IF(A15="","",ROUND((B15-C15)*E15*H15/100,2))</f>
        <v/>
      </c>
      <c r="Q15" s="19" t="str">
        <f aca="false">IF(A15="","",ROUND(D15*E15*K15/100,2))</f>
        <v/>
      </c>
      <c r="R15" s="19" t="str">
        <f aca="false">IF(A15="","",ROUND(C15*E15*H15/100,2))</f>
        <v/>
      </c>
      <c r="S15" s="16" t="str">
        <f aca="false">IF(A15="","",ROUND(M15-Settings!$B$6,2))</f>
        <v/>
      </c>
    </row>
    <row r="16" customFormat="false" ht="15" hidden="false" customHeight="false" outlineLevel="0" collapsed="false">
      <c r="A16" s="14"/>
      <c r="B16" s="9"/>
      <c r="C16" s="9"/>
      <c r="D16" s="9"/>
      <c r="E16" s="7"/>
      <c r="F16" s="16" t="str">
        <f aca="false">IF(A16="","",Settings!$B$3)</f>
        <v/>
      </c>
      <c r="G16" s="17"/>
      <c r="H16" s="16" t="str">
        <f aca="false">IF(A16="","",IF(G16&lt;&gt;"",G16,F16))</f>
        <v/>
      </c>
      <c r="I16" s="16" t="str">
        <f aca="false">IF(A16="","",Settings!$B$2)</f>
        <v/>
      </c>
      <c r="J16" s="17"/>
      <c r="K16" s="16" t="str">
        <f aca="false">IF(A16="","",IF(J16&lt;&gt;"",J16,I16))</f>
        <v/>
      </c>
      <c r="L16" s="18" t="str">
        <f aca="false">IF(A16="","",B16-C16+D16)</f>
        <v/>
      </c>
      <c r="M16" s="16" t="str">
        <f aca="false">IF(A16="","",IFERROR(ROUND((B16-C16)/B16*100,2),0))</f>
        <v/>
      </c>
      <c r="N16" s="16" t="str">
        <f aca="false">IF(A16="","",IFERROR(ROUND(C16/B16*100,2),0))</f>
        <v/>
      </c>
      <c r="O16" s="16" t="str">
        <f aca="false">IF(A16="","",IFERROR(ROUND((L16-B16)/B16*100,2),0))</f>
        <v/>
      </c>
      <c r="P16" s="19" t="str">
        <f aca="false">IF(A16="","",ROUND((B16-C16)*E16*H16/100,2))</f>
        <v/>
      </c>
      <c r="Q16" s="19" t="str">
        <f aca="false">IF(A16="","",ROUND(D16*E16*K16/100,2))</f>
        <v/>
      </c>
      <c r="R16" s="19" t="str">
        <f aca="false">IF(A16="","",ROUND(C16*E16*H16/100,2))</f>
        <v/>
      </c>
      <c r="S16" s="16" t="str">
        <f aca="false">IF(A16="","",ROUND(M16-Settings!$B$6,2))</f>
        <v/>
      </c>
    </row>
    <row r="17" customFormat="false" ht="15" hidden="false" customHeight="false" outlineLevel="0" collapsed="false">
      <c r="A17" s="5" t="s">
        <v>80</v>
      </c>
      <c r="B17" s="10" t="n">
        <f aca="false">SUM(B5:B16)</f>
        <v>1070</v>
      </c>
      <c r="C17" s="10" t="n">
        <f aca="false">SUM(C5:C16)</f>
        <v>95</v>
      </c>
      <c r="D17" s="10" t="n">
        <f aca="false">SUM(D5:D16)</f>
        <v>157</v>
      </c>
      <c r="E17" s="11" t="n">
        <f aca="false">IFERROR(ROUND(SUMPRODUCT(B5:B16,E5:E16)/B17,2),0)</f>
        <v>1693.22</v>
      </c>
      <c r="L17" s="10" t="n">
        <f aca="false">SUM(L5:L16)</f>
        <v>1132</v>
      </c>
      <c r="M17" s="12" t="n">
        <f aca="false">IFERROR(ROUND((B17-C17)/B17*100,2),0)</f>
        <v>91.12</v>
      </c>
      <c r="N17" s="12" t="n">
        <f aca="false">IFERROR(ROUND(C17/B17*100,2),0)</f>
        <v>8.88</v>
      </c>
      <c r="O17" s="12" t="n">
        <f aca="false">IFERROR(ROUND((L17-B17)/B17*100,2),0)</f>
        <v>5.79</v>
      </c>
      <c r="P17" s="11" t="n">
        <f aca="false">SUM(P5:P16)</f>
        <v>164761</v>
      </c>
      <c r="Q17" s="11" t="n">
        <f aca="false">SUM(Q5:Q16)</f>
        <v>44685</v>
      </c>
      <c r="R17" s="11" t="n">
        <f aca="false">SUM(R5:R16)</f>
        <v>16614</v>
      </c>
      <c r="S17" s="12" t="n">
        <f aca="false">ROUND(M17-Settings!$B$6,2)</f>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3" min="2" style="1" width="10"/>
    <col collapsed="false" customWidth="true" hidden="false" outlineLevel="0" max="6" min="4" style="1" width="13"/>
    <col collapsed="false" customWidth="true" hidden="false" outlineLevel="0" max="7" min="7" style="1" width="10"/>
    <col collapsed="false" customWidth="true" hidden="false" outlineLevel="0" max="9" min="8" style="1" width="11"/>
    <col collapsed="false" customWidth="true" hidden="false" outlineLevel="0" max="10" min="10" style="1" width="13"/>
    <col collapsed="false" customWidth="true" hidden="false" outlineLevel="0" max="11" min="11" style="1" width="12"/>
    <col collapsed="false" customWidth="true" hidden="false" outlineLevel="0" max="12" min="12" style="1" width="13"/>
  </cols>
  <sheetData>
    <row r="1" customFormat="false" ht="17.35" hidden="false" customHeight="false" outlineLevel="0" collapsed="false">
      <c r="A1" s="2" t="s">
        <v>43</v>
      </c>
    </row>
    <row r="2" customFormat="false" ht="15" hidden="false" customHeight="false" outlineLevel="0" collapsed="false">
      <c r="A2" s="3" t="s">
        <v>81</v>
      </c>
    </row>
    <row r="4" customFormat="false" ht="64.9" hidden="false" customHeight="false" outlineLevel="0" collapsed="false">
      <c r="A4" s="13" t="s">
        <v>82</v>
      </c>
      <c r="B4" s="13" t="s">
        <v>83</v>
      </c>
      <c r="C4" s="13" t="s">
        <v>84</v>
      </c>
      <c r="D4" s="13" t="s">
        <v>85</v>
      </c>
      <c r="E4" s="13" t="s">
        <v>86</v>
      </c>
      <c r="F4" s="13" t="s">
        <v>87</v>
      </c>
      <c r="G4" s="13" t="s">
        <v>88</v>
      </c>
      <c r="H4" s="13" t="s">
        <v>89</v>
      </c>
      <c r="I4" s="13" t="s">
        <v>90</v>
      </c>
      <c r="J4" s="13" t="s">
        <v>91</v>
      </c>
      <c r="K4" s="13" t="s">
        <v>92</v>
      </c>
      <c r="L4" s="13" t="s">
        <v>93</v>
      </c>
    </row>
    <row r="5" customFormat="false" ht="15" hidden="false" customHeight="false" outlineLevel="0" collapsed="false">
      <c r="A5" s="14" t="s">
        <v>94</v>
      </c>
      <c r="B5" s="14" t="s">
        <v>95</v>
      </c>
      <c r="C5" s="9" t="n">
        <v>140</v>
      </c>
      <c r="D5" s="7" t="n">
        <v>210000</v>
      </c>
      <c r="E5" s="15" t="n">
        <v>34000</v>
      </c>
      <c r="F5" s="15" t="n">
        <v>12000</v>
      </c>
      <c r="G5" s="20" t="n">
        <v>380</v>
      </c>
      <c r="H5" s="19" t="n">
        <f aca="false">IF(A5="","",IFERROR(ROUND(E5/C5,2),0))</f>
        <v>242.86</v>
      </c>
      <c r="I5" s="16" t="n">
        <f aca="false">IF(A5="","",IFERROR(ROUND(F5/E5*100,2),0))</f>
        <v>35.29</v>
      </c>
      <c r="J5" s="19" t="n">
        <f aca="false">IF(A5="","",ROUND(D5*Settings!$B$2/100,2))</f>
        <v>31500</v>
      </c>
      <c r="K5" s="19" t="n">
        <f aca="false">IF(A5="","",ROUND(E5-J5,2))</f>
        <v>2500</v>
      </c>
      <c r="L5" s="16" t="n">
        <f aca="false">IF(A5="","",ROUND(I5-Settings!$B$7,2))</f>
        <v>0.29</v>
      </c>
    </row>
    <row r="6" customFormat="false" ht="15" hidden="false" customHeight="false" outlineLevel="0" collapsed="false">
      <c r="A6" s="14" t="s">
        <v>96</v>
      </c>
      <c r="B6" s="14" t="s">
        <v>95</v>
      </c>
      <c r="C6" s="9" t="n">
        <v>95</v>
      </c>
      <c r="D6" s="7" t="n">
        <v>160000</v>
      </c>
      <c r="E6" s="15" t="n">
        <v>25500</v>
      </c>
      <c r="F6" s="15" t="n">
        <v>9600</v>
      </c>
      <c r="G6" s="20" t="n">
        <v>300</v>
      </c>
      <c r="H6" s="19" t="n">
        <f aca="false">IF(A6="","",IFERROR(ROUND(E6/C6,2),0))</f>
        <v>268.42</v>
      </c>
      <c r="I6" s="16" t="n">
        <f aca="false">IF(A6="","",IFERROR(ROUND(F6/E6*100,2),0))</f>
        <v>37.65</v>
      </c>
      <c r="J6" s="19" t="n">
        <f aca="false">IF(A6="","",ROUND(D6*Settings!$B$2/100,2))</f>
        <v>24000</v>
      </c>
      <c r="K6" s="19" t="n">
        <f aca="false">IF(A6="","",ROUND(E6-J6,2))</f>
        <v>1500</v>
      </c>
      <c r="L6" s="16" t="n">
        <f aca="false">IF(A6="","",ROUND(I6-Settings!$B$7,2))</f>
        <v>2.65</v>
      </c>
    </row>
    <row r="7" customFormat="false" ht="15" hidden="false" customHeight="false" outlineLevel="0" collapsed="false">
      <c r="A7" s="14" t="s">
        <v>97</v>
      </c>
      <c r="B7" s="14" t="s">
        <v>95</v>
      </c>
      <c r="C7" s="9" t="n">
        <v>120</v>
      </c>
      <c r="D7" s="7" t="n">
        <v>150000</v>
      </c>
      <c r="E7" s="15" t="n">
        <v>23000</v>
      </c>
      <c r="F7" s="15" t="n">
        <v>7800</v>
      </c>
      <c r="G7" s="20" t="n">
        <v>340</v>
      </c>
      <c r="H7" s="19" t="n">
        <f aca="false">IF(A7="","",IFERROR(ROUND(E7/C7,2),0))</f>
        <v>191.67</v>
      </c>
      <c r="I7" s="16" t="n">
        <f aca="false">IF(A7="","",IFERROR(ROUND(F7/E7*100,2),0))</f>
        <v>33.91</v>
      </c>
      <c r="J7" s="19" t="n">
        <f aca="false">IF(A7="","",ROUND(D7*Settings!$B$2/100,2))</f>
        <v>22500</v>
      </c>
      <c r="K7" s="19" t="n">
        <f aca="false">IF(A7="","",ROUND(E7-J7,2))</f>
        <v>500</v>
      </c>
      <c r="L7" s="16" t="n">
        <f aca="false">IF(A7="","",ROUND(I7-Settings!$B$7,2))</f>
        <v>-1.09</v>
      </c>
    </row>
    <row r="8" customFormat="false" ht="15" hidden="false" customHeight="false" outlineLevel="0" collapsed="false">
      <c r="A8" s="14" t="s">
        <v>98</v>
      </c>
      <c r="B8" s="14" t="s">
        <v>95</v>
      </c>
      <c r="C8" s="9" t="n">
        <v>60</v>
      </c>
      <c r="D8" s="7" t="n">
        <v>85000</v>
      </c>
      <c r="E8" s="15" t="n">
        <v>13500</v>
      </c>
      <c r="F8" s="15" t="n">
        <v>5400</v>
      </c>
      <c r="G8" s="20" t="n">
        <v>260</v>
      </c>
      <c r="H8" s="19" t="n">
        <f aca="false">IF(A8="","",IFERROR(ROUND(E8/C8,2),0))</f>
        <v>225</v>
      </c>
      <c r="I8" s="16" t="n">
        <f aca="false">IF(A8="","",IFERROR(ROUND(F8/E8*100,2),0))</f>
        <v>40</v>
      </c>
      <c r="J8" s="19" t="n">
        <f aca="false">IF(A8="","",ROUND(D8*Settings!$B$2/100,2))</f>
        <v>12750</v>
      </c>
      <c r="K8" s="19" t="n">
        <f aca="false">IF(A8="","",ROUND(E8-J8,2))</f>
        <v>750</v>
      </c>
      <c r="L8" s="16" t="n">
        <f aca="false">IF(A8="","",ROUND(I8-Settings!$B$7,2))</f>
        <v>5</v>
      </c>
    </row>
    <row r="9" customFormat="false" ht="15" hidden="false" customHeight="false" outlineLevel="0" collapsed="false">
      <c r="A9" s="14" t="s">
        <v>99</v>
      </c>
      <c r="B9" s="14" t="s">
        <v>100</v>
      </c>
      <c r="C9" s="9" t="n">
        <v>30</v>
      </c>
      <c r="D9" s="7" t="n">
        <v>40000</v>
      </c>
      <c r="E9" s="15" t="n">
        <v>6200</v>
      </c>
      <c r="F9" s="15" t="n">
        <v>3100</v>
      </c>
      <c r="G9" s="20" t="n">
        <v>120</v>
      </c>
      <c r="H9" s="19" t="n">
        <f aca="false">IF(A9="","",IFERROR(ROUND(E9/C9,2),0))</f>
        <v>206.67</v>
      </c>
      <c r="I9" s="16" t="n">
        <f aca="false">IF(A9="","",IFERROR(ROUND(F9/E9*100,2),0))</f>
        <v>50</v>
      </c>
      <c r="J9" s="19" t="n">
        <f aca="false">IF(A9="","",ROUND(D9*Settings!$B$2/100,2))</f>
        <v>6000</v>
      </c>
      <c r="K9" s="19" t="n">
        <f aca="false">IF(A9="","",ROUND(E9-J9,2))</f>
        <v>200</v>
      </c>
      <c r="L9" s="16" t="n">
        <f aca="false">IF(A9="","",ROUND(I9-Settings!$B$7,2))</f>
        <v>15</v>
      </c>
    </row>
    <row r="10" customFormat="false" ht="15" hidden="false" customHeight="false" outlineLevel="0" collapsed="false">
      <c r="A10" s="14"/>
      <c r="B10" s="14"/>
      <c r="C10" s="9"/>
      <c r="D10" s="7"/>
      <c r="E10" s="7"/>
      <c r="F10" s="7"/>
      <c r="G10" s="20"/>
      <c r="H10" s="19" t="str">
        <f aca="false">IF(A10="","",IFERROR(ROUND(E10/C10,2),0))</f>
        <v/>
      </c>
      <c r="I10" s="16" t="str">
        <f aca="false">IF(A10="","",IFERROR(ROUND(F10/E10*100,2),0))</f>
        <v/>
      </c>
      <c r="J10" s="19" t="str">
        <f aca="false">IF(A10="","",ROUND(D10*Settings!$B$2/100,2))</f>
        <v/>
      </c>
      <c r="K10" s="19" t="str">
        <f aca="false">IF(A10="","",ROUND(E10-J10,2))</f>
        <v/>
      </c>
      <c r="L10" s="16" t="str">
        <f aca="false">IF(A10="","",ROUND(I10-Settings!$B$7,2))</f>
        <v/>
      </c>
    </row>
    <row r="11" customFormat="false" ht="15" hidden="false" customHeight="false" outlineLevel="0" collapsed="false">
      <c r="A11" s="14"/>
      <c r="B11" s="14"/>
      <c r="C11" s="9"/>
      <c r="D11" s="7"/>
      <c r="E11" s="7"/>
      <c r="F11" s="7"/>
      <c r="G11" s="20"/>
      <c r="H11" s="19" t="str">
        <f aca="false">IF(A11="","",IFERROR(ROUND(E11/C11,2),0))</f>
        <v/>
      </c>
      <c r="I11" s="16" t="str">
        <f aca="false">IF(A11="","",IFERROR(ROUND(F11/E11*100,2),0))</f>
        <v/>
      </c>
      <c r="J11" s="19" t="str">
        <f aca="false">IF(A11="","",ROUND(D11*Settings!$B$2/100,2))</f>
        <v/>
      </c>
      <c r="K11" s="19" t="str">
        <f aca="false">IF(A11="","",ROUND(E11-J11,2))</f>
        <v/>
      </c>
      <c r="L11" s="16" t="str">
        <f aca="false">IF(A11="","",ROUND(I11-Settings!$B$7,2))</f>
        <v/>
      </c>
    </row>
    <row r="12" customFormat="false" ht="15" hidden="false" customHeight="false" outlineLevel="0" collapsed="false">
      <c r="A12" s="14"/>
      <c r="B12" s="14"/>
      <c r="C12" s="9"/>
      <c r="D12" s="7"/>
      <c r="E12" s="7"/>
      <c r="F12" s="7"/>
      <c r="G12" s="20"/>
      <c r="H12" s="19" t="str">
        <f aca="false">IF(A12="","",IFERROR(ROUND(E12/C12,2),0))</f>
        <v/>
      </c>
      <c r="I12" s="16" t="str">
        <f aca="false">IF(A12="","",IFERROR(ROUND(F12/E12*100,2),0))</f>
        <v/>
      </c>
      <c r="J12" s="19" t="str">
        <f aca="false">IF(A12="","",ROUND(D12*Settings!$B$2/100,2))</f>
        <v/>
      </c>
      <c r="K12" s="19" t="str">
        <f aca="false">IF(A12="","",ROUND(E12-J12,2))</f>
        <v/>
      </c>
      <c r="L12" s="16" t="str">
        <f aca="false">IF(A12="","",ROUND(I12-Settings!$B$7,2))</f>
        <v/>
      </c>
    </row>
    <row r="13" customFormat="false" ht="15" hidden="false" customHeight="false" outlineLevel="0" collapsed="false">
      <c r="A13" s="14"/>
      <c r="B13" s="14"/>
      <c r="C13" s="9"/>
      <c r="D13" s="7"/>
      <c r="E13" s="7"/>
      <c r="F13" s="7"/>
      <c r="G13" s="20"/>
      <c r="H13" s="19" t="str">
        <f aca="false">IF(A13="","",IFERROR(ROUND(E13/C13,2),0))</f>
        <v/>
      </c>
      <c r="I13" s="16" t="str">
        <f aca="false">IF(A13="","",IFERROR(ROUND(F13/E13*100,2),0))</f>
        <v/>
      </c>
      <c r="J13" s="19" t="str">
        <f aca="false">IF(A13="","",ROUND(D13*Settings!$B$2/100,2))</f>
        <v/>
      </c>
      <c r="K13" s="19" t="str">
        <f aca="false">IF(A13="","",ROUND(E13-J13,2))</f>
        <v/>
      </c>
      <c r="L13" s="16" t="str">
        <f aca="false">IF(A13="","",ROUND(I13-Settings!$B$7,2))</f>
        <v/>
      </c>
    </row>
    <row r="14" customFormat="false" ht="15" hidden="false" customHeight="false" outlineLevel="0" collapsed="false">
      <c r="A14" s="14"/>
      <c r="B14" s="14"/>
      <c r="C14" s="9"/>
      <c r="D14" s="7"/>
      <c r="E14" s="7"/>
      <c r="F14" s="7"/>
      <c r="G14" s="20"/>
      <c r="H14" s="19" t="str">
        <f aca="false">IF(A14="","",IFERROR(ROUND(E14/C14,2),0))</f>
        <v/>
      </c>
      <c r="I14" s="16" t="str">
        <f aca="false">IF(A14="","",IFERROR(ROUND(F14/E14*100,2),0))</f>
        <v/>
      </c>
      <c r="J14" s="19" t="str">
        <f aca="false">IF(A14="","",ROUND(D14*Settings!$B$2/100,2))</f>
        <v/>
      </c>
      <c r="K14" s="19" t="str">
        <f aca="false">IF(A14="","",ROUND(E14-J14,2))</f>
        <v/>
      </c>
      <c r="L14" s="16" t="str">
        <f aca="false">IF(A14="","",ROUND(I14-Settings!$B$7,2))</f>
        <v/>
      </c>
    </row>
    <row r="15" customFormat="false" ht="15" hidden="false" customHeight="false" outlineLevel="0" collapsed="false">
      <c r="A15" s="14"/>
      <c r="B15" s="14"/>
      <c r="C15" s="9"/>
      <c r="D15" s="7"/>
      <c r="E15" s="7"/>
      <c r="F15" s="7"/>
      <c r="G15" s="20"/>
      <c r="H15" s="19" t="str">
        <f aca="false">IF(A15="","",IFERROR(ROUND(E15/C15,2),0))</f>
        <v/>
      </c>
      <c r="I15" s="16" t="str">
        <f aca="false">IF(A15="","",IFERROR(ROUND(F15/E15*100,2),0))</f>
        <v/>
      </c>
      <c r="J15" s="19" t="str">
        <f aca="false">IF(A15="","",ROUND(D15*Settings!$B$2/100,2))</f>
        <v/>
      </c>
      <c r="K15" s="19" t="str">
        <f aca="false">IF(A15="","",ROUND(E15-J15,2))</f>
        <v/>
      </c>
      <c r="L15" s="16" t="str">
        <f aca="false">IF(A15="","",ROUND(I15-Settings!$B$7,2))</f>
        <v/>
      </c>
    </row>
    <row r="16" customFormat="false" ht="15" hidden="false" customHeight="false" outlineLevel="0" collapsed="false">
      <c r="A16" s="14"/>
      <c r="B16" s="14"/>
      <c r="C16" s="9"/>
      <c r="D16" s="7"/>
      <c r="E16" s="7"/>
      <c r="F16" s="7"/>
      <c r="G16" s="20"/>
      <c r="H16" s="19" t="str">
        <f aca="false">IF(A16="","",IFERROR(ROUND(E16/C16,2),0))</f>
        <v/>
      </c>
      <c r="I16" s="16" t="str">
        <f aca="false">IF(A16="","",IFERROR(ROUND(F16/E16*100,2),0))</f>
        <v/>
      </c>
      <c r="J16" s="19" t="str">
        <f aca="false">IF(A16="","",ROUND(D16*Settings!$B$2/100,2))</f>
        <v/>
      </c>
      <c r="K16" s="19" t="str">
        <f aca="false">IF(A16="","",ROUND(E16-J16,2))</f>
        <v/>
      </c>
      <c r="L16" s="16" t="str">
        <f aca="false">IF(A16="","",ROUND(I16-Settings!$B$7,2))</f>
        <v/>
      </c>
    </row>
    <row r="17" customFormat="false" ht="15" hidden="false" customHeight="false" outlineLevel="0" collapsed="false">
      <c r="A17" s="5" t="s">
        <v>80</v>
      </c>
      <c r="B17" s="21" t="n">
        <f aca="false">COUNTA(A5:A16)</f>
        <v>5</v>
      </c>
      <c r="C17" s="10" t="n">
        <f aca="false">SUM(C5:C16)</f>
        <v>445</v>
      </c>
      <c r="D17" s="11" t="n">
        <f aca="false">SUM(D5:D16)</f>
        <v>645000</v>
      </c>
      <c r="E17" s="11" t="n">
        <f aca="false">SUM(E5:E16)</f>
        <v>102200</v>
      </c>
      <c r="F17" s="11" t="n">
        <f aca="false">SUM(F5:F16)</f>
        <v>37900</v>
      </c>
      <c r="G17" s="22" t="n">
        <f aca="false">SUM(G5:G16)</f>
        <v>1400</v>
      </c>
      <c r="H17" s="11" t="n">
        <f aca="false">IFERROR(ROUND(E17/C17,2),0)</f>
        <v>229.66</v>
      </c>
      <c r="I17" s="12" t="n">
        <f aca="false">IFERROR(ROUND(F17/E17*100,2),0)</f>
        <v>37.08</v>
      </c>
      <c r="J17" s="11" t="n">
        <f aca="false">SUM(J5:J16)</f>
        <v>96750</v>
      </c>
      <c r="K17" s="11" t="n">
        <f aca="false">SUM(K5:K16)</f>
        <v>5450</v>
      </c>
      <c r="L17" s="12" t="n">
        <f aca="false">ROUND(I17-Settings!$B$7,2)</f>
        <v>2.08</v>
      </c>
    </row>
    <row r="18" customFormat="false" ht="15" hidden="false" customHeight="false" outlineLevel="0" collapsed="false">
      <c r="A18" s="5" t="s">
        <v>101</v>
      </c>
      <c r="C18" s="22" t="n">
        <f aca="false">IFERROR(ROUND(C17/$B$17,2),0)</f>
        <v>89</v>
      </c>
      <c r="D18" s="11" t="n">
        <f aca="false">IFERROR(ROUND(D17/$B$17,2),0)</f>
        <v>129000</v>
      </c>
      <c r="E18" s="11" t="n">
        <f aca="false">IFERROR(ROUND(E17/$B$17,2),0)</f>
        <v>20440</v>
      </c>
      <c r="F18" s="11" t="n">
        <f aca="false">IFERROR(ROUND(F17/$B$17,2),0)</f>
        <v>7580</v>
      </c>
      <c r="G18" s="22" t="n">
        <f aca="false">IFERROR(ROUND(G17/$B$17,2),0)</f>
        <v>280</v>
      </c>
      <c r="J18" s="11" t="n">
        <f aca="false">IFERROR(ROUND(J17/$B$17,2),0)</f>
        <v>19350</v>
      </c>
    </row>
  </sheetData>
  <dataValidations count="1">
    <dataValidation allowBlank="true" errorStyle="stop" operator="between" showDropDown="false" showErrorMessage="false" showInputMessage="false" sqref="B5:B16" type="list">
      <formula1>"active,left"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4" min="2" style="1" width="11"/>
    <col collapsed="false" customWidth="true" hidden="false" outlineLevel="0" max="6" min="5" style="1" width="10"/>
    <col collapsed="false" customWidth="true" hidden="false" outlineLevel="0" max="7" min="7" style="1" width="9"/>
    <col collapsed="false" customWidth="true" hidden="false" outlineLevel="0" max="8" min="8" style="1" width="12"/>
    <col collapsed="false" customWidth="true" hidden="false" outlineLevel="0" max="10" min="9" style="1" width="11"/>
    <col collapsed="false" customWidth="true" hidden="false" outlineLevel="0" max="11" min="11" style="1" width="12"/>
    <col collapsed="false" customWidth="true" hidden="false" outlineLevel="0" max="13" min="12" style="1" width="11"/>
    <col collapsed="false" customWidth="true" hidden="false" outlineLevel="0" max="14" min="14" style="1" width="12"/>
    <col collapsed="false" customWidth="true" hidden="false" outlineLevel="0" max="15" min="15" style="1" width="11"/>
    <col collapsed="false" customWidth="true" hidden="false" outlineLevel="0" max="16" min="16" style="1" width="12"/>
    <col collapsed="false" customWidth="true" hidden="false" outlineLevel="0" max="18" min="17" style="1" width="10"/>
  </cols>
  <sheetData>
    <row r="1" customFormat="false" ht="17.35" hidden="false" customHeight="false" outlineLevel="0" collapsed="false">
      <c r="A1" s="2" t="s">
        <v>102</v>
      </c>
    </row>
    <row r="2" customFormat="false" ht="15" hidden="false" customHeight="false" outlineLevel="0" collapsed="false">
      <c r="A2" s="3" t="s">
        <v>103</v>
      </c>
    </row>
    <row r="4" customFormat="false" ht="64.9" hidden="false" customHeight="false" outlineLevel="0" collapsed="false">
      <c r="A4" s="13" t="s">
        <v>104</v>
      </c>
      <c r="B4" s="13" t="s">
        <v>105</v>
      </c>
      <c r="C4" s="13" t="s">
        <v>106</v>
      </c>
      <c r="D4" s="13" t="s">
        <v>107</v>
      </c>
      <c r="E4" s="13" t="s">
        <v>108</v>
      </c>
      <c r="F4" s="13" t="s">
        <v>109</v>
      </c>
      <c r="G4" s="13" t="s">
        <v>110</v>
      </c>
      <c r="H4" s="13" t="s">
        <v>111</v>
      </c>
      <c r="I4" s="13" t="s">
        <v>112</v>
      </c>
      <c r="J4" s="13" t="s">
        <v>113</v>
      </c>
      <c r="K4" s="13" t="s">
        <v>114</v>
      </c>
      <c r="L4" s="13" t="s">
        <v>115</v>
      </c>
      <c r="M4" s="13" t="s">
        <v>116</v>
      </c>
      <c r="N4" s="13" t="s">
        <v>117</v>
      </c>
      <c r="O4" s="13" t="s">
        <v>118</v>
      </c>
      <c r="P4" s="13" t="s">
        <v>119</v>
      </c>
      <c r="Q4" s="13" t="s">
        <v>120</v>
      </c>
      <c r="R4" s="13" t="s">
        <v>121</v>
      </c>
    </row>
    <row r="5" customFormat="false" ht="15" hidden="false" customHeight="false" outlineLevel="0" collapsed="false">
      <c r="A5" s="14" t="s">
        <v>122</v>
      </c>
      <c r="B5" s="15" t="n">
        <v>800</v>
      </c>
      <c r="C5" s="15" t="n">
        <v>600</v>
      </c>
      <c r="D5" s="23" t="n">
        <f aca="false">IF(A5="","",ROUND(Producers!$G$17/12,1))</f>
        <v>116.7</v>
      </c>
      <c r="E5" s="20"/>
      <c r="F5" s="23" t="n">
        <f aca="false">IF(A5="","",IF(E5&lt;&gt;"",E5,D5))</f>
        <v>116.7</v>
      </c>
      <c r="G5" s="8" t="n">
        <v>22</v>
      </c>
      <c r="H5" s="19" t="n">
        <f aca="false">IF(A5="","",ROUND(Settings!$B$2/100*'Book by Line'!$E$17,2))</f>
        <v>253.98</v>
      </c>
      <c r="I5" s="7"/>
      <c r="J5" s="19" t="n">
        <f aca="false">IF(A5="","",IF(I5&lt;&gt;"",I5,H5))</f>
        <v>253.98</v>
      </c>
      <c r="K5" s="19" t="n">
        <f aca="false">IF(A5="","",ROUND(Settings!$B$3/100*'Book by Line'!$E$17,2))</f>
        <v>169.32</v>
      </c>
      <c r="L5" s="7"/>
      <c r="M5" s="19" t="n">
        <f aca="false">IF(A5="","",IF(L5&lt;&gt;"",L5,K5))</f>
        <v>169.32</v>
      </c>
      <c r="N5" s="19" t="n">
        <f aca="false">IF(A5="","",ROUND(B5+C5+F5*Settings!$B$8,2))</f>
        <v>6651.5</v>
      </c>
      <c r="O5" s="19" t="n">
        <f aca="false">IF(A5="","",IFERROR(ROUND(N5/G5,2),0))</f>
        <v>302.34</v>
      </c>
      <c r="P5" s="19" t="n">
        <f aca="false">IF(A5="","",ROUND(J5+M5*(IF(Settings!$B$9&gt;=2,'Book by Line'!$M$17/100,0)+IF(Settings!$B$9&gt;=3,POWER('Book by Line'!$M$17/100,2),0)+IF(Settings!$B$9&gt;=4,POWER('Book by Line'!$M$17/100,3),0)+IF(Settings!$B$9&gt;=5,POWER('Book by Line'!$M$17/100,4),0)),2))</f>
        <v>548.85</v>
      </c>
      <c r="Q5" s="24" t="n">
        <f aca="false">IF(A5="","",IFERROR(ROUND(P5/O5,2),0))</f>
        <v>1.82</v>
      </c>
      <c r="R5" s="23" t="n">
        <f aca="false">IF(A5="","",IFERROR(ROUND(N5/J5,1),0))</f>
        <v>26.2</v>
      </c>
    </row>
    <row r="6" customFormat="false" ht="15" hidden="false" customHeight="false" outlineLevel="0" collapsed="false">
      <c r="A6" s="14" t="s">
        <v>123</v>
      </c>
      <c r="B6" s="15" t="n">
        <v>800</v>
      </c>
      <c r="C6" s="15" t="n">
        <v>450</v>
      </c>
      <c r="D6" s="23" t="n">
        <f aca="false">IF(A6="","",ROUND(Producers!$G$17/12,1))</f>
        <v>116.7</v>
      </c>
      <c r="E6" s="20"/>
      <c r="F6" s="23" t="n">
        <f aca="false">IF(A6="","",IF(E6&lt;&gt;"",E6,D6))</f>
        <v>116.7</v>
      </c>
      <c r="G6" s="8" t="n">
        <v>18</v>
      </c>
      <c r="H6" s="19" t="n">
        <f aca="false">IF(A6="","",ROUND(Settings!$B$2/100*'Book by Line'!$E$17,2))</f>
        <v>253.98</v>
      </c>
      <c r="I6" s="7"/>
      <c r="J6" s="19" t="n">
        <f aca="false">IF(A6="","",IF(I6&lt;&gt;"",I6,H6))</f>
        <v>253.98</v>
      </c>
      <c r="K6" s="19" t="n">
        <f aca="false">IF(A6="","",ROUND(Settings!$B$3/100*'Book by Line'!$E$17,2))</f>
        <v>169.32</v>
      </c>
      <c r="L6" s="7"/>
      <c r="M6" s="19" t="n">
        <f aca="false">IF(A6="","",IF(L6&lt;&gt;"",L6,K6))</f>
        <v>169.32</v>
      </c>
      <c r="N6" s="19" t="n">
        <f aca="false">IF(A6="","",ROUND(B6+C6+F6*Settings!$B$8,2))</f>
        <v>6501.5</v>
      </c>
      <c r="O6" s="19" t="n">
        <f aca="false">IF(A6="","",IFERROR(ROUND(N6/G6,2),0))</f>
        <v>361.19</v>
      </c>
      <c r="P6" s="19" t="n">
        <f aca="false">IF(A6="","",ROUND(J6+M6*(IF(Settings!$B$9&gt;=2,'Book by Line'!$M$17/100,0)+IF(Settings!$B$9&gt;=3,POWER('Book by Line'!$M$17/100,2),0)+IF(Settings!$B$9&gt;=4,POWER('Book by Line'!$M$17/100,3),0)+IF(Settings!$B$9&gt;=5,POWER('Book by Line'!$M$17/100,4),0)),2))</f>
        <v>548.85</v>
      </c>
      <c r="Q6" s="24" t="n">
        <f aca="false">IF(A6="","",IFERROR(ROUND(P6/O6,2),0))</f>
        <v>1.52</v>
      </c>
      <c r="R6" s="23" t="n">
        <f aca="false">IF(A6="","",IFERROR(ROUND(N6/J6,1),0))</f>
        <v>25.6</v>
      </c>
    </row>
    <row r="7" customFormat="false" ht="15" hidden="false" customHeight="false" outlineLevel="0" collapsed="false">
      <c r="A7" s="14" t="s">
        <v>124</v>
      </c>
      <c r="B7" s="15" t="n">
        <v>1200</v>
      </c>
      <c r="C7" s="15" t="n">
        <v>700</v>
      </c>
      <c r="D7" s="23" t="n">
        <f aca="false">IF(A7="","",ROUND(Producers!$G$17/12,1))</f>
        <v>116.7</v>
      </c>
      <c r="E7" s="20" t="n">
        <v>140</v>
      </c>
      <c r="F7" s="23" t="n">
        <f aca="false">IF(A7="","",IF(E7&lt;&gt;"",E7,D7))</f>
        <v>140</v>
      </c>
      <c r="G7" s="8" t="n">
        <v>30</v>
      </c>
      <c r="H7" s="19" t="n">
        <f aca="false">IF(A7="","",ROUND(Settings!$B$2/100*'Book by Line'!$E$17,2))</f>
        <v>253.98</v>
      </c>
      <c r="I7" s="7"/>
      <c r="J7" s="19" t="n">
        <f aca="false">IF(A7="","",IF(I7&lt;&gt;"",I7,H7))</f>
        <v>253.98</v>
      </c>
      <c r="K7" s="19" t="n">
        <f aca="false">IF(A7="","",ROUND(Settings!$B$3/100*'Book by Line'!$E$17,2))</f>
        <v>169.32</v>
      </c>
      <c r="L7" s="7"/>
      <c r="M7" s="19" t="n">
        <f aca="false">IF(A7="","",IF(L7&lt;&gt;"",L7,K7))</f>
        <v>169.32</v>
      </c>
      <c r="N7" s="19" t="n">
        <f aca="false">IF(A7="","",ROUND(B7+C7+F7*Settings!$B$8,2))</f>
        <v>8200</v>
      </c>
      <c r="O7" s="19" t="n">
        <f aca="false">IF(A7="","",IFERROR(ROUND(N7/G7,2),0))</f>
        <v>273.33</v>
      </c>
      <c r="P7" s="19" t="n">
        <f aca="false">IF(A7="","",ROUND(J7+M7*(IF(Settings!$B$9&gt;=2,'Book by Line'!$M$17/100,0)+IF(Settings!$B$9&gt;=3,POWER('Book by Line'!$M$17/100,2),0)+IF(Settings!$B$9&gt;=4,POWER('Book by Line'!$M$17/100,3),0)+IF(Settings!$B$9&gt;=5,POWER('Book by Line'!$M$17/100,4),0)),2))</f>
        <v>548.85</v>
      </c>
      <c r="Q7" s="24" t="n">
        <f aca="false">IF(A7="","",IFERROR(ROUND(P7/O7,2),0))</f>
        <v>2.01</v>
      </c>
      <c r="R7" s="23" t="n">
        <f aca="false">IF(A7="","",IFERROR(ROUND(N7/J7,1),0))</f>
        <v>32.3</v>
      </c>
    </row>
    <row r="8" customFormat="false" ht="15" hidden="false" customHeight="false" outlineLevel="0" collapsed="false">
      <c r="A8" s="14" t="s">
        <v>125</v>
      </c>
      <c r="B8" s="15" t="n">
        <v>900</v>
      </c>
      <c r="C8" s="15" t="n">
        <v>500</v>
      </c>
      <c r="D8" s="23" t="n">
        <f aca="false">IF(A8="","",ROUND(Producers!$G$17/12,1))</f>
        <v>116.7</v>
      </c>
      <c r="E8" s="20"/>
      <c r="F8" s="23" t="n">
        <f aca="false">IF(A8="","",IF(E8&lt;&gt;"",E8,D8))</f>
        <v>116.7</v>
      </c>
      <c r="G8" s="8" t="n">
        <v>21</v>
      </c>
      <c r="H8" s="19" t="n">
        <f aca="false">IF(A8="","",ROUND(Settings!$B$2/100*'Book by Line'!$E$17,2))</f>
        <v>253.98</v>
      </c>
      <c r="I8" s="7"/>
      <c r="J8" s="19" t="n">
        <f aca="false">IF(A8="","",IF(I8&lt;&gt;"",I8,H8))</f>
        <v>253.98</v>
      </c>
      <c r="K8" s="19" t="n">
        <f aca="false">IF(A8="","",ROUND(Settings!$B$3/100*'Book by Line'!$E$17,2))</f>
        <v>169.32</v>
      </c>
      <c r="L8" s="7"/>
      <c r="M8" s="19" t="n">
        <f aca="false">IF(A8="","",IF(L8&lt;&gt;"",L8,K8))</f>
        <v>169.32</v>
      </c>
      <c r="N8" s="19" t="n">
        <f aca="false">IF(A8="","",ROUND(B8+C8+F8*Settings!$B$8,2))</f>
        <v>6651.5</v>
      </c>
      <c r="O8" s="19" t="n">
        <f aca="false">IF(A8="","",IFERROR(ROUND(N8/G8,2),0))</f>
        <v>316.74</v>
      </c>
      <c r="P8" s="19" t="n">
        <f aca="false">IF(A8="","",ROUND(J8+M8*(IF(Settings!$B$9&gt;=2,'Book by Line'!$M$17/100,0)+IF(Settings!$B$9&gt;=3,POWER('Book by Line'!$M$17/100,2),0)+IF(Settings!$B$9&gt;=4,POWER('Book by Line'!$M$17/100,3),0)+IF(Settings!$B$9&gt;=5,POWER('Book by Line'!$M$17/100,4),0)),2))</f>
        <v>548.85</v>
      </c>
      <c r="Q8" s="24" t="n">
        <f aca="false">IF(A8="","",IFERROR(ROUND(P8/O8,2),0))</f>
        <v>1.73</v>
      </c>
      <c r="R8" s="23" t="n">
        <f aca="false">IF(A8="","",IFERROR(ROUND(N8/J8,1),0))</f>
        <v>26.2</v>
      </c>
    </row>
    <row r="9" customFormat="false" ht="15" hidden="false" customHeight="false" outlineLevel="0" collapsed="false">
      <c r="A9" s="14" t="s">
        <v>126</v>
      </c>
      <c r="B9" s="15" t="n">
        <v>900</v>
      </c>
      <c r="C9" s="15" t="n">
        <v>650</v>
      </c>
      <c r="D9" s="23" t="n">
        <f aca="false">IF(A9="","",ROUND(Producers!$G$17/12,1))</f>
        <v>116.7</v>
      </c>
      <c r="E9" s="20"/>
      <c r="F9" s="23" t="n">
        <f aca="false">IF(A9="","",IF(E9&lt;&gt;"",E9,D9))</f>
        <v>116.7</v>
      </c>
      <c r="G9" s="8" t="n">
        <v>24</v>
      </c>
      <c r="H9" s="19" t="n">
        <f aca="false">IF(A9="","",ROUND(Settings!$B$2/100*'Book by Line'!$E$17,2))</f>
        <v>253.98</v>
      </c>
      <c r="I9" s="7" t="n">
        <v>260</v>
      </c>
      <c r="J9" s="19" t="n">
        <f aca="false">IF(A9="","",IF(I9&lt;&gt;"",I9,H9))</f>
        <v>260</v>
      </c>
      <c r="K9" s="19" t="n">
        <f aca="false">IF(A9="","",ROUND(Settings!$B$3/100*'Book by Line'!$E$17,2))</f>
        <v>169.32</v>
      </c>
      <c r="L9" s="7"/>
      <c r="M9" s="19" t="n">
        <f aca="false">IF(A9="","",IF(L9&lt;&gt;"",L9,K9))</f>
        <v>169.32</v>
      </c>
      <c r="N9" s="19" t="n">
        <f aca="false">IF(A9="","",ROUND(B9+C9+F9*Settings!$B$8,2))</f>
        <v>6801.5</v>
      </c>
      <c r="O9" s="19" t="n">
        <f aca="false">IF(A9="","",IFERROR(ROUND(N9/G9,2),0))</f>
        <v>283.4</v>
      </c>
      <c r="P9" s="19" t="n">
        <f aca="false">IF(A9="","",ROUND(J9+M9*(IF(Settings!$B$9&gt;=2,'Book by Line'!$M$17/100,0)+IF(Settings!$B$9&gt;=3,POWER('Book by Line'!$M$17/100,2),0)+IF(Settings!$B$9&gt;=4,POWER('Book by Line'!$M$17/100,3),0)+IF(Settings!$B$9&gt;=5,POWER('Book by Line'!$M$17/100,4),0)),2))</f>
        <v>554.87</v>
      </c>
      <c r="Q9" s="24" t="n">
        <f aca="false">IF(A9="","",IFERROR(ROUND(P9/O9,2),0))</f>
        <v>1.96</v>
      </c>
      <c r="R9" s="23" t="n">
        <f aca="false">IF(A9="","",IFERROR(ROUND(N9/J9,1),0))</f>
        <v>26.2</v>
      </c>
    </row>
    <row r="10" customFormat="false" ht="15" hidden="false" customHeight="false" outlineLevel="0" collapsed="false">
      <c r="A10" s="14" t="s">
        <v>127</v>
      </c>
      <c r="B10" s="15" t="n">
        <v>600</v>
      </c>
      <c r="C10" s="15" t="n">
        <v>400</v>
      </c>
      <c r="D10" s="23" t="n">
        <f aca="false">IF(A10="","",ROUND(Producers!$G$17/12,1))</f>
        <v>116.7</v>
      </c>
      <c r="E10" s="20"/>
      <c r="F10" s="23" t="n">
        <f aca="false">IF(A10="","",IF(E10&lt;&gt;"",E10,D10))</f>
        <v>116.7</v>
      </c>
      <c r="G10" s="8" t="n">
        <v>15</v>
      </c>
      <c r="H10" s="19" t="n">
        <f aca="false">IF(A10="","",ROUND(Settings!$B$2/100*'Book by Line'!$E$17,2))</f>
        <v>253.98</v>
      </c>
      <c r="I10" s="7"/>
      <c r="J10" s="19" t="n">
        <f aca="false">IF(A10="","",IF(I10&lt;&gt;"",I10,H10))</f>
        <v>253.98</v>
      </c>
      <c r="K10" s="19" t="n">
        <f aca="false">IF(A10="","",ROUND(Settings!$B$3/100*'Book by Line'!$E$17,2))</f>
        <v>169.32</v>
      </c>
      <c r="L10" s="7"/>
      <c r="M10" s="19" t="n">
        <f aca="false">IF(A10="","",IF(L10&lt;&gt;"",L10,K10))</f>
        <v>169.32</v>
      </c>
      <c r="N10" s="19" t="n">
        <f aca="false">IF(A10="","",ROUND(B10+C10+F10*Settings!$B$8,2))</f>
        <v>6251.5</v>
      </c>
      <c r="O10" s="19" t="n">
        <f aca="false">IF(A10="","",IFERROR(ROUND(N10/G10,2),0))</f>
        <v>416.77</v>
      </c>
      <c r="P10" s="19" t="n">
        <f aca="false">IF(A10="","",ROUND(J10+M10*(IF(Settings!$B$9&gt;=2,'Book by Line'!$M$17/100,0)+IF(Settings!$B$9&gt;=3,POWER('Book by Line'!$M$17/100,2),0)+IF(Settings!$B$9&gt;=4,POWER('Book by Line'!$M$17/100,3),0)+IF(Settings!$B$9&gt;=5,POWER('Book by Line'!$M$17/100,4),0)),2))</f>
        <v>548.85</v>
      </c>
      <c r="Q10" s="24" t="n">
        <f aca="false">IF(A10="","",IFERROR(ROUND(P10/O10,2),0))</f>
        <v>1.32</v>
      </c>
      <c r="R10" s="23" t="n">
        <f aca="false">IF(A10="","",IFERROR(ROUND(N10/J10,1),0))</f>
        <v>24.6</v>
      </c>
    </row>
    <row r="11" customFormat="false" ht="15" hidden="false" customHeight="false" outlineLevel="0" collapsed="false">
      <c r="A11" s="14"/>
      <c r="B11" s="7"/>
      <c r="C11" s="7"/>
      <c r="D11" s="23" t="str">
        <f aca="false">IF(A11="","",ROUND(Producers!$G$17/12,1))</f>
        <v/>
      </c>
      <c r="E11" s="20"/>
      <c r="F11" s="23" t="str">
        <f aca="false">IF(A11="","",IF(E11&lt;&gt;"",E11,D11))</f>
        <v/>
      </c>
      <c r="G11" s="9"/>
      <c r="H11" s="19" t="str">
        <f aca="false">IF(A11="","",ROUND(Settings!$B$2/100*'Book by Line'!$E$17,2))</f>
        <v/>
      </c>
      <c r="I11" s="7"/>
      <c r="J11" s="19" t="str">
        <f aca="false">IF(A11="","",IF(I11&lt;&gt;"",I11,H11))</f>
        <v/>
      </c>
      <c r="K11" s="19" t="str">
        <f aca="false">IF(A11="","",ROUND(Settings!$B$3/100*'Book by Line'!$E$17,2))</f>
        <v/>
      </c>
      <c r="L11" s="7"/>
      <c r="M11" s="19" t="str">
        <f aca="false">IF(A11="","",IF(L11&lt;&gt;"",L11,K11))</f>
        <v/>
      </c>
      <c r="N11" s="19" t="str">
        <f aca="false">IF(A11="","",ROUND(B11+C11+F11*Settings!$B$8,2))</f>
        <v/>
      </c>
      <c r="O11" s="19" t="str">
        <f aca="false">IF(A11="","",IFERROR(ROUND(N11/G11,2),0))</f>
        <v/>
      </c>
      <c r="P11" s="19" t="str">
        <f aca="false">IF(A11="","",ROUND(J11+M11*(IF(Settings!$B$9&gt;=2,'Book by Line'!$M$17/100,0)+IF(Settings!$B$9&gt;=3,POWER('Book by Line'!$M$17/100,2),0)+IF(Settings!$B$9&gt;=4,POWER('Book by Line'!$M$17/100,3),0)+IF(Settings!$B$9&gt;=5,POWER('Book by Line'!$M$17/100,4),0)),2))</f>
        <v/>
      </c>
      <c r="Q11" s="24" t="str">
        <f aca="false">IF(A11="","",IFERROR(ROUND(P11/O11,2),0))</f>
        <v/>
      </c>
      <c r="R11" s="23" t="str">
        <f aca="false">IF(A11="","",IFERROR(ROUND(N11/J11,1),0))</f>
        <v/>
      </c>
    </row>
    <row r="12" customFormat="false" ht="15" hidden="false" customHeight="false" outlineLevel="0" collapsed="false">
      <c r="A12" s="14"/>
      <c r="B12" s="7"/>
      <c r="C12" s="7"/>
      <c r="D12" s="23" t="str">
        <f aca="false">IF(A12="","",ROUND(Producers!$G$17/12,1))</f>
        <v/>
      </c>
      <c r="E12" s="20"/>
      <c r="F12" s="23" t="str">
        <f aca="false">IF(A12="","",IF(E12&lt;&gt;"",E12,D12))</f>
        <v/>
      </c>
      <c r="G12" s="9"/>
      <c r="H12" s="19" t="str">
        <f aca="false">IF(A12="","",ROUND(Settings!$B$2/100*'Book by Line'!$E$17,2))</f>
        <v/>
      </c>
      <c r="I12" s="7"/>
      <c r="J12" s="19" t="str">
        <f aca="false">IF(A12="","",IF(I12&lt;&gt;"",I12,H12))</f>
        <v/>
      </c>
      <c r="K12" s="19" t="str">
        <f aca="false">IF(A12="","",ROUND(Settings!$B$3/100*'Book by Line'!$E$17,2))</f>
        <v/>
      </c>
      <c r="L12" s="7"/>
      <c r="M12" s="19" t="str">
        <f aca="false">IF(A12="","",IF(L12&lt;&gt;"",L12,K12))</f>
        <v/>
      </c>
      <c r="N12" s="19" t="str">
        <f aca="false">IF(A12="","",ROUND(B12+C12+F12*Settings!$B$8,2))</f>
        <v/>
      </c>
      <c r="O12" s="19" t="str">
        <f aca="false">IF(A12="","",IFERROR(ROUND(N12/G12,2),0))</f>
        <v/>
      </c>
      <c r="P12" s="19" t="str">
        <f aca="false">IF(A12="","",ROUND(J12+M12*(IF(Settings!$B$9&gt;=2,'Book by Line'!$M$17/100,0)+IF(Settings!$B$9&gt;=3,POWER('Book by Line'!$M$17/100,2),0)+IF(Settings!$B$9&gt;=4,POWER('Book by Line'!$M$17/100,3),0)+IF(Settings!$B$9&gt;=5,POWER('Book by Line'!$M$17/100,4),0)),2))</f>
        <v/>
      </c>
      <c r="Q12" s="24" t="str">
        <f aca="false">IF(A12="","",IFERROR(ROUND(P12/O12,2),0))</f>
        <v/>
      </c>
      <c r="R12" s="23" t="str">
        <f aca="false">IF(A12="","",IFERROR(ROUND(N12/J12,1),0))</f>
        <v/>
      </c>
    </row>
    <row r="13" customFormat="false" ht="15" hidden="false" customHeight="false" outlineLevel="0" collapsed="false">
      <c r="A13" s="14"/>
      <c r="B13" s="7"/>
      <c r="C13" s="7"/>
      <c r="D13" s="23" t="str">
        <f aca="false">IF(A13="","",ROUND(Producers!$G$17/12,1))</f>
        <v/>
      </c>
      <c r="E13" s="20"/>
      <c r="F13" s="23" t="str">
        <f aca="false">IF(A13="","",IF(E13&lt;&gt;"",E13,D13))</f>
        <v/>
      </c>
      <c r="G13" s="9"/>
      <c r="H13" s="19" t="str">
        <f aca="false">IF(A13="","",ROUND(Settings!$B$2/100*'Book by Line'!$E$17,2))</f>
        <v/>
      </c>
      <c r="I13" s="7"/>
      <c r="J13" s="19" t="str">
        <f aca="false">IF(A13="","",IF(I13&lt;&gt;"",I13,H13))</f>
        <v/>
      </c>
      <c r="K13" s="19" t="str">
        <f aca="false">IF(A13="","",ROUND(Settings!$B$3/100*'Book by Line'!$E$17,2))</f>
        <v/>
      </c>
      <c r="L13" s="7"/>
      <c r="M13" s="19" t="str">
        <f aca="false">IF(A13="","",IF(L13&lt;&gt;"",L13,K13))</f>
        <v/>
      </c>
      <c r="N13" s="19" t="str">
        <f aca="false">IF(A13="","",ROUND(B13+C13+F13*Settings!$B$8,2))</f>
        <v/>
      </c>
      <c r="O13" s="19" t="str">
        <f aca="false">IF(A13="","",IFERROR(ROUND(N13/G13,2),0))</f>
        <v/>
      </c>
      <c r="P13" s="19" t="str">
        <f aca="false">IF(A13="","",ROUND(J13+M13*(IF(Settings!$B$9&gt;=2,'Book by Line'!$M$17/100,0)+IF(Settings!$B$9&gt;=3,POWER('Book by Line'!$M$17/100,2),0)+IF(Settings!$B$9&gt;=4,POWER('Book by Line'!$M$17/100,3),0)+IF(Settings!$B$9&gt;=5,POWER('Book by Line'!$M$17/100,4),0)),2))</f>
        <v/>
      </c>
      <c r="Q13" s="24" t="str">
        <f aca="false">IF(A13="","",IFERROR(ROUND(P13/O13,2),0))</f>
        <v/>
      </c>
      <c r="R13" s="23" t="str">
        <f aca="false">IF(A13="","",IFERROR(ROUND(N13/J13,1),0))</f>
        <v/>
      </c>
    </row>
    <row r="14" customFormat="false" ht="15" hidden="false" customHeight="false" outlineLevel="0" collapsed="false">
      <c r="A14" s="14"/>
      <c r="B14" s="7"/>
      <c r="C14" s="7"/>
      <c r="D14" s="23" t="str">
        <f aca="false">IF(A14="","",ROUND(Producers!$G$17/12,1))</f>
        <v/>
      </c>
      <c r="E14" s="20"/>
      <c r="F14" s="23" t="str">
        <f aca="false">IF(A14="","",IF(E14&lt;&gt;"",E14,D14))</f>
        <v/>
      </c>
      <c r="G14" s="9"/>
      <c r="H14" s="19" t="str">
        <f aca="false">IF(A14="","",ROUND(Settings!$B$2/100*'Book by Line'!$E$17,2))</f>
        <v/>
      </c>
      <c r="I14" s="7"/>
      <c r="J14" s="19" t="str">
        <f aca="false">IF(A14="","",IF(I14&lt;&gt;"",I14,H14))</f>
        <v/>
      </c>
      <c r="K14" s="19" t="str">
        <f aca="false">IF(A14="","",ROUND(Settings!$B$3/100*'Book by Line'!$E$17,2))</f>
        <v/>
      </c>
      <c r="L14" s="7"/>
      <c r="M14" s="19" t="str">
        <f aca="false">IF(A14="","",IF(L14&lt;&gt;"",L14,K14))</f>
        <v/>
      </c>
      <c r="N14" s="19" t="str">
        <f aca="false">IF(A14="","",ROUND(B14+C14+F14*Settings!$B$8,2))</f>
        <v/>
      </c>
      <c r="O14" s="19" t="str">
        <f aca="false">IF(A14="","",IFERROR(ROUND(N14/G14,2),0))</f>
        <v/>
      </c>
      <c r="P14" s="19" t="str">
        <f aca="false">IF(A14="","",ROUND(J14+M14*(IF(Settings!$B$9&gt;=2,'Book by Line'!$M$17/100,0)+IF(Settings!$B$9&gt;=3,POWER('Book by Line'!$M$17/100,2),0)+IF(Settings!$B$9&gt;=4,POWER('Book by Line'!$M$17/100,3),0)+IF(Settings!$B$9&gt;=5,POWER('Book by Line'!$M$17/100,4),0)),2))</f>
        <v/>
      </c>
      <c r="Q14" s="24" t="str">
        <f aca="false">IF(A14="","",IFERROR(ROUND(P14/O14,2),0))</f>
        <v/>
      </c>
      <c r="R14" s="23" t="str">
        <f aca="false">IF(A14="","",IFERROR(ROUND(N14/J14,1),0))</f>
        <v/>
      </c>
    </row>
    <row r="15" customFormat="false" ht="15" hidden="false" customHeight="false" outlineLevel="0" collapsed="false">
      <c r="A15" s="14"/>
      <c r="B15" s="7"/>
      <c r="C15" s="7"/>
      <c r="D15" s="23" t="str">
        <f aca="false">IF(A15="","",ROUND(Producers!$G$17/12,1))</f>
        <v/>
      </c>
      <c r="E15" s="20"/>
      <c r="F15" s="23" t="str">
        <f aca="false">IF(A15="","",IF(E15&lt;&gt;"",E15,D15))</f>
        <v/>
      </c>
      <c r="G15" s="9"/>
      <c r="H15" s="19" t="str">
        <f aca="false">IF(A15="","",ROUND(Settings!$B$2/100*'Book by Line'!$E$17,2))</f>
        <v/>
      </c>
      <c r="I15" s="7"/>
      <c r="J15" s="19" t="str">
        <f aca="false">IF(A15="","",IF(I15&lt;&gt;"",I15,H15))</f>
        <v/>
      </c>
      <c r="K15" s="19" t="str">
        <f aca="false">IF(A15="","",ROUND(Settings!$B$3/100*'Book by Line'!$E$17,2))</f>
        <v/>
      </c>
      <c r="L15" s="7"/>
      <c r="M15" s="19" t="str">
        <f aca="false">IF(A15="","",IF(L15&lt;&gt;"",L15,K15))</f>
        <v/>
      </c>
      <c r="N15" s="19" t="str">
        <f aca="false">IF(A15="","",ROUND(B15+C15+F15*Settings!$B$8,2))</f>
        <v/>
      </c>
      <c r="O15" s="19" t="str">
        <f aca="false">IF(A15="","",IFERROR(ROUND(N15/G15,2),0))</f>
        <v/>
      </c>
      <c r="P15" s="19" t="str">
        <f aca="false">IF(A15="","",ROUND(J15+M15*(IF(Settings!$B$9&gt;=2,'Book by Line'!$M$17/100,0)+IF(Settings!$B$9&gt;=3,POWER('Book by Line'!$M$17/100,2),0)+IF(Settings!$B$9&gt;=4,POWER('Book by Line'!$M$17/100,3),0)+IF(Settings!$B$9&gt;=5,POWER('Book by Line'!$M$17/100,4),0)),2))</f>
        <v/>
      </c>
      <c r="Q15" s="24" t="str">
        <f aca="false">IF(A15="","",IFERROR(ROUND(P15/O15,2),0))</f>
        <v/>
      </c>
      <c r="R15" s="23" t="str">
        <f aca="false">IF(A15="","",IFERROR(ROUND(N15/J15,1),0))</f>
        <v/>
      </c>
    </row>
    <row r="16" customFormat="false" ht="15" hidden="false" customHeight="false" outlineLevel="0" collapsed="false">
      <c r="A16" s="14"/>
      <c r="B16" s="7"/>
      <c r="C16" s="7"/>
      <c r="D16" s="23" t="str">
        <f aca="false">IF(A16="","",ROUND(Producers!$G$17/12,1))</f>
        <v/>
      </c>
      <c r="E16" s="20"/>
      <c r="F16" s="23" t="str">
        <f aca="false">IF(A16="","",IF(E16&lt;&gt;"",E16,D16))</f>
        <v/>
      </c>
      <c r="G16" s="9"/>
      <c r="H16" s="19" t="str">
        <f aca="false">IF(A16="","",ROUND(Settings!$B$2/100*'Book by Line'!$E$17,2))</f>
        <v/>
      </c>
      <c r="I16" s="7"/>
      <c r="J16" s="19" t="str">
        <f aca="false">IF(A16="","",IF(I16&lt;&gt;"",I16,H16))</f>
        <v/>
      </c>
      <c r="K16" s="19" t="str">
        <f aca="false">IF(A16="","",ROUND(Settings!$B$3/100*'Book by Line'!$E$17,2))</f>
        <v/>
      </c>
      <c r="L16" s="7"/>
      <c r="M16" s="19" t="str">
        <f aca="false">IF(A16="","",IF(L16&lt;&gt;"",L16,K16))</f>
        <v/>
      </c>
      <c r="N16" s="19" t="str">
        <f aca="false">IF(A16="","",ROUND(B16+C16+F16*Settings!$B$8,2))</f>
        <v/>
      </c>
      <c r="O16" s="19" t="str">
        <f aca="false">IF(A16="","",IFERROR(ROUND(N16/G16,2),0))</f>
        <v/>
      </c>
      <c r="P16" s="19" t="str">
        <f aca="false">IF(A16="","",ROUND(J16+M16*(IF(Settings!$B$9&gt;=2,'Book by Line'!$M$17/100,0)+IF(Settings!$B$9&gt;=3,POWER('Book by Line'!$M$17/100,2),0)+IF(Settings!$B$9&gt;=4,POWER('Book by Line'!$M$17/100,3),0)+IF(Settings!$B$9&gt;=5,POWER('Book by Line'!$M$17/100,4),0)),2))</f>
        <v/>
      </c>
      <c r="Q16" s="24" t="str">
        <f aca="false">IF(A16="","",IFERROR(ROUND(P16/O16,2),0))</f>
        <v/>
      </c>
      <c r="R16" s="23" t="str">
        <f aca="false">IF(A16="","",IFERROR(ROUND(N16/J16,1),0))</f>
        <v/>
      </c>
    </row>
    <row r="17" customFormat="false" ht="15" hidden="false" customHeight="false" outlineLevel="0" collapsed="false">
      <c r="A17" s="5" t="s">
        <v>80</v>
      </c>
      <c r="B17" s="11" t="n">
        <f aca="false">SUM(B5:B16)</f>
        <v>5200</v>
      </c>
      <c r="C17" s="11" t="n">
        <f aca="false">SUM(C5:C16)</f>
        <v>3300</v>
      </c>
      <c r="F17" s="22" t="n">
        <f aca="false">SUM(F5:F16)</f>
        <v>723.5</v>
      </c>
      <c r="G17" s="10" t="n">
        <f aca="false">SUM(G5:G16)</f>
        <v>130</v>
      </c>
      <c r="J17" s="11" t="n">
        <f aca="false">IFERROR(ROUND(SUMPRODUCT(G5:G16,J5:J16)/G17,2),0)</f>
        <v>255.09</v>
      </c>
      <c r="M17" s="11" t="n">
        <f aca="false">IFERROR(ROUND(SUMPRODUCT(G5:G16,M5:M16)/G17,2),0)</f>
        <v>169.32</v>
      </c>
      <c r="N17" s="11" t="n">
        <f aca="false">SUM(N5:N16)</f>
        <v>41057.5</v>
      </c>
      <c r="O17" s="11" t="n">
        <f aca="false">IFERROR(ROUND(N17/G17,2),0)</f>
        <v>315.83</v>
      </c>
      <c r="P17" s="11" t="n">
        <f aca="false">ROUND(J17+M17*(IF(Settings!$B$9&gt;=2,'Book by Line'!$M$17/100,0)+IF(Settings!$B$9&gt;=3,POWER('Book by Line'!$M$17/100,2),0)+IF(Settings!$B$9&gt;=4,POWER('Book by Line'!$M$17/100,3),0)+IF(Settings!$B$9&gt;=5,POWER('Book by Line'!$M$17/100,4),0)),2)</f>
        <v>549.96</v>
      </c>
      <c r="Q17" s="25" t="n">
        <f aca="false">IFERROR(ROUND(P17/O17,2),0)</f>
        <v>1.74</v>
      </c>
      <c r="R17" s="22" t="n">
        <f aca="false">IFERROR(ROUND(N17/J17,1),0)</f>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1"/>
    <col collapsed="false" customWidth="true" hidden="false" outlineLevel="0" max="6" min="4" style="1" width="10"/>
    <col collapsed="false" customWidth="true" hidden="false" outlineLevel="0" max="7" min="7" style="1" width="9"/>
    <col collapsed="false" customWidth="true" hidden="false" outlineLevel="0" max="9" min="8" style="1" width="10"/>
    <col collapsed="false" customWidth="true" hidden="false" outlineLevel="0" max="10" min="10" style="1" width="9"/>
    <col collapsed="false" customWidth="true" hidden="false" outlineLevel="0" max="14" min="11" style="1" width="11"/>
    <col collapsed="false" customWidth="true" hidden="false" outlineLevel="0" max="15" min="15" style="1" width="10"/>
    <col collapsed="false" customWidth="true" hidden="false" outlineLevel="0" max="16" min="16" style="1" width="11"/>
  </cols>
  <sheetData>
    <row r="1" customFormat="false" ht="17.35" hidden="false" customHeight="false" outlineLevel="0" collapsed="false">
      <c r="A1" s="2" t="s">
        <v>128</v>
      </c>
    </row>
    <row r="2" customFormat="false" ht="15" hidden="false" customHeight="false" outlineLevel="0" collapsed="false">
      <c r="A2" s="3" t="s">
        <v>129</v>
      </c>
    </row>
    <row r="4" customFormat="false" ht="64.9" hidden="false" customHeight="false" outlineLevel="0" collapsed="false">
      <c r="A4" s="13" t="s">
        <v>130</v>
      </c>
      <c r="B4" s="13" t="s">
        <v>82</v>
      </c>
      <c r="C4" s="13" t="s">
        <v>131</v>
      </c>
      <c r="D4" s="13" t="s">
        <v>132</v>
      </c>
      <c r="E4" s="13" t="s">
        <v>133</v>
      </c>
      <c r="F4" s="13" t="s">
        <v>134</v>
      </c>
      <c r="G4" s="13" t="s">
        <v>135</v>
      </c>
      <c r="H4" s="13" t="s">
        <v>136</v>
      </c>
      <c r="I4" s="13" t="s">
        <v>137</v>
      </c>
      <c r="J4" s="13" t="s">
        <v>138</v>
      </c>
      <c r="K4" s="13" t="s">
        <v>139</v>
      </c>
      <c r="L4" s="13" t="s">
        <v>140</v>
      </c>
      <c r="M4" s="13" t="s">
        <v>141</v>
      </c>
      <c r="N4" s="13" t="s">
        <v>142</v>
      </c>
      <c r="O4" s="13" t="s">
        <v>143</v>
      </c>
      <c r="P4" s="13" t="s">
        <v>144</v>
      </c>
    </row>
    <row r="5" customFormat="false" ht="15" hidden="false" customHeight="false" outlineLevel="0" collapsed="false">
      <c r="A5" s="14" t="s">
        <v>145</v>
      </c>
      <c r="B5" s="14" t="s">
        <v>94</v>
      </c>
      <c r="C5" s="15" t="n">
        <v>1450</v>
      </c>
      <c r="D5" s="6" t="n">
        <v>15</v>
      </c>
      <c r="E5" s="16" t="n">
        <f aca="false">IF(A5="","",Settings!$B$4)</f>
        <v>60</v>
      </c>
      <c r="F5" s="17"/>
      <c r="G5" s="16" t="n">
        <f aca="false">IF(A5="","",IF(F5&lt;&gt;"",F5,E5))</f>
        <v>60</v>
      </c>
      <c r="H5" s="19" t="n">
        <f aca="false">IF(A5="","",Settings!$B$5)</f>
        <v>10</v>
      </c>
      <c r="I5" s="7"/>
      <c r="J5" s="19" t="n">
        <f aca="false">IF(A5="","",IF(I5&lt;&gt;"",I5,H5))</f>
        <v>10</v>
      </c>
      <c r="K5" s="19" t="n">
        <f aca="false">IF(A5="","",ROUND(C5*D5/100,2))</f>
        <v>217.5</v>
      </c>
      <c r="L5" s="19" t="n">
        <f aca="false">IF(A5="","",ROUND(K5*G5/100,2))</f>
        <v>130.5</v>
      </c>
      <c r="M5" s="19" t="n">
        <f aca="false">IF(A5="","",ROUND(K5-L5,2))</f>
        <v>87</v>
      </c>
      <c r="N5" s="19" t="n">
        <f aca="false">IF(A5="","",ROUND(L5-J5,2))</f>
        <v>120.5</v>
      </c>
      <c r="O5" s="16" t="n">
        <f aca="false">IF(A5="","",IFERROR(ROUND(N5/C5*100,2),0))</f>
        <v>8.31</v>
      </c>
      <c r="P5" s="19" t="n">
        <f aca="false">IF(A5="","",ROUND(M5+J5,2))</f>
        <v>97</v>
      </c>
    </row>
    <row r="6" customFormat="false" ht="15" hidden="false" customHeight="false" outlineLevel="0" collapsed="false">
      <c r="A6" s="14" t="s">
        <v>146</v>
      </c>
      <c r="B6" s="14" t="s">
        <v>94</v>
      </c>
      <c r="C6" s="15" t="n">
        <v>1700</v>
      </c>
      <c r="D6" s="6" t="n">
        <v>15</v>
      </c>
      <c r="E6" s="16" t="n">
        <f aca="false">IF(A6="","",Settings!$B$4)</f>
        <v>60</v>
      </c>
      <c r="F6" s="17"/>
      <c r="G6" s="16" t="n">
        <f aca="false">IF(A6="","",IF(F6&lt;&gt;"",F6,E6))</f>
        <v>60</v>
      </c>
      <c r="H6" s="19" t="n">
        <f aca="false">IF(A6="","",Settings!$B$5)</f>
        <v>10</v>
      </c>
      <c r="I6" s="7"/>
      <c r="J6" s="19" t="n">
        <f aca="false">IF(A6="","",IF(I6&lt;&gt;"",I6,H6))</f>
        <v>10</v>
      </c>
      <c r="K6" s="19" t="n">
        <f aca="false">IF(A6="","",ROUND(C6*D6/100,2))</f>
        <v>255</v>
      </c>
      <c r="L6" s="19" t="n">
        <f aca="false">IF(A6="","",ROUND(K6*G6/100,2))</f>
        <v>153</v>
      </c>
      <c r="M6" s="19" t="n">
        <f aca="false">IF(A6="","",ROUND(K6-L6,2))</f>
        <v>102</v>
      </c>
      <c r="N6" s="19" t="n">
        <f aca="false">IF(A6="","",ROUND(L6-J6,2))</f>
        <v>143</v>
      </c>
      <c r="O6" s="16" t="n">
        <f aca="false">IF(A6="","",IFERROR(ROUND(N6/C6*100,2),0))</f>
        <v>8.41</v>
      </c>
      <c r="P6" s="19" t="n">
        <f aca="false">IF(A6="","",ROUND(M6+J6,2))</f>
        <v>112</v>
      </c>
    </row>
    <row r="7" customFormat="false" ht="15" hidden="false" customHeight="false" outlineLevel="0" collapsed="false">
      <c r="A7" s="14" t="s">
        <v>147</v>
      </c>
      <c r="B7" s="14" t="s">
        <v>96</v>
      </c>
      <c r="C7" s="15" t="n">
        <v>4800</v>
      </c>
      <c r="D7" s="6" t="n">
        <v>12</v>
      </c>
      <c r="E7" s="16" t="n">
        <f aca="false">IF(A7="","",Settings!$B$4)</f>
        <v>60</v>
      </c>
      <c r="F7" s="17" t="n">
        <v>50</v>
      </c>
      <c r="G7" s="16" t="n">
        <f aca="false">IF(A7="","",IF(F7&lt;&gt;"",F7,E7))</f>
        <v>50</v>
      </c>
      <c r="H7" s="19" t="n">
        <f aca="false">IF(A7="","",Settings!$B$5)</f>
        <v>10</v>
      </c>
      <c r="I7" s="7"/>
      <c r="J7" s="19" t="n">
        <f aca="false">IF(A7="","",IF(I7&lt;&gt;"",I7,H7))</f>
        <v>10</v>
      </c>
      <c r="K7" s="19" t="n">
        <f aca="false">IF(A7="","",ROUND(C7*D7/100,2))</f>
        <v>576</v>
      </c>
      <c r="L7" s="19" t="n">
        <f aca="false">IF(A7="","",ROUND(K7*G7/100,2))</f>
        <v>288</v>
      </c>
      <c r="M7" s="19" t="n">
        <f aca="false">IF(A7="","",ROUND(K7-L7,2))</f>
        <v>288</v>
      </c>
      <c r="N7" s="19" t="n">
        <f aca="false">IF(A7="","",ROUND(L7-J7,2))</f>
        <v>278</v>
      </c>
      <c r="O7" s="16" t="n">
        <f aca="false">IF(A7="","",IFERROR(ROUND(N7/C7*100,2),0))</f>
        <v>5.79</v>
      </c>
      <c r="P7" s="19" t="n">
        <f aca="false">IF(A7="","",ROUND(M7+J7,2))</f>
        <v>298</v>
      </c>
    </row>
    <row r="8" customFormat="false" ht="15" hidden="false" customHeight="false" outlineLevel="0" collapsed="false">
      <c r="A8" s="14" t="s">
        <v>148</v>
      </c>
      <c r="B8" s="14" t="s">
        <v>97</v>
      </c>
      <c r="C8" s="15" t="n">
        <v>1100</v>
      </c>
      <c r="D8" s="6" t="n">
        <v>60</v>
      </c>
      <c r="E8" s="16" t="n">
        <f aca="false">IF(A8="","",Settings!$B$4)</f>
        <v>60</v>
      </c>
      <c r="F8" s="17"/>
      <c r="G8" s="16" t="n">
        <f aca="false">IF(A8="","",IF(F8&lt;&gt;"",F8,E8))</f>
        <v>60</v>
      </c>
      <c r="H8" s="19" t="n">
        <f aca="false">IF(A8="","",Settings!$B$5)</f>
        <v>10</v>
      </c>
      <c r="I8" s="7"/>
      <c r="J8" s="19" t="n">
        <f aca="false">IF(A8="","",IF(I8&lt;&gt;"",I8,H8))</f>
        <v>10</v>
      </c>
      <c r="K8" s="19" t="n">
        <f aca="false">IF(A8="","",ROUND(C8*D8/100,2))</f>
        <v>660</v>
      </c>
      <c r="L8" s="19" t="n">
        <f aca="false">IF(A8="","",ROUND(K8*G8/100,2))</f>
        <v>396</v>
      </c>
      <c r="M8" s="19" t="n">
        <f aca="false">IF(A8="","",ROUND(K8-L8,2))</f>
        <v>264</v>
      </c>
      <c r="N8" s="19" t="n">
        <f aca="false">IF(A8="","",ROUND(L8-J8,2))</f>
        <v>386</v>
      </c>
      <c r="O8" s="16" t="n">
        <f aca="false">IF(A8="","",IFERROR(ROUND(N8/C8*100,2),0))</f>
        <v>35.09</v>
      </c>
      <c r="P8" s="19" t="n">
        <f aca="false">IF(A8="","",ROUND(M8+J8,2))</f>
        <v>274</v>
      </c>
    </row>
    <row r="9" customFormat="false" ht="15" hidden="false" customHeight="false" outlineLevel="0" collapsed="false">
      <c r="A9" s="14" t="s">
        <v>149</v>
      </c>
      <c r="B9" s="14" t="s">
        <v>97</v>
      </c>
      <c r="C9" s="15" t="n">
        <v>1300</v>
      </c>
      <c r="D9" s="6" t="n">
        <v>15</v>
      </c>
      <c r="E9" s="16" t="n">
        <f aca="false">IF(A9="","",Settings!$B$4)</f>
        <v>60</v>
      </c>
      <c r="F9" s="17"/>
      <c r="G9" s="16" t="n">
        <f aca="false">IF(A9="","",IF(F9&lt;&gt;"",F9,E9))</f>
        <v>60</v>
      </c>
      <c r="H9" s="19" t="n">
        <f aca="false">IF(A9="","",Settings!$B$5)</f>
        <v>10</v>
      </c>
      <c r="I9" s="7"/>
      <c r="J9" s="19" t="n">
        <f aca="false">IF(A9="","",IF(I9&lt;&gt;"",I9,H9))</f>
        <v>10</v>
      </c>
      <c r="K9" s="19" t="n">
        <f aca="false">IF(A9="","",ROUND(C9*D9/100,2))</f>
        <v>195</v>
      </c>
      <c r="L9" s="19" t="n">
        <f aca="false">IF(A9="","",ROUND(K9*G9/100,2))</f>
        <v>117</v>
      </c>
      <c r="M9" s="19" t="n">
        <f aca="false">IF(A9="","",ROUND(K9-L9,2))</f>
        <v>78</v>
      </c>
      <c r="N9" s="19" t="n">
        <f aca="false">IF(A9="","",ROUND(L9-J9,2))</f>
        <v>107</v>
      </c>
      <c r="O9" s="16" t="n">
        <f aca="false">IF(A9="","",IFERROR(ROUND(N9/C9*100,2),0))</f>
        <v>8.23</v>
      </c>
      <c r="P9" s="19" t="n">
        <f aca="false">IF(A9="","",ROUND(M9+J9,2))</f>
        <v>88</v>
      </c>
    </row>
    <row r="10" customFormat="false" ht="15" hidden="false" customHeight="false" outlineLevel="0" collapsed="false">
      <c r="A10" s="14" t="s">
        <v>150</v>
      </c>
      <c r="B10" s="14" t="s">
        <v>96</v>
      </c>
      <c r="C10" s="15" t="n">
        <v>1550</v>
      </c>
      <c r="D10" s="6" t="n">
        <v>15</v>
      </c>
      <c r="E10" s="16" t="n">
        <f aca="false">IF(A10="","",Settings!$B$4)</f>
        <v>60</v>
      </c>
      <c r="F10" s="17"/>
      <c r="G10" s="16" t="n">
        <f aca="false">IF(A10="","",IF(F10&lt;&gt;"",F10,E10))</f>
        <v>60</v>
      </c>
      <c r="H10" s="19" t="n">
        <f aca="false">IF(A10="","",Settings!$B$5)</f>
        <v>10</v>
      </c>
      <c r="I10" s="7" t="n">
        <v>0</v>
      </c>
      <c r="J10" s="19" t="n">
        <f aca="false">IF(A10="","",IF(I10&lt;&gt;"",I10,H10))</f>
        <v>0</v>
      </c>
      <c r="K10" s="19" t="n">
        <f aca="false">IF(A10="","",ROUND(C10*D10/100,2))</f>
        <v>232.5</v>
      </c>
      <c r="L10" s="19" t="n">
        <f aca="false">IF(A10="","",ROUND(K10*G10/100,2))</f>
        <v>139.5</v>
      </c>
      <c r="M10" s="19" t="n">
        <f aca="false">IF(A10="","",ROUND(K10-L10,2))</f>
        <v>93</v>
      </c>
      <c r="N10" s="19" t="n">
        <f aca="false">IF(A10="","",ROUND(L10-J10,2))</f>
        <v>139.5</v>
      </c>
      <c r="O10" s="16" t="n">
        <f aca="false">IF(A10="","",IFERROR(ROUND(N10/C10*100,2),0))</f>
        <v>9</v>
      </c>
      <c r="P10" s="19" t="n">
        <f aca="false">IF(A10="","",ROUND(M10+J10,2))</f>
        <v>93</v>
      </c>
    </row>
    <row r="11" customFormat="false" ht="15" hidden="false" customHeight="false" outlineLevel="0" collapsed="false">
      <c r="A11" s="14" t="s">
        <v>151</v>
      </c>
      <c r="B11" s="14" t="s">
        <v>98</v>
      </c>
      <c r="C11" s="15" t="n">
        <v>7200</v>
      </c>
      <c r="D11" s="6" t="n">
        <v>12</v>
      </c>
      <c r="E11" s="16" t="n">
        <f aca="false">IF(A11="","",Settings!$B$4)</f>
        <v>60</v>
      </c>
      <c r="F11" s="17"/>
      <c r="G11" s="16" t="n">
        <f aca="false">IF(A11="","",IF(F11&lt;&gt;"",F11,E11))</f>
        <v>60</v>
      </c>
      <c r="H11" s="19" t="n">
        <f aca="false">IF(A11="","",Settings!$B$5)</f>
        <v>10</v>
      </c>
      <c r="I11" s="7"/>
      <c r="J11" s="19" t="n">
        <f aca="false">IF(A11="","",IF(I11&lt;&gt;"",I11,H11))</f>
        <v>10</v>
      </c>
      <c r="K11" s="19" t="n">
        <f aca="false">IF(A11="","",ROUND(C11*D11/100,2))</f>
        <v>864</v>
      </c>
      <c r="L11" s="19" t="n">
        <f aca="false">IF(A11="","",ROUND(K11*G11/100,2))</f>
        <v>518.4</v>
      </c>
      <c r="M11" s="19" t="n">
        <f aca="false">IF(A11="","",ROUND(K11-L11,2))</f>
        <v>345.6</v>
      </c>
      <c r="N11" s="19" t="n">
        <f aca="false">IF(A11="","",ROUND(L11-J11,2))</f>
        <v>508.4</v>
      </c>
      <c r="O11" s="16" t="n">
        <f aca="false">IF(A11="","",IFERROR(ROUND(N11/C11*100,2),0))</f>
        <v>7.06</v>
      </c>
      <c r="P11" s="19" t="n">
        <f aca="false">IF(A11="","",ROUND(M11+J11,2))</f>
        <v>355.6</v>
      </c>
    </row>
    <row r="12" customFormat="false" ht="15" hidden="false" customHeight="false" outlineLevel="0" collapsed="false">
      <c r="A12" s="14" t="s">
        <v>152</v>
      </c>
      <c r="B12" s="14" t="s">
        <v>98</v>
      </c>
      <c r="C12" s="15" t="n">
        <v>480</v>
      </c>
      <c r="D12" s="6" t="n">
        <v>15</v>
      </c>
      <c r="E12" s="16" t="n">
        <f aca="false">IF(A12="","",Settings!$B$4)</f>
        <v>60</v>
      </c>
      <c r="F12" s="17"/>
      <c r="G12" s="16" t="n">
        <f aca="false">IF(A12="","",IF(F12&lt;&gt;"",F12,E12))</f>
        <v>60</v>
      </c>
      <c r="H12" s="19" t="n">
        <f aca="false">IF(A12="","",Settings!$B$5)</f>
        <v>10</v>
      </c>
      <c r="I12" s="7"/>
      <c r="J12" s="19" t="n">
        <f aca="false">IF(A12="","",IF(I12&lt;&gt;"",I12,H12))</f>
        <v>10</v>
      </c>
      <c r="K12" s="19" t="n">
        <f aca="false">IF(A12="","",ROUND(C12*D12/100,2))</f>
        <v>72</v>
      </c>
      <c r="L12" s="19" t="n">
        <f aca="false">IF(A12="","",ROUND(K12*G12/100,2))</f>
        <v>43.2</v>
      </c>
      <c r="M12" s="19" t="n">
        <f aca="false">IF(A12="","",ROUND(K12-L12,2))</f>
        <v>28.8</v>
      </c>
      <c r="N12" s="19" t="n">
        <f aca="false">IF(A12="","",ROUND(L12-J12,2))</f>
        <v>33.2</v>
      </c>
      <c r="O12" s="16" t="n">
        <f aca="false">IF(A12="","",IFERROR(ROUND(N12/C12*100,2),0))</f>
        <v>6.92</v>
      </c>
      <c r="P12" s="19" t="n">
        <f aca="false">IF(A12="","",ROUND(M12+J12,2))</f>
        <v>38.8</v>
      </c>
    </row>
    <row r="13" customFormat="false" ht="15" hidden="false" customHeight="false" outlineLevel="0" collapsed="false">
      <c r="A13" s="14" t="s">
        <v>153</v>
      </c>
      <c r="B13" s="14" t="s">
        <v>94</v>
      </c>
      <c r="C13" s="15" t="n">
        <v>2600</v>
      </c>
      <c r="D13" s="6" t="n">
        <v>8</v>
      </c>
      <c r="E13" s="16" t="n">
        <f aca="false">IF(A13="","",Settings!$B$4)</f>
        <v>60</v>
      </c>
      <c r="F13" s="17"/>
      <c r="G13" s="16" t="n">
        <f aca="false">IF(A13="","",IF(F13&lt;&gt;"",F13,E13))</f>
        <v>60</v>
      </c>
      <c r="H13" s="19" t="n">
        <f aca="false">IF(A13="","",Settings!$B$5)</f>
        <v>10</v>
      </c>
      <c r="I13" s="7"/>
      <c r="J13" s="19" t="n">
        <f aca="false">IF(A13="","",IF(I13&lt;&gt;"",I13,H13))</f>
        <v>10</v>
      </c>
      <c r="K13" s="19" t="n">
        <f aca="false">IF(A13="","",ROUND(C13*D13/100,2))</f>
        <v>208</v>
      </c>
      <c r="L13" s="19" t="n">
        <f aca="false">IF(A13="","",ROUND(K13*G13/100,2))</f>
        <v>124.8</v>
      </c>
      <c r="M13" s="19" t="n">
        <f aca="false">IF(A13="","",ROUND(K13-L13,2))</f>
        <v>83.2</v>
      </c>
      <c r="N13" s="19" t="n">
        <f aca="false">IF(A13="","",ROUND(L13-J13,2))</f>
        <v>114.8</v>
      </c>
      <c r="O13" s="16" t="n">
        <f aca="false">IF(A13="","",IFERROR(ROUND(N13/C13*100,2),0))</f>
        <v>4.42</v>
      </c>
      <c r="P13" s="19" t="n">
        <f aca="false">IF(A13="","",ROUND(M13+J13,2))</f>
        <v>93.2</v>
      </c>
    </row>
    <row r="14" customFormat="false" ht="15" hidden="false" customHeight="false" outlineLevel="0" collapsed="false">
      <c r="A14" s="14" t="s">
        <v>154</v>
      </c>
      <c r="B14" s="14" t="s">
        <v>99</v>
      </c>
      <c r="C14" s="15" t="n">
        <v>1250</v>
      </c>
      <c r="D14" s="6" t="n">
        <v>15</v>
      </c>
      <c r="E14" s="16" t="n">
        <f aca="false">IF(A14="","",Settings!$B$4)</f>
        <v>60</v>
      </c>
      <c r="F14" s="17"/>
      <c r="G14" s="16" t="n">
        <f aca="false">IF(A14="","",IF(F14&lt;&gt;"",F14,E14))</f>
        <v>60</v>
      </c>
      <c r="H14" s="19" t="n">
        <f aca="false">IF(A14="","",Settings!$B$5)</f>
        <v>10</v>
      </c>
      <c r="I14" s="7"/>
      <c r="J14" s="19" t="n">
        <f aca="false">IF(A14="","",IF(I14&lt;&gt;"",I14,H14))</f>
        <v>10</v>
      </c>
      <c r="K14" s="19" t="n">
        <f aca="false">IF(A14="","",ROUND(C14*D14/100,2))</f>
        <v>187.5</v>
      </c>
      <c r="L14" s="19" t="n">
        <f aca="false">IF(A14="","",ROUND(K14*G14/100,2))</f>
        <v>112.5</v>
      </c>
      <c r="M14" s="19" t="n">
        <f aca="false">IF(A14="","",ROUND(K14-L14,2))</f>
        <v>75</v>
      </c>
      <c r="N14" s="19" t="n">
        <f aca="false">IF(A14="","",ROUND(L14-J14,2))</f>
        <v>102.5</v>
      </c>
      <c r="O14" s="16" t="n">
        <f aca="false">IF(A14="","",IFERROR(ROUND(N14/C14*100,2),0))</f>
        <v>8.2</v>
      </c>
      <c r="P14" s="19" t="n">
        <f aca="false">IF(A14="","",ROUND(M14+J14,2))</f>
        <v>85</v>
      </c>
    </row>
    <row r="15" customFormat="false" ht="15" hidden="false" customHeight="false" outlineLevel="0" collapsed="false">
      <c r="A15" s="14"/>
      <c r="B15" s="14"/>
      <c r="C15" s="7"/>
      <c r="D15" s="17"/>
      <c r="E15" s="16" t="str">
        <f aca="false">IF(A15="","",Settings!$B$4)</f>
        <v/>
      </c>
      <c r="F15" s="17"/>
      <c r="G15" s="16" t="str">
        <f aca="false">IF(A15="","",IF(F15&lt;&gt;"",F15,E15))</f>
        <v/>
      </c>
      <c r="H15" s="19" t="str">
        <f aca="false">IF(A15="","",Settings!$B$5)</f>
        <v/>
      </c>
      <c r="I15" s="7"/>
      <c r="J15" s="19" t="str">
        <f aca="false">IF(A15="","",IF(I15&lt;&gt;"",I15,H15))</f>
        <v/>
      </c>
      <c r="K15" s="19" t="str">
        <f aca="false">IF(A15="","",ROUND(C15*D15/100,2))</f>
        <v/>
      </c>
      <c r="L15" s="19" t="str">
        <f aca="false">IF(A15="","",ROUND(K15*G15/100,2))</f>
        <v/>
      </c>
      <c r="M15" s="19" t="str">
        <f aca="false">IF(A15="","",ROUND(K15-L15,2))</f>
        <v/>
      </c>
      <c r="N15" s="19" t="str">
        <f aca="false">IF(A15="","",ROUND(L15-J15,2))</f>
        <v/>
      </c>
      <c r="O15" s="16" t="str">
        <f aca="false">IF(A15="","",IFERROR(ROUND(N15/C15*100,2),0))</f>
        <v/>
      </c>
      <c r="P15" s="19" t="str">
        <f aca="false">IF(A15="","",ROUND(M15+J15,2))</f>
        <v/>
      </c>
    </row>
    <row r="16" customFormat="false" ht="15" hidden="false" customHeight="false" outlineLevel="0" collapsed="false">
      <c r="A16" s="14"/>
      <c r="B16" s="14"/>
      <c r="C16" s="7"/>
      <c r="D16" s="17"/>
      <c r="E16" s="16" t="str">
        <f aca="false">IF(A16="","",Settings!$B$4)</f>
        <v/>
      </c>
      <c r="F16" s="17"/>
      <c r="G16" s="16" t="str">
        <f aca="false">IF(A16="","",IF(F16&lt;&gt;"",F16,E16))</f>
        <v/>
      </c>
      <c r="H16" s="19" t="str">
        <f aca="false">IF(A16="","",Settings!$B$5)</f>
        <v/>
      </c>
      <c r="I16" s="7"/>
      <c r="J16" s="19" t="str">
        <f aca="false">IF(A16="","",IF(I16&lt;&gt;"",I16,H16))</f>
        <v/>
      </c>
      <c r="K16" s="19" t="str">
        <f aca="false">IF(A16="","",ROUND(C16*D16/100,2))</f>
        <v/>
      </c>
      <c r="L16" s="19" t="str">
        <f aca="false">IF(A16="","",ROUND(K16*G16/100,2))</f>
        <v/>
      </c>
      <c r="M16" s="19" t="str">
        <f aca="false">IF(A16="","",ROUND(K16-L16,2))</f>
        <v/>
      </c>
      <c r="N16" s="19" t="str">
        <f aca="false">IF(A16="","",ROUND(L16-J16,2))</f>
        <v/>
      </c>
      <c r="O16" s="16" t="str">
        <f aca="false">IF(A16="","",IFERROR(ROUND(N16/C16*100,2),0))</f>
        <v/>
      </c>
      <c r="P16" s="19" t="str">
        <f aca="false">IF(A16="","",ROUND(M16+J16,2))</f>
        <v/>
      </c>
    </row>
    <row r="17" customFormat="false" ht="15" hidden="false" customHeight="false" outlineLevel="0" collapsed="false">
      <c r="A17" s="14"/>
      <c r="B17" s="14"/>
      <c r="C17" s="7"/>
      <c r="D17" s="17"/>
      <c r="E17" s="16" t="str">
        <f aca="false">IF(A17="","",Settings!$B$4)</f>
        <v/>
      </c>
      <c r="F17" s="17"/>
      <c r="G17" s="16" t="str">
        <f aca="false">IF(A17="","",IF(F17&lt;&gt;"",F17,E17))</f>
        <v/>
      </c>
      <c r="H17" s="19" t="str">
        <f aca="false">IF(A17="","",Settings!$B$5)</f>
        <v/>
      </c>
      <c r="I17" s="7"/>
      <c r="J17" s="19" t="str">
        <f aca="false">IF(A17="","",IF(I17&lt;&gt;"",I17,H17))</f>
        <v/>
      </c>
      <c r="K17" s="19" t="str">
        <f aca="false">IF(A17="","",ROUND(C17*D17/100,2))</f>
        <v/>
      </c>
      <c r="L17" s="19" t="str">
        <f aca="false">IF(A17="","",ROUND(K17*G17/100,2))</f>
        <v/>
      </c>
      <c r="M17" s="19" t="str">
        <f aca="false">IF(A17="","",ROUND(K17-L17,2))</f>
        <v/>
      </c>
      <c r="N17" s="19" t="str">
        <f aca="false">IF(A17="","",ROUND(L17-J17,2))</f>
        <v/>
      </c>
      <c r="O17" s="16" t="str">
        <f aca="false">IF(A17="","",IFERROR(ROUND(N17/C17*100,2),0))</f>
        <v/>
      </c>
      <c r="P17" s="19" t="str">
        <f aca="false">IF(A17="","",ROUND(M17+J17,2))</f>
        <v/>
      </c>
    </row>
    <row r="18" customFormat="false" ht="15" hidden="false" customHeight="false" outlineLevel="0" collapsed="false">
      <c r="A18" s="14"/>
      <c r="B18" s="14"/>
      <c r="C18" s="7"/>
      <c r="D18" s="17"/>
      <c r="E18" s="16" t="str">
        <f aca="false">IF(A18="","",Settings!$B$4)</f>
        <v/>
      </c>
      <c r="F18" s="17"/>
      <c r="G18" s="16" t="str">
        <f aca="false">IF(A18="","",IF(F18&lt;&gt;"",F18,E18))</f>
        <v/>
      </c>
      <c r="H18" s="19" t="str">
        <f aca="false">IF(A18="","",Settings!$B$5)</f>
        <v/>
      </c>
      <c r="I18" s="7"/>
      <c r="J18" s="19" t="str">
        <f aca="false">IF(A18="","",IF(I18&lt;&gt;"",I18,H18))</f>
        <v/>
      </c>
      <c r="K18" s="19" t="str">
        <f aca="false">IF(A18="","",ROUND(C18*D18/100,2))</f>
        <v/>
      </c>
      <c r="L18" s="19" t="str">
        <f aca="false">IF(A18="","",ROUND(K18*G18/100,2))</f>
        <v/>
      </c>
      <c r="M18" s="19" t="str">
        <f aca="false">IF(A18="","",ROUND(K18-L18,2))</f>
        <v/>
      </c>
      <c r="N18" s="19" t="str">
        <f aca="false">IF(A18="","",ROUND(L18-J18,2))</f>
        <v/>
      </c>
      <c r="O18" s="16" t="str">
        <f aca="false">IF(A18="","",IFERROR(ROUND(N18/C18*100,2),0))</f>
        <v/>
      </c>
      <c r="P18" s="19" t="str">
        <f aca="false">IF(A18="","",ROUND(M18+J18,2))</f>
        <v/>
      </c>
    </row>
    <row r="19" customFormat="false" ht="15" hidden="false" customHeight="false" outlineLevel="0" collapsed="false">
      <c r="A19" s="14"/>
      <c r="B19" s="14"/>
      <c r="C19" s="7"/>
      <c r="D19" s="17"/>
      <c r="E19" s="16" t="str">
        <f aca="false">IF(A19="","",Settings!$B$4)</f>
        <v/>
      </c>
      <c r="F19" s="17"/>
      <c r="G19" s="16" t="str">
        <f aca="false">IF(A19="","",IF(F19&lt;&gt;"",F19,E19))</f>
        <v/>
      </c>
      <c r="H19" s="19" t="str">
        <f aca="false">IF(A19="","",Settings!$B$5)</f>
        <v/>
      </c>
      <c r="I19" s="7"/>
      <c r="J19" s="19" t="str">
        <f aca="false">IF(A19="","",IF(I19&lt;&gt;"",I19,H19))</f>
        <v/>
      </c>
      <c r="K19" s="19" t="str">
        <f aca="false">IF(A19="","",ROUND(C19*D19/100,2))</f>
        <v/>
      </c>
      <c r="L19" s="19" t="str">
        <f aca="false">IF(A19="","",ROUND(K19*G19/100,2))</f>
        <v/>
      </c>
      <c r="M19" s="19" t="str">
        <f aca="false">IF(A19="","",ROUND(K19-L19,2))</f>
        <v/>
      </c>
      <c r="N19" s="19" t="str">
        <f aca="false">IF(A19="","",ROUND(L19-J19,2))</f>
        <v/>
      </c>
      <c r="O19" s="16" t="str">
        <f aca="false">IF(A19="","",IFERROR(ROUND(N19/C19*100,2),0))</f>
        <v/>
      </c>
      <c r="P19" s="19" t="str">
        <f aca="false">IF(A19="","",ROUND(M19+J19,2))</f>
        <v/>
      </c>
    </row>
    <row r="20" customFormat="false" ht="15" hidden="false" customHeight="false" outlineLevel="0" collapsed="false">
      <c r="A20" s="14"/>
      <c r="B20" s="14"/>
      <c r="C20" s="7"/>
      <c r="D20" s="17"/>
      <c r="E20" s="16" t="str">
        <f aca="false">IF(A20="","",Settings!$B$4)</f>
        <v/>
      </c>
      <c r="F20" s="17"/>
      <c r="G20" s="16" t="str">
        <f aca="false">IF(A20="","",IF(F20&lt;&gt;"",F20,E20))</f>
        <v/>
      </c>
      <c r="H20" s="19" t="str">
        <f aca="false">IF(A20="","",Settings!$B$5)</f>
        <v/>
      </c>
      <c r="I20" s="7"/>
      <c r="J20" s="19" t="str">
        <f aca="false">IF(A20="","",IF(I20&lt;&gt;"",I20,H20))</f>
        <v/>
      </c>
      <c r="K20" s="19" t="str">
        <f aca="false">IF(A20="","",ROUND(C20*D20/100,2))</f>
        <v/>
      </c>
      <c r="L20" s="19" t="str">
        <f aca="false">IF(A20="","",ROUND(K20*G20/100,2))</f>
        <v/>
      </c>
      <c r="M20" s="19" t="str">
        <f aca="false">IF(A20="","",ROUND(K20-L20,2))</f>
        <v/>
      </c>
      <c r="N20" s="19" t="str">
        <f aca="false">IF(A20="","",ROUND(L20-J20,2))</f>
        <v/>
      </c>
      <c r="O20" s="16" t="str">
        <f aca="false">IF(A20="","",IFERROR(ROUND(N20/C20*100,2),0))</f>
        <v/>
      </c>
      <c r="P20" s="19" t="str">
        <f aca="false">IF(A20="","",ROUND(M20+J20,2))</f>
        <v/>
      </c>
    </row>
    <row r="21" customFormat="false" ht="15" hidden="false" customHeight="false" outlineLevel="0" collapsed="false">
      <c r="A21" s="14"/>
      <c r="B21" s="14"/>
      <c r="C21" s="7"/>
      <c r="D21" s="17"/>
      <c r="E21" s="16" t="str">
        <f aca="false">IF(A21="","",Settings!$B$4)</f>
        <v/>
      </c>
      <c r="F21" s="17"/>
      <c r="G21" s="16" t="str">
        <f aca="false">IF(A21="","",IF(F21&lt;&gt;"",F21,E21))</f>
        <v/>
      </c>
      <c r="H21" s="19" t="str">
        <f aca="false">IF(A21="","",Settings!$B$5)</f>
        <v/>
      </c>
      <c r="I21" s="7"/>
      <c r="J21" s="19" t="str">
        <f aca="false">IF(A21="","",IF(I21&lt;&gt;"",I21,H21))</f>
        <v/>
      </c>
      <c r="K21" s="19" t="str">
        <f aca="false">IF(A21="","",ROUND(C21*D21/100,2))</f>
        <v/>
      </c>
      <c r="L21" s="19" t="str">
        <f aca="false">IF(A21="","",ROUND(K21*G21/100,2))</f>
        <v/>
      </c>
      <c r="M21" s="19" t="str">
        <f aca="false">IF(A21="","",ROUND(K21-L21,2))</f>
        <v/>
      </c>
      <c r="N21" s="19" t="str">
        <f aca="false">IF(A21="","",ROUND(L21-J21,2))</f>
        <v/>
      </c>
      <c r="O21" s="16" t="str">
        <f aca="false">IF(A21="","",IFERROR(ROUND(N21/C21*100,2),0))</f>
        <v/>
      </c>
      <c r="P21" s="19" t="str">
        <f aca="false">IF(A21="","",ROUND(M21+J21,2))</f>
        <v/>
      </c>
    </row>
    <row r="22" customFormat="false" ht="15" hidden="false" customHeight="false" outlineLevel="0" collapsed="false">
      <c r="A22" s="14"/>
      <c r="B22" s="14"/>
      <c r="C22" s="7"/>
      <c r="D22" s="17"/>
      <c r="E22" s="16" t="str">
        <f aca="false">IF(A22="","",Settings!$B$4)</f>
        <v/>
      </c>
      <c r="F22" s="17"/>
      <c r="G22" s="16" t="str">
        <f aca="false">IF(A22="","",IF(F22&lt;&gt;"",F22,E22))</f>
        <v/>
      </c>
      <c r="H22" s="19" t="str">
        <f aca="false">IF(A22="","",Settings!$B$5)</f>
        <v/>
      </c>
      <c r="I22" s="7"/>
      <c r="J22" s="19" t="str">
        <f aca="false">IF(A22="","",IF(I22&lt;&gt;"",I22,H22))</f>
        <v/>
      </c>
      <c r="K22" s="19" t="str">
        <f aca="false">IF(A22="","",ROUND(C22*D22/100,2))</f>
        <v/>
      </c>
      <c r="L22" s="19" t="str">
        <f aca="false">IF(A22="","",ROUND(K22*G22/100,2))</f>
        <v/>
      </c>
      <c r="M22" s="19" t="str">
        <f aca="false">IF(A22="","",ROUND(K22-L22,2))</f>
        <v/>
      </c>
      <c r="N22" s="19" t="str">
        <f aca="false">IF(A22="","",ROUND(L22-J22,2))</f>
        <v/>
      </c>
      <c r="O22" s="16" t="str">
        <f aca="false">IF(A22="","",IFERROR(ROUND(N22/C22*100,2),0))</f>
        <v/>
      </c>
      <c r="P22" s="19" t="str">
        <f aca="false">IF(A22="","",ROUND(M22+J22,2))</f>
        <v/>
      </c>
    </row>
    <row r="23" customFormat="false" ht="15" hidden="false" customHeight="false" outlineLevel="0" collapsed="false">
      <c r="A23" s="14"/>
      <c r="B23" s="14"/>
      <c r="C23" s="7"/>
      <c r="D23" s="17"/>
      <c r="E23" s="16" t="str">
        <f aca="false">IF(A23="","",Settings!$B$4)</f>
        <v/>
      </c>
      <c r="F23" s="17"/>
      <c r="G23" s="16" t="str">
        <f aca="false">IF(A23="","",IF(F23&lt;&gt;"",F23,E23))</f>
        <v/>
      </c>
      <c r="H23" s="19" t="str">
        <f aca="false">IF(A23="","",Settings!$B$5)</f>
        <v/>
      </c>
      <c r="I23" s="7"/>
      <c r="J23" s="19" t="str">
        <f aca="false">IF(A23="","",IF(I23&lt;&gt;"",I23,H23))</f>
        <v/>
      </c>
      <c r="K23" s="19" t="str">
        <f aca="false">IF(A23="","",ROUND(C23*D23/100,2))</f>
        <v/>
      </c>
      <c r="L23" s="19" t="str">
        <f aca="false">IF(A23="","",ROUND(K23*G23/100,2))</f>
        <v/>
      </c>
      <c r="M23" s="19" t="str">
        <f aca="false">IF(A23="","",ROUND(K23-L23,2))</f>
        <v/>
      </c>
      <c r="N23" s="19" t="str">
        <f aca="false">IF(A23="","",ROUND(L23-J23,2))</f>
        <v/>
      </c>
      <c r="O23" s="16" t="str">
        <f aca="false">IF(A23="","",IFERROR(ROUND(N23/C23*100,2),0))</f>
        <v/>
      </c>
      <c r="P23" s="19" t="str">
        <f aca="false">IF(A23="","",ROUND(M23+J23,2))</f>
        <v/>
      </c>
    </row>
    <row r="24" customFormat="false" ht="15" hidden="false" customHeight="false" outlineLevel="0" collapsed="false">
      <c r="A24" s="14"/>
      <c r="B24" s="14"/>
      <c r="C24" s="7"/>
      <c r="D24" s="17"/>
      <c r="E24" s="16" t="str">
        <f aca="false">IF(A24="","",Settings!$B$4)</f>
        <v/>
      </c>
      <c r="F24" s="17"/>
      <c r="G24" s="16" t="str">
        <f aca="false">IF(A24="","",IF(F24&lt;&gt;"",F24,E24))</f>
        <v/>
      </c>
      <c r="H24" s="19" t="str">
        <f aca="false">IF(A24="","",Settings!$B$5)</f>
        <v/>
      </c>
      <c r="I24" s="7"/>
      <c r="J24" s="19" t="str">
        <f aca="false">IF(A24="","",IF(I24&lt;&gt;"",I24,H24))</f>
        <v/>
      </c>
      <c r="K24" s="19" t="str">
        <f aca="false">IF(A24="","",ROUND(C24*D24/100,2))</f>
        <v/>
      </c>
      <c r="L24" s="19" t="str">
        <f aca="false">IF(A24="","",ROUND(K24*G24/100,2))</f>
        <v/>
      </c>
      <c r="M24" s="19" t="str">
        <f aca="false">IF(A24="","",ROUND(K24-L24,2))</f>
        <v/>
      </c>
      <c r="N24" s="19" t="str">
        <f aca="false">IF(A24="","",ROUND(L24-J24,2))</f>
        <v/>
      </c>
      <c r="O24" s="16" t="str">
        <f aca="false">IF(A24="","",IFERROR(ROUND(N24/C24*100,2),0))</f>
        <v/>
      </c>
      <c r="P24" s="19" t="str">
        <f aca="false">IF(A24="","",ROUND(M24+J24,2))</f>
        <v/>
      </c>
    </row>
    <row r="25" customFormat="false" ht="15" hidden="false" customHeight="false" outlineLevel="0" collapsed="false">
      <c r="A25" s="5" t="s">
        <v>80</v>
      </c>
      <c r="C25" s="11" t="n">
        <f aca="false">SUM(C5:C24)</f>
        <v>23430</v>
      </c>
      <c r="J25" s="11" t="n">
        <f aca="false">SUM(J5:J24)</f>
        <v>90</v>
      </c>
      <c r="K25" s="11" t="n">
        <f aca="false">SUM(K5:K24)</f>
        <v>3467.5</v>
      </c>
      <c r="L25" s="11" t="n">
        <f aca="false">SUM(L5:L24)</f>
        <v>2022.9</v>
      </c>
      <c r="M25" s="11" t="n">
        <f aca="false">SUM(M5:M24)</f>
        <v>1444.6</v>
      </c>
      <c r="N25" s="11" t="n">
        <f aca="false">SUM(N5:N24)</f>
        <v>1932.9</v>
      </c>
      <c r="O25" s="12" t="n">
        <f aca="false">IFERROR(ROUND(N25/C25*100,2),0)</f>
        <v>8.25</v>
      </c>
      <c r="P25" s="11" t="n">
        <f aca="false">SUM(P5:P24)</f>
        <v>1534.6</v>
      </c>
    </row>
    <row r="26" customFormat="false" ht="15" hidden="false" customHeight="false" outlineLevel="0" collapsed="false">
      <c r="A26" s="5" t="s">
        <v>155</v>
      </c>
    </row>
    <row r="27" customFormat="false" ht="39.55" hidden="false" customHeight="false" outlineLevel="0" collapsed="false">
      <c r="A27" s="13" t="s">
        <v>82</v>
      </c>
      <c r="B27" s="13" t="s">
        <v>156</v>
      </c>
      <c r="C27" s="13" t="s">
        <v>131</v>
      </c>
      <c r="D27" s="13" t="s">
        <v>139</v>
      </c>
      <c r="E27" s="13" t="s">
        <v>142</v>
      </c>
      <c r="F27" s="13" t="s">
        <v>144</v>
      </c>
    </row>
    <row r="28" customFormat="false" ht="15" hidden="false" customHeight="false" outlineLevel="0" collapsed="false">
      <c r="A28" s="14" t="s">
        <v>94</v>
      </c>
      <c r="B28" s="18" t="n">
        <f aca="false">IF(A28="","",COUNTIF($B$5:$B$24,A28))</f>
        <v>3</v>
      </c>
      <c r="C28" s="19" t="n">
        <f aca="false">IF(A28="","",SUMIF($B$5:$B$24,A28,$C$5:$C$24))</f>
        <v>5750</v>
      </c>
      <c r="D28" s="19" t="n">
        <f aca="false">IF(A28="","",SUMIF($B$5:$B$24,A28,$K$5:$K$24))</f>
        <v>680.5</v>
      </c>
      <c r="E28" s="19" t="n">
        <f aca="false">IF(A28="","",SUMIF($B$5:$B$24,A28,$N$5:$N$24))</f>
        <v>378.3</v>
      </c>
      <c r="F28" s="19" t="n">
        <f aca="false">IF(A28="","",SUMIF($B$5:$B$24,A28,$P$5:$P$24))</f>
        <v>302.2</v>
      </c>
    </row>
    <row r="29" customFormat="false" ht="15" hidden="false" customHeight="false" outlineLevel="0" collapsed="false">
      <c r="A29" s="14" t="s">
        <v>96</v>
      </c>
      <c r="B29" s="18" t="n">
        <f aca="false">IF(A29="","",COUNTIF($B$5:$B$24,A29))</f>
        <v>2</v>
      </c>
      <c r="C29" s="19" t="n">
        <f aca="false">IF(A29="","",SUMIF($B$5:$B$24,A29,$C$5:$C$24))</f>
        <v>6350</v>
      </c>
      <c r="D29" s="19" t="n">
        <f aca="false">IF(A29="","",SUMIF($B$5:$B$24,A29,$K$5:$K$24))</f>
        <v>808.5</v>
      </c>
      <c r="E29" s="19" t="n">
        <f aca="false">IF(A29="","",SUMIF($B$5:$B$24,A29,$N$5:$N$24))</f>
        <v>417.5</v>
      </c>
      <c r="F29" s="19" t="n">
        <f aca="false">IF(A29="","",SUMIF($B$5:$B$24,A29,$P$5:$P$24))</f>
        <v>391</v>
      </c>
    </row>
    <row r="30" customFormat="false" ht="15" hidden="false" customHeight="false" outlineLevel="0" collapsed="false">
      <c r="A30" s="14" t="s">
        <v>97</v>
      </c>
      <c r="B30" s="18" t="n">
        <f aca="false">IF(A30="","",COUNTIF($B$5:$B$24,A30))</f>
        <v>2</v>
      </c>
      <c r="C30" s="19" t="n">
        <f aca="false">IF(A30="","",SUMIF($B$5:$B$24,A30,$C$5:$C$24))</f>
        <v>2400</v>
      </c>
      <c r="D30" s="19" t="n">
        <f aca="false">IF(A30="","",SUMIF($B$5:$B$24,A30,$K$5:$K$24))</f>
        <v>855</v>
      </c>
      <c r="E30" s="19" t="n">
        <f aca="false">IF(A30="","",SUMIF($B$5:$B$24,A30,$N$5:$N$24))</f>
        <v>493</v>
      </c>
      <c r="F30" s="19" t="n">
        <f aca="false">IF(A30="","",SUMIF($B$5:$B$24,A30,$P$5:$P$24))</f>
        <v>362</v>
      </c>
    </row>
    <row r="31" customFormat="false" ht="15" hidden="false" customHeight="false" outlineLevel="0" collapsed="false">
      <c r="A31" s="14" t="s">
        <v>98</v>
      </c>
      <c r="B31" s="18" t="n">
        <f aca="false">IF(A31="","",COUNTIF($B$5:$B$24,A31))</f>
        <v>2</v>
      </c>
      <c r="C31" s="19" t="n">
        <f aca="false">IF(A31="","",SUMIF($B$5:$B$24,A31,$C$5:$C$24))</f>
        <v>7680</v>
      </c>
      <c r="D31" s="19" t="n">
        <f aca="false">IF(A31="","",SUMIF($B$5:$B$24,A31,$K$5:$K$24))</f>
        <v>936</v>
      </c>
      <c r="E31" s="19" t="n">
        <f aca="false">IF(A31="","",SUMIF($B$5:$B$24,A31,$N$5:$N$24))</f>
        <v>541.6</v>
      </c>
      <c r="F31" s="19" t="n">
        <f aca="false">IF(A31="","",SUMIF($B$5:$B$24,A31,$P$5:$P$24))</f>
        <v>394.4</v>
      </c>
    </row>
    <row r="32" customFormat="false" ht="15" hidden="false" customHeight="false" outlineLevel="0" collapsed="false">
      <c r="A32" s="14" t="s">
        <v>99</v>
      </c>
      <c r="B32" s="18" t="n">
        <f aca="false">IF(A32="","",COUNTIF($B$5:$B$24,A32))</f>
        <v>1</v>
      </c>
      <c r="C32" s="19" t="n">
        <f aca="false">IF(A32="","",SUMIF($B$5:$B$24,A32,$C$5:$C$24))</f>
        <v>1250</v>
      </c>
      <c r="D32" s="19" t="n">
        <f aca="false">IF(A32="","",SUMIF($B$5:$B$24,A32,$K$5:$K$24))</f>
        <v>187.5</v>
      </c>
      <c r="E32" s="19" t="n">
        <f aca="false">IF(A32="","",SUMIF($B$5:$B$24,A32,$N$5:$N$24))</f>
        <v>102.5</v>
      </c>
      <c r="F32" s="19" t="n">
        <f aca="false">IF(A32="","",SUMIF($B$5:$B$24,A32,$P$5:$P$24))</f>
        <v>85</v>
      </c>
    </row>
    <row r="33" customFormat="false" ht="15" hidden="false" customHeight="false" outlineLevel="0" collapsed="false">
      <c r="A33" s="14"/>
      <c r="B33" s="18" t="str">
        <f aca="false">IF(A33="","",COUNTIF($B$5:$B$24,A33))</f>
        <v/>
      </c>
      <c r="C33" s="19" t="str">
        <f aca="false">IF(A33="","",SUMIF($B$5:$B$24,A33,$C$5:$C$24))</f>
        <v/>
      </c>
      <c r="D33" s="19" t="str">
        <f aca="false">IF(A33="","",SUMIF($B$5:$B$24,A33,$K$5:$K$24))</f>
        <v/>
      </c>
      <c r="E33" s="19" t="str">
        <f aca="false">IF(A33="","",SUMIF($B$5:$B$24,A33,$N$5:$N$24))</f>
        <v/>
      </c>
      <c r="F33" s="19" t="str">
        <f aca="false">IF(A33="","",SUMIF($B$5:$B$24,A33,$P$5:$P$24))</f>
        <v/>
      </c>
    </row>
  </sheetData>
  <dataValidations count="2">
    <dataValidation allowBlank="true" errorStyle="stop" operator="between" showDropDown="false" showErrorMessage="false" showInputMessage="false" sqref="B5:B24" type="list">
      <formula1>Producers!$A$5:$A$16</formula1>
      <formula2>0</formula2>
    </dataValidation>
    <dataValidation allowBlank="true" errorStyle="stop" operator="between" showDropDown="false" showErrorMessage="false" showInputMessage="false" sqref="A28:A33" type="list">
      <formula1>Producers!$A$5:$A$16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3" min="3" style="1" width="80"/>
  </cols>
  <sheetData>
    <row r="1" customFormat="false" ht="17.35" hidden="false" customHeight="false" outlineLevel="0" collapsed="false">
      <c r="A1" s="2" t="s">
        <v>157</v>
      </c>
    </row>
    <row r="2" customFormat="false" ht="15" hidden="false" customHeight="false" outlineLevel="0" collapsed="false">
      <c r="A2" s="5" t="s">
        <v>47</v>
      </c>
      <c r="B2" s="10" t="n">
        <f aca="false">Settings!$B$13</f>
        <v>1132</v>
      </c>
      <c r="C2" s="3" t="s">
        <v>158</v>
      </c>
    </row>
    <row r="3" customFormat="false" ht="15" hidden="false" customHeight="false" outlineLevel="0" collapsed="false">
      <c r="A3" s="5" t="s">
        <v>67</v>
      </c>
      <c r="B3" s="12" t="n">
        <f aca="false">'Book by Line'!M17</f>
        <v>91.12</v>
      </c>
      <c r="C3" s="3" t="s">
        <v>159</v>
      </c>
    </row>
    <row r="4" customFormat="false" ht="15" hidden="false" customHeight="false" outlineLevel="0" collapsed="false">
      <c r="A4" s="5" t="s">
        <v>160</v>
      </c>
      <c r="B4" s="12" t="n">
        <f aca="false">Settings!$B$6</f>
        <v>90</v>
      </c>
      <c r="C4" s="3" t="s">
        <v>161</v>
      </c>
    </row>
    <row r="5" customFormat="false" ht="15" hidden="false" customHeight="false" outlineLevel="0" collapsed="false">
      <c r="A5" s="5" t="s">
        <v>73</v>
      </c>
      <c r="B5" s="12" t="n">
        <f aca="false">ROUND(B3-B4,2)</f>
        <v>1.12</v>
      </c>
      <c r="C5" s="3" t="s">
        <v>162</v>
      </c>
    </row>
    <row r="6" customFormat="false" ht="15" hidden="false" customHeight="false" outlineLevel="0" collapsed="false">
      <c r="A6" s="5" t="s">
        <v>163</v>
      </c>
      <c r="B6" s="11" t="n">
        <f aca="false">'Book by Line'!P17</f>
        <v>164761</v>
      </c>
      <c r="C6" s="3" t="s">
        <v>164</v>
      </c>
    </row>
    <row r="7" customFormat="false" ht="15" hidden="false" customHeight="false" outlineLevel="0" collapsed="false">
      <c r="A7" s="5" t="s">
        <v>72</v>
      </c>
      <c r="B7" s="11" t="n">
        <f aca="false">'Book by Line'!R17</f>
        <v>16614</v>
      </c>
      <c r="C7" s="3" t="s">
        <v>165</v>
      </c>
    </row>
    <row r="8" customFormat="false" ht="15" hidden="false" customHeight="false" outlineLevel="0" collapsed="false">
      <c r="A8" s="5" t="s">
        <v>166</v>
      </c>
      <c r="B8" s="10" t="n">
        <f aca="false">COUNTIF('Book by Line'!$S$5:$S$16,"&lt;0")</f>
        <v>2</v>
      </c>
      <c r="C8" s="3" t="s">
        <v>167</v>
      </c>
    </row>
    <row r="9" customFormat="false" ht="15" hidden="false" customHeight="false" outlineLevel="0" collapsed="false">
      <c r="A9" s="5" t="s">
        <v>168</v>
      </c>
      <c r="B9" s="11" t="n">
        <f aca="false">ROUND('Book by Line'!P17+'Book by Line'!Q17,2)</f>
        <v>209446</v>
      </c>
      <c r="C9" s="3" t="s">
        <v>169</v>
      </c>
    </row>
    <row r="10" customFormat="false" ht="15" hidden="false" customHeight="false" outlineLevel="0" collapsed="false">
      <c r="A10" s="5" t="s">
        <v>43</v>
      </c>
      <c r="B10" s="10" t="n">
        <f aca="false">Settings!$B$11</f>
        <v>5</v>
      </c>
      <c r="C10" s="3" t="s">
        <v>170</v>
      </c>
    </row>
    <row r="11" customFormat="false" ht="15" hidden="false" customHeight="false" outlineLevel="0" collapsed="false">
      <c r="A11" s="5" t="s">
        <v>171</v>
      </c>
      <c r="B11" s="11" t="n">
        <f aca="false">IFERROR(ROUND(B9/B10,2),0)</f>
        <v>41889.2</v>
      </c>
      <c r="C11" s="3" t="s">
        <v>172</v>
      </c>
    </row>
    <row r="12" customFormat="false" ht="15" hidden="false" customHeight="false" outlineLevel="0" collapsed="false">
      <c r="A12" s="5" t="s">
        <v>173</v>
      </c>
      <c r="B12" s="11" t="n">
        <f aca="false">IFERROR(ROUND(B9/Settings!$B$12,2),0)</f>
        <v>26180.75</v>
      </c>
      <c r="C12" s="3" t="s">
        <v>174</v>
      </c>
    </row>
    <row r="13" customFormat="false" ht="15" hidden="false" customHeight="false" outlineLevel="0" collapsed="false">
      <c r="A13" s="5" t="s">
        <v>90</v>
      </c>
      <c r="B13" s="12" t="n">
        <f aca="false">Producers!I17</f>
        <v>37.08</v>
      </c>
      <c r="C13" s="3" t="s">
        <v>175</v>
      </c>
    </row>
    <row r="14" customFormat="false" ht="15" hidden="false" customHeight="false" outlineLevel="0" collapsed="false">
      <c r="A14" s="5" t="s">
        <v>93</v>
      </c>
      <c r="B14" s="12" t="n">
        <f aca="false">ROUND(B13-Settings!$B$7,2)</f>
        <v>2.08</v>
      </c>
      <c r="C14" s="3" t="s">
        <v>176</v>
      </c>
    </row>
    <row r="15" customFormat="false" ht="15" hidden="false" customHeight="false" outlineLevel="0" collapsed="false">
      <c r="A15" s="5" t="s">
        <v>177</v>
      </c>
      <c r="B15" s="11" t="n">
        <f aca="false">Acquisition!N17</f>
        <v>41057.5</v>
      </c>
      <c r="C15" s="3" t="s">
        <v>178</v>
      </c>
    </row>
    <row r="16" customFormat="false" ht="15" hidden="false" customHeight="false" outlineLevel="0" collapsed="false">
      <c r="A16" s="5" t="s">
        <v>179</v>
      </c>
      <c r="B16" s="11" t="n">
        <f aca="false">Acquisition!O17</f>
        <v>315.83</v>
      </c>
      <c r="C16" s="3" t="s">
        <v>180</v>
      </c>
    </row>
    <row r="17" customFormat="false" ht="15" hidden="false" customHeight="false" outlineLevel="0" collapsed="false">
      <c r="A17" s="5" t="s">
        <v>119</v>
      </c>
      <c r="B17" s="11" t="n">
        <f aca="false">Acquisition!P17</f>
        <v>549.96</v>
      </c>
      <c r="C17" s="3" t="s">
        <v>181</v>
      </c>
    </row>
    <row r="18" customFormat="false" ht="15" hidden="false" customHeight="false" outlineLevel="0" collapsed="false">
      <c r="A18" s="5" t="s">
        <v>120</v>
      </c>
      <c r="B18" s="25" t="n">
        <f aca="false">Acquisition!Q17</f>
        <v>1.74</v>
      </c>
      <c r="C18" s="3" t="s">
        <v>182</v>
      </c>
    </row>
    <row r="19" customFormat="false" ht="15" hidden="false" customHeight="false" outlineLevel="0" collapsed="false">
      <c r="A19" s="5" t="s">
        <v>183</v>
      </c>
      <c r="B19" s="5" t="str">
        <f aca="false">IFERROR(INDEX('Book by Line'!$A$5:$A$16,MATCH(MAX('Book by Line'!$O$5:$O$16),'Book by Line'!$O$5:$O$16,0)),"")</f>
        <v>Life</v>
      </c>
      <c r="C19" s="3" t="s">
        <v>184</v>
      </c>
    </row>
    <row r="20" customFormat="false" ht="15" hidden="false" customHeight="false" outlineLevel="0" collapsed="false">
      <c r="A20" s="5" t="s">
        <v>185</v>
      </c>
      <c r="B20" s="12" t="n">
        <f aca="false">IFERROR(MAX('Book by Line'!$O$5:$O$16),0)</f>
        <v>8.33</v>
      </c>
      <c r="C20" s="3" t="s">
        <v>186</v>
      </c>
    </row>
    <row r="21" customFormat="false" ht="15" hidden="false" customHeight="false" outlineLevel="0" collapsed="false">
      <c r="A21" s="5" t="s">
        <v>187</v>
      </c>
      <c r="B21" s="5" t="str">
        <f aca="false">IFERROR(INDEX(Producers!$A$5:$A$16,MATCH(MAX(Producers!$E$5:$E$16),Producers!$E$5:$E$16,0)),"")</f>
        <v>A. Rivera</v>
      </c>
      <c r="C21" s="3" t="s">
        <v>188</v>
      </c>
    </row>
    <row r="22" customFormat="false" ht="15" hidden="false" customHeight="false" outlineLevel="0" collapsed="false">
      <c r="A22" s="5" t="s">
        <v>189</v>
      </c>
      <c r="B22" s="11" t="n">
        <f aca="false">IFERROR(MAX(Producers!$E$5:$E$16),0)</f>
        <v>34000</v>
      </c>
      <c r="C22" s="3" t="s">
        <v>190</v>
      </c>
    </row>
    <row r="23" customFormat="false" ht="15" hidden="false" customHeight="false" outlineLevel="0" collapsed="false">
      <c r="A23" s="5" t="s">
        <v>191</v>
      </c>
      <c r="B23" s="11" t="n">
        <f aca="false">'Commission Splits'!N25</f>
        <v>1932.9</v>
      </c>
      <c r="C23" s="3" t="s">
        <v>192</v>
      </c>
    </row>
    <row r="24" customFormat="false" ht="15" hidden="false" customHeight="false" outlineLevel="0" collapsed="false">
      <c r="A24" s="5" t="s">
        <v>193</v>
      </c>
      <c r="B24" s="11" t="n">
        <f aca="false">'Commission Splits'!P25</f>
        <v>1534.6</v>
      </c>
      <c r="C24" s="3"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2026-10-07T08:45:30Z</dcterms:created>
  <dc:creator>openpyxl</dc:creator>
  <dc:description/>
  <dc:language>en-US</dc:language>
  <cp:lastModifiedBy/>
  <dcterms:modified xsi:type="dcterms:W3CDTF">2026-10-07T08:45:30Z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